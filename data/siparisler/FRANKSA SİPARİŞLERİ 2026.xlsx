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3A32F443-6078-4779-8FCE-58F1782E24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" l="1"/>
  <c r="L48" i="1"/>
  <c r="L49" i="1"/>
  <c r="L37" i="1" l="1"/>
  <c r="L38" i="1"/>
  <c r="L30" i="1"/>
  <c r="L32" i="1"/>
  <c r="L33" i="1"/>
  <c r="L34" i="1"/>
  <c r="L35" i="1"/>
  <c r="J36" i="1"/>
  <c r="L36" i="1" s="1"/>
  <c r="L25" i="1" l="1"/>
  <c r="L27" i="1"/>
  <c r="L28" i="1"/>
  <c r="L40" i="1"/>
  <c r="L42" i="1"/>
  <c r="L43" i="1"/>
  <c r="L44" i="1"/>
  <c r="L45" i="1"/>
  <c r="L22" i="1" l="1"/>
  <c r="L23" i="1"/>
  <c r="L21" i="1" l="1"/>
  <c r="L19" i="1" l="1"/>
  <c r="L20" i="1"/>
  <c r="L18" i="1" l="1"/>
  <c r="L15" i="1" l="1"/>
  <c r="L14" i="1" l="1"/>
  <c r="L12" i="1" l="1"/>
  <c r="L13" i="1"/>
  <c r="L17" i="1"/>
  <c r="L11" i="1" l="1"/>
  <c r="L9" i="1" l="1"/>
  <c r="L10" i="1"/>
</calcChain>
</file>

<file path=xl/sharedStrings.xml><?xml version="1.0" encoding="utf-8"?>
<sst xmlns="http://schemas.openxmlformats.org/spreadsheetml/2006/main" count="225" uniqueCount="138">
  <si>
    <t>NETSIS</t>
  </si>
  <si>
    <t>Müşteri Sipariş Kodu</t>
  </si>
  <si>
    <t xml:space="preserve">Müşteri Kodu 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</si>
  <si>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</si>
  <si>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</si>
  <si>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</si>
  <si>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</si>
  <si>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</si>
  <si>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</si>
  <si>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</si>
  <si>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>00000-9000-00600</t>
  </si>
  <si>
    <t>FRANKSA</t>
  </si>
  <si>
    <t>03119-1700-00001</t>
  </si>
  <si>
    <t>T4317</t>
  </si>
  <si>
    <t>C-NR-85-WH-40*40-M8*8-M8*8-AISI 304-Closed- Electrical conductor</t>
  </si>
  <si>
    <t>19396-1700-00002</t>
  </si>
  <si>
    <t>T3029</t>
  </si>
  <si>
    <t>B-NR-55-WH-50*20-M10*28-M10-Open-AISI 304 Quality-Welded</t>
  </si>
  <si>
    <t>Metall: 1.4301 kalite / açık</t>
  </si>
  <si>
    <t>14084-1700-00003</t>
  </si>
  <si>
    <t>B-EPDM-85-WH-15*15-M5*8-M5-AISI 304-Monoblok</t>
  </si>
  <si>
    <t>14084-1700-00004</t>
  </si>
  <si>
    <t>B-EPDM-85-WH-15*15-M4*10-M4-AISI 304-Monoblok</t>
  </si>
  <si>
    <t>T4747</t>
  </si>
  <si>
    <t>T4746</t>
  </si>
  <si>
    <t>BE028991</t>
  </si>
  <si>
    <t>15.01.2026 SEVKİYATI</t>
  </si>
  <si>
    <t>IHR-0942</t>
  </si>
  <si>
    <t>19530-1700-00001</t>
  </si>
  <si>
    <t>19530-1700-00002</t>
  </si>
  <si>
    <t>C-NR-30-WH-30*30-M8-M8-WELDED</t>
  </si>
  <si>
    <t xml:space="preserve">D-NR-55-WH-30*28-M8*20 -Monoblock </t>
  </si>
  <si>
    <t>BE029031</t>
  </si>
  <si>
    <t>13373-1700-00001</t>
  </si>
  <si>
    <t>Tekliften siparişe döndü (Anfrage 34110.1)</t>
  </si>
  <si>
    <t>T5045</t>
  </si>
  <si>
    <t>T5046</t>
  </si>
  <si>
    <t>T2948</t>
  </si>
  <si>
    <t>IHR-0954</t>
  </si>
  <si>
    <t>BE029068</t>
  </si>
  <si>
    <t>C-NR-50-WH-30*30-M8-M8-Welded-Grey (RAL 7037)</t>
  </si>
  <si>
    <t>BE029097</t>
  </si>
  <si>
    <t>19396-1700-00003</t>
  </si>
  <si>
    <t>D-NBR-55-WH-15*10-M4*6-GREY</t>
  </si>
  <si>
    <t>Tekliften siparişe döndü (34134.1)</t>
  </si>
  <si>
    <t>T5056</t>
  </si>
  <si>
    <t>BE029102</t>
  </si>
  <si>
    <t>19564-1800-00002</t>
  </si>
  <si>
    <t>Greifleiste n.Zg.0893  Werkstoff: NR/SBR  Härte: 60 +/- 5 Shore A  S006853</t>
  </si>
  <si>
    <t>IHR-0980</t>
  </si>
  <si>
    <t>IHR-0995</t>
  </si>
  <si>
    <t>BE029126</t>
  </si>
  <si>
    <t>Elektrik iletken</t>
  </si>
  <si>
    <t>T4365-X</t>
  </si>
  <si>
    <t>IHR-1007</t>
  </si>
  <si>
    <t>12.02.2026 SEVKİYATI</t>
  </si>
  <si>
    <t>IHR-1015</t>
  </si>
  <si>
    <r>
      <rPr>
        <b/>
        <sz val="11"/>
        <color theme="1"/>
        <rFont val="Bookman Old Style"/>
        <family val="1"/>
        <charset val="162"/>
      </rPr>
      <t>100 sağ-100 sol parça</t>
    </r>
    <r>
      <rPr>
        <sz val="11"/>
        <color theme="1"/>
        <rFont val="Bookman Old Style"/>
        <family val="1"/>
        <charset val="162"/>
      </rPr>
      <t xml:space="preserve"> / Tekliften siparişe döndü (inquiry 33908)</t>
    </r>
  </si>
  <si>
    <t>BE029178</t>
  </si>
  <si>
    <t>01064-1800-00002</t>
  </si>
  <si>
    <t>01064-1800-00003</t>
  </si>
  <si>
    <t>--</t>
  </si>
  <si>
    <t>20 adet numune gönderilecek seri üretimden önce</t>
  </si>
  <si>
    <t>BE029182</t>
  </si>
  <si>
    <t xml:space="preserve">Transportleiste 3-Wellen n. Zg. 0983/NBR-80-WH-369,62*30*65 </t>
  </si>
  <si>
    <t xml:space="preserve">Mold for Transportleiste 3-Wellen n. Zg. 0983/NBR-80-WH-369,62*30*65 </t>
  </si>
  <si>
    <t>T5071</t>
  </si>
  <si>
    <t>Transportleiste 4-Wellen n. Zg. 0984 / NBR-80-WH-369,22*30*55</t>
  </si>
  <si>
    <t>Mold for Transportleiste 4-Wellen n. Zg. 0984 / NBR-80-WH-369,22*30*55</t>
  </si>
  <si>
    <t>T5072</t>
  </si>
  <si>
    <t>BE029191</t>
  </si>
  <si>
    <t>IHR-1053</t>
  </si>
  <si>
    <t>IHR-1056</t>
  </si>
  <si>
    <t>TERMİN BEKLENİYOR (kalıp üretimi var)</t>
  </si>
  <si>
    <t>IHR-1057</t>
  </si>
  <si>
    <t>BE029217</t>
  </si>
  <si>
    <t>05056-1700-00002</t>
  </si>
  <si>
    <t>T2283</t>
  </si>
  <si>
    <t xml:space="preserve">B 20x25 M6x10 NR 45 SH. </t>
  </si>
  <si>
    <t>BE029218</t>
  </si>
  <si>
    <t>03119-1700-00004</t>
  </si>
  <si>
    <t>T4922</t>
  </si>
  <si>
    <t>C-NR-85-WH-100*55-M16*16-M16*16-welded-AISI 304- Electrical conductivity</t>
  </si>
  <si>
    <t xml:space="preserve">Kaynaklı /Elektrik iletken </t>
  </si>
  <si>
    <t>BE029236</t>
  </si>
  <si>
    <t>01315-1700-00001</t>
  </si>
  <si>
    <t xml:space="preserve">EP-NR-55-WH-10*10-M4-OPEN-AISI 304 </t>
  </si>
  <si>
    <t>Tekliften siparişe döndü (34507)</t>
  </si>
  <si>
    <t>T5083</t>
  </si>
  <si>
    <t>IHR-006</t>
  </si>
  <si>
    <t>IHR-011</t>
  </si>
  <si>
    <t>IHR-016</t>
  </si>
  <si>
    <t>BE029376</t>
  </si>
  <si>
    <t>26021-1700-00002</t>
  </si>
  <si>
    <t>D-NR-70-WH-40*40-M8*12-welded</t>
  </si>
  <si>
    <t>Tekliften siparişe döndü (Anfrage 35024)</t>
  </si>
  <si>
    <t>T3418</t>
  </si>
  <si>
    <t>BE029400</t>
  </si>
  <si>
    <t>19493-1500-00001</t>
  </si>
  <si>
    <t xml:space="preserve">R 1919 </t>
  </si>
  <si>
    <t>Trapez Gummi EPDM 65 SH.</t>
  </si>
  <si>
    <t>12.03.2026 SEVKİYATI</t>
  </si>
  <si>
    <t>IHR-098</t>
  </si>
  <si>
    <t>26.03.2026 SEVKİYATI</t>
  </si>
  <si>
    <t>IHR-115</t>
  </si>
  <si>
    <t>BE029437</t>
  </si>
  <si>
    <t>BE02944</t>
  </si>
  <si>
    <t>21.05.2026 SEVKİYATI</t>
  </si>
  <si>
    <t>IHR-143</t>
  </si>
  <si>
    <t>IHR-153</t>
  </si>
  <si>
    <t>BE029442</t>
  </si>
  <si>
    <t>BE029481</t>
  </si>
  <si>
    <t>21.04.2026 SEVKİYATI</t>
  </si>
  <si>
    <t>IHR-175</t>
  </si>
  <si>
    <t>BE029512</t>
  </si>
  <si>
    <t>08418-1700-00001</t>
  </si>
  <si>
    <t>T3195</t>
  </si>
  <si>
    <t xml:space="preserve">C-NR-55-WH-50*50-M10-M10 welded </t>
  </si>
  <si>
    <t>IHR-177</t>
  </si>
  <si>
    <t>IHR-188</t>
  </si>
  <si>
    <t xml:space="preserve">01.04.2026 SEVKİYATI </t>
  </si>
  <si>
    <t>Sipariş miktarı 2000'dir. 5000 adedi 01.04'de gidecek</t>
  </si>
  <si>
    <t>BE029568</t>
  </si>
  <si>
    <t>IHR-209</t>
  </si>
  <si>
    <t>BE029616</t>
  </si>
  <si>
    <t>08419-1700-00001</t>
  </si>
  <si>
    <t>C-NR-55-WH-75*40-M10*10-M10*10-closed-welded</t>
  </si>
  <si>
    <t>Tekliften döndü (35190)</t>
  </si>
  <si>
    <t>BE029617</t>
  </si>
  <si>
    <t>12115-1800-00001</t>
  </si>
  <si>
    <t>T2633-1</t>
  </si>
  <si>
    <t>Arbeitspuffer n.Zg. 0558 NR 60 SHORE RED MARKED</t>
  </si>
  <si>
    <t xml:space="preserve">Tam adedinde </t>
  </si>
  <si>
    <t>BE029625</t>
  </si>
  <si>
    <t>13323-1700-00005</t>
  </si>
  <si>
    <t>T4072</t>
  </si>
  <si>
    <t>GMP-D-050-010-M10x15 SBR 55 SHORE A GRAU</t>
  </si>
  <si>
    <t>T5162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</si>
</sst>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</numFmts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man Old Style"/>
      <family val="1"/>
      <charset val="162"/>
    </font>
    <font>
      <b/>
      <sz val="11"/>
      <color rgb="FF000000"/>
      <name val="Bookman Old Style"/>
      <family val="1"/>
      <charset val="162"/>
    </font>
    <font>
      <sz val="11"/>
      <name val="Bookman Old Style"/>
      <family val="1"/>
      <charset val="162"/>
    </font>
    <font>
      <b/>
      <sz val="11"/>
      <name val="Bookman Old Style"/>
      <family val="1"/>
      <charset val="162"/>
    </font>
    <font>
      <sz val="11"/>
      <color theme="1"/>
      <name val="Bookman Old Style"/>
      <family val="1"/>
      <charset val="162"/>
    </font>
    <font>
      <sz val="8"/>
      <name val="Calibri"/>
      <family val="2"/>
      <charset val="16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0" fillId="0" borderId="1" xfId="0" applyBorder="1"/>
    <xf numFmtId="164" fontId="0" fillId="0" borderId="0" xfId="0" applyNumberFormat="1"/>
    <xf numFmtId="3" fontId="18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/>
    </xf>
    <xf numFmtId="3" fontId="0" fillId="0" borderId="0" xfId="0" applyNumberFormat="1"/>
    <xf numFmtId="0" fontId="0" fillId="34" borderId="1" xfId="0" applyFill="1" applyBorder="1"/>
    <xf numFmtId="0" fontId="22" fillId="0" borderId="13" xfId="0" applyFont="1" applyBorder="1" applyAlignment="1">
      <alignment horizontal="left"/>
    </xf>
    <xf numFmtId="164" fontId="20" fillId="0" borderId="1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4" xfId="0" applyBorder="1"/>
    <xf numFmtId="0" fontId="22" fillId="0" borderId="14" xfId="0" applyFont="1" applyBorder="1" applyAlignment="1">
      <alignment horizontal="center"/>
    </xf>
    <xf numFmtId="0" fontId="22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0" fillId="0" borderId="14" xfId="0" quotePrefix="1" applyBorder="1" applyAlignment="1">
      <alignment horizontal="center"/>
    </xf>
    <xf numFmtId="3" fontId="22" fillId="0" borderId="14" xfId="0" applyNumberFormat="1" applyFont="1" applyBorder="1" applyAlignment="1">
      <alignment horizontal="center"/>
    </xf>
    <xf numFmtId="0" fontId="22" fillId="0" borderId="14" xfId="0" applyFont="1" applyBorder="1" applyAlignment="1">
      <alignment horizontal="left"/>
    </xf>
    <xf numFmtId="164" fontId="20" fillId="0" borderId="14" xfId="0" applyNumberFormat="1" applyFont="1" applyBorder="1" applyAlignment="1">
      <alignment horizontal="center" vertical="center"/>
    </xf>
    <xf numFmtId="0" fontId="22" fillId="35" borderId="1" xfId="0" applyFont="1" applyFill="1" applyBorder="1" applyAlignment="1">
      <alignment horizontal="center"/>
    </xf>
    <xf numFmtId="14" fontId="22" fillId="35" borderId="1" xfId="0" applyNumberFormat="1" applyFont="1" applyFill="1" applyBorder="1" applyAlignment="1">
      <alignment horizontal="center"/>
    </xf>
    <xf numFmtId="0" fontId="22" fillId="35" borderId="1" xfId="0" applyFont="1" applyFill="1" applyBorder="1" applyAlignment="1">
      <alignment horizontal="center" vertical="center"/>
    </xf>
    <xf numFmtId="0" fontId="22" fillId="35" borderId="1" xfId="0" applyFont="1" applyFill="1" applyBorder="1" applyAlignment="1">
      <alignment horizontal="center" vertical="center" wrapText="1"/>
    </xf>
    <xf numFmtId="165" fontId="20" fillId="35" borderId="1" xfId="0" applyNumberFormat="1" applyFont="1" applyFill="1" applyBorder="1" applyAlignment="1">
      <alignment horizontal="center" vertical="center"/>
    </xf>
    <xf numFmtId="3" fontId="22" fillId="35" borderId="1" xfId="0" applyNumberFormat="1" applyFont="1" applyFill="1" applyBorder="1" applyAlignment="1">
      <alignment horizontal="center"/>
    </xf>
    <xf numFmtId="0" fontId="22" fillId="35" borderId="1" xfId="0" applyFont="1" applyFill="1" applyBorder="1" applyAlignment="1">
      <alignment horizontal="left"/>
    </xf>
    <xf numFmtId="0" fontId="22" fillId="35" borderId="13" xfId="0" applyFont="1" applyFill="1" applyBorder="1" applyAlignment="1">
      <alignment horizontal="left"/>
    </xf>
    <xf numFmtId="165" fontId="20" fillId="34" borderId="1" xfId="0" applyNumberFormat="1" applyFont="1" applyFill="1" applyBorder="1" applyAlignment="1">
      <alignment horizontal="center" vertical="center"/>
    </xf>
    <xf numFmtId="14" fontId="21" fillId="2" borderId="11" xfId="0" applyNumberFormat="1" applyFont="1" applyFill="1" applyBorder="1" applyAlignment="1">
      <alignment horizontal="center"/>
    </xf>
    <xf numFmtId="14" fontId="21" fillId="2" borderId="12" xfId="0" applyNumberFormat="1" applyFont="1" applyFill="1" applyBorder="1" applyAlignment="1">
      <alignment horizontal="center"/>
    </xf>
    <xf numFmtId="14" fontId="21" fillId="2" borderId="13" xfId="0" applyNumberFormat="1" applyFont="1" applyFill="1" applyBorder="1" applyAlignment="1">
      <alignment horizontal="center"/>
    </xf>
    <xf numFmtId="0" fontId="22" fillId="35" borderId="14" xfId="0" applyFont="1" applyFill="1" applyBorder="1" applyAlignment="1">
      <alignment horizontal="center"/>
    </xf>
    <xf numFmtId="0" fontId="22" fillId="35" borderId="14" xfId="0" applyFont="1" applyFill="1" applyBorder="1" applyAlignment="1">
      <alignment horizontal="center" vertical="center"/>
    </xf>
    <xf numFmtId="0" fontId="22" fillId="35" borderId="14" xfId="0" applyFont="1" applyFill="1" applyBorder="1" applyAlignment="1">
      <alignment horizontal="center" vertical="center" wrapText="1"/>
    </xf>
    <xf numFmtId="165" fontId="20" fillId="35" borderId="14" xfId="0" applyNumberFormat="1" applyFont="1" applyFill="1" applyBorder="1" applyAlignment="1">
      <alignment horizontal="center" vertical="center"/>
    </xf>
    <xf numFmtId="3" fontId="22" fillId="35" borderId="14" xfId="0" applyNumberFormat="1" applyFont="1" applyFill="1" applyBorder="1" applyAlignment="1">
      <alignment horizontal="center"/>
    </xf>
    <xf numFmtId="0" fontId="22" fillId="35" borderId="14" xfId="0" applyFont="1" applyFill="1" applyBorder="1" applyAlignment="1">
      <alignment horizontal="left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270510</xdr:colOff>
      <xdr:row>3</xdr:row>
      <xdr:rowOff>118110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L84"/>
  <sheetViews>
    <sheetView tabSelected="1" topLeftCell="D9" zoomScale="85" zoomScaleNormal="85" workbookViewId="0">
      <selection activeCell="L24" sqref="L24"/>
    </sheetView>
  </sheetViews>
  <sheetFormatPr defaultRowHeight="15" x14ac:dyDescent="0.25"/>
  <cols>
    <col min="1" max="1" width="2.7109375" customWidth="1"/>
    <col min="2" max="2" width="14.42578125" customWidth="1"/>
    <col min="3" max="3" width="16.7109375" customWidth="1"/>
    <col min="4" max="4" width="15" customWidth="1"/>
    <col min="5" max="5" width="19.5703125" bestFit="1" customWidth="1"/>
    <col min="6" max="6" width="24.28515625" customWidth="1"/>
    <col min="7" max="7" width="23" bestFit="1" customWidth="1"/>
    <col min="8" max="8" width="85.5703125" customWidth="1"/>
    <col min="9" max="9" width="17.42578125" customWidth="1"/>
    <col min="10" max="10" width="13.7109375" style="16" customWidth="1"/>
    <col min="11" max="11" width="94.5703125" style="1" customWidth="1"/>
    <col min="12" max="12" width="15.28515625" style="13" customWidth="1"/>
  </cols>
  <sheetData>
    <row r="7" spans="2:12" ht="30" x14ac:dyDescent="0.25">
      <c r="B7" s="2" t="s">
        <v>0</v>
      </c>
      <c r="C7" s="3" t="s">
        <v>8</v>
      </c>
      <c r="D7" s="3" t="s">
        <v>9</v>
      </c>
      <c r="E7" s="2" t="s">
        <v>1</v>
      </c>
      <c r="F7" s="2" t="s">
        <v>2</v>
      </c>
      <c r="G7" s="4" t="s">
        <v>3</v>
      </c>
      <c r="H7" s="2" t="s">
        <v>4</v>
      </c>
      <c r="I7" s="5" t="s">
        <v>5</v>
      </c>
      <c r="J7" s="14" t="s">
        <v>6</v>
      </c>
      <c r="K7" s="3" t="s">
        <v>7</v>
      </c>
    </row>
    <row r="8" spans="2:12" x14ac:dyDescent="0.25">
      <c r="B8" s="38" t="s">
        <v>26</v>
      </c>
      <c r="C8" s="39"/>
      <c r="D8" s="39"/>
      <c r="E8" s="39"/>
      <c r="F8" s="39"/>
      <c r="G8" s="39"/>
      <c r="H8" s="39"/>
      <c r="I8" s="39"/>
      <c r="J8" s="39"/>
      <c r="K8" s="40"/>
    </row>
    <row r="9" spans="2:12" x14ac:dyDescent="0.25">
      <c r="B9" s="29" t="s">
        <v>27</v>
      </c>
      <c r="C9" s="30">
        <v>46037</v>
      </c>
      <c r="D9" s="29" t="s">
        <v>11</v>
      </c>
      <c r="E9" s="31" t="s">
        <v>25</v>
      </c>
      <c r="F9" s="32" t="s">
        <v>19</v>
      </c>
      <c r="G9" s="33" t="s">
        <v>23</v>
      </c>
      <c r="H9" s="29" t="s">
        <v>20</v>
      </c>
      <c r="I9" s="33">
        <v>0.42980000000000002</v>
      </c>
      <c r="J9" s="34">
        <v>2000</v>
      </c>
      <c r="K9" s="35"/>
      <c r="L9" s="13">
        <f t="shared" ref="L9:L49" si="0">I9*J9</f>
        <v>859.6</v>
      </c>
    </row>
    <row r="10" spans="2:12" x14ac:dyDescent="0.25">
      <c r="B10" s="29" t="s">
        <v>27</v>
      </c>
      <c r="C10" s="30">
        <v>46037</v>
      </c>
      <c r="D10" s="29" t="s">
        <v>11</v>
      </c>
      <c r="E10" s="31" t="s">
        <v>25</v>
      </c>
      <c r="F10" s="32" t="s">
        <v>21</v>
      </c>
      <c r="G10" s="33" t="s">
        <v>24</v>
      </c>
      <c r="H10" s="29" t="s">
        <v>22</v>
      </c>
      <c r="I10" s="33">
        <v>0.4239</v>
      </c>
      <c r="J10" s="34">
        <v>3500</v>
      </c>
      <c r="K10" s="35"/>
      <c r="L10" s="13">
        <f t="shared" si="0"/>
        <v>1483.65</v>
      </c>
    </row>
    <row r="11" spans="2:12" x14ac:dyDescent="0.25">
      <c r="B11" s="29" t="s">
        <v>38</v>
      </c>
      <c r="C11" s="30">
        <v>46037</v>
      </c>
      <c r="D11" s="29" t="s">
        <v>11</v>
      </c>
      <c r="E11" s="31" t="s">
        <v>32</v>
      </c>
      <c r="F11" s="32" t="s">
        <v>33</v>
      </c>
      <c r="G11" s="33" t="s">
        <v>37</v>
      </c>
      <c r="H11" s="29" t="s">
        <v>31</v>
      </c>
      <c r="I11" s="33">
        <v>0.23119999999999999</v>
      </c>
      <c r="J11" s="34">
        <v>11000</v>
      </c>
      <c r="K11" s="35" t="s">
        <v>34</v>
      </c>
      <c r="L11" s="13">
        <f t="shared" si="0"/>
        <v>2543.1999999999998</v>
      </c>
    </row>
    <row r="12" spans="2:12" x14ac:dyDescent="0.25">
      <c r="B12" s="29" t="s">
        <v>49</v>
      </c>
      <c r="C12" s="30">
        <v>46037</v>
      </c>
      <c r="D12" s="29" t="s">
        <v>11</v>
      </c>
      <c r="E12" s="31" t="s">
        <v>39</v>
      </c>
      <c r="F12" s="32" t="s">
        <v>28</v>
      </c>
      <c r="G12" s="33" t="s">
        <v>35</v>
      </c>
      <c r="H12" s="29" t="s">
        <v>30</v>
      </c>
      <c r="I12" s="33">
        <v>0.35149999999999998</v>
      </c>
      <c r="J12" s="34">
        <v>4000</v>
      </c>
      <c r="K12" s="36"/>
      <c r="L12" s="13">
        <f t="shared" si="0"/>
        <v>1406</v>
      </c>
    </row>
    <row r="13" spans="2:12" x14ac:dyDescent="0.25">
      <c r="B13" s="29" t="s">
        <v>49</v>
      </c>
      <c r="C13" s="30">
        <v>46037</v>
      </c>
      <c r="D13" s="29" t="s">
        <v>11</v>
      </c>
      <c r="E13" s="31" t="s">
        <v>39</v>
      </c>
      <c r="F13" s="32" t="s">
        <v>29</v>
      </c>
      <c r="G13" s="33" t="s">
        <v>36</v>
      </c>
      <c r="H13" s="29" t="s">
        <v>40</v>
      </c>
      <c r="I13" s="33">
        <v>0.43669999999999998</v>
      </c>
      <c r="J13" s="34">
        <v>4000</v>
      </c>
      <c r="K13" s="36"/>
      <c r="L13" s="13">
        <f t="shared" si="0"/>
        <v>1746.8</v>
      </c>
    </row>
    <row r="14" spans="2:12" x14ac:dyDescent="0.25">
      <c r="B14" s="29" t="s">
        <v>50</v>
      </c>
      <c r="C14" s="30">
        <v>46037</v>
      </c>
      <c r="D14" s="29" t="s">
        <v>11</v>
      </c>
      <c r="E14" s="31" t="s">
        <v>41</v>
      </c>
      <c r="F14" s="32" t="s">
        <v>42</v>
      </c>
      <c r="G14" s="33" t="s">
        <v>45</v>
      </c>
      <c r="H14" s="29" t="s">
        <v>43</v>
      </c>
      <c r="I14" s="33">
        <v>0.32819999999999999</v>
      </c>
      <c r="J14" s="34">
        <v>1000</v>
      </c>
      <c r="K14" s="35" t="s">
        <v>44</v>
      </c>
      <c r="L14" s="13">
        <f t="shared" si="0"/>
        <v>328.2</v>
      </c>
    </row>
    <row r="15" spans="2:12" x14ac:dyDescent="0.25">
      <c r="B15" s="29" t="s">
        <v>56</v>
      </c>
      <c r="C15" s="30">
        <v>46037</v>
      </c>
      <c r="D15" s="29" t="s">
        <v>11</v>
      </c>
      <c r="E15" s="31" t="s">
        <v>51</v>
      </c>
      <c r="F15" s="32" t="s">
        <v>12</v>
      </c>
      <c r="G15" s="33" t="s">
        <v>13</v>
      </c>
      <c r="H15" s="29" t="s">
        <v>14</v>
      </c>
      <c r="I15" s="33">
        <v>1.33</v>
      </c>
      <c r="J15" s="34">
        <v>200</v>
      </c>
      <c r="K15" s="35" t="s">
        <v>52</v>
      </c>
      <c r="L15" s="13">
        <f t="shared" si="0"/>
        <v>266</v>
      </c>
    </row>
    <row r="16" spans="2:12" x14ac:dyDescent="0.25">
      <c r="B16" s="38" t="s">
        <v>55</v>
      </c>
      <c r="C16" s="39"/>
      <c r="D16" s="39"/>
      <c r="E16" s="39"/>
      <c r="F16" s="39"/>
      <c r="G16" s="39"/>
      <c r="H16" s="39"/>
      <c r="I16" s="39"/>
      <c r="J16" s="39"/>
      <c r="K16" s="40"/>
    </row>
    <row r="17" spans="2:12" x14ac:dyDescent="0.25">
      <c r="B17" s="29" t="s">
        <v>54</v>
      </c>
      <c r="C17" s="30">
        <v>46065</v>
      </c>
      <c r="D17" s="29" t="s">
        <v>11</v>
      </c>
      <c r="E17" s="31" t="s">
        <v>46</v>
      </c>
      <c r="F17" s="32" t="s">
        <v>47</v>
      </c>
      <c r="G17" s="33" t="s">
        <v>53</v>
      </c>
      <c r="H17" s="29" t="s">
        <v>48</v>
      </c>
      <c r="I17" s="33">
        <v>5.15</v>
      </c>
      <c r="J17" s="34">
        <v>200</v>
      </c>
      <c r="K17" s="35" t="s">
        <v>57</v>
      </c>
      <c r="L17" s="13">
        <f t="shared" si="0"/>
        <v>1030</v>
      </c>
    </row>
    <row r="18" spans="2:12" x14ac:dyDescent="0.25">
      <c r="B18" s="29" t="s">
        <v>71</v>
      </c>
      <c r="C18" s="30">
        <v>46065</v>
      </c>
      <c r="D18" s="41" t="s">
        <v>11</v>
      </c>
      <c r="E18" s="31" t="s">
        <v>70</v>
      </c>
      <c r="F18" s="32" t="s">
        <v>15</v>
      </c>
      <c r="G18" s="33" t="s">
        <v>16</v>
      </c>
      <c r="H18" s="29" t="s">
        <v>17</v>
      </c>
      <c r="I18" s="33">
        <v>2.44</v>
      </c>
      <c r="J18" s="34">
        <v>300</v>
      </c>
      <c r="K18" s="35" t="s">
        <v>18</v>
      </c>
      <c r="L18" s="13">
        <f t="shared" si="0"/>
        <v>732</v>
      </c>
    </row>
    <row r="19" spans="2:12" x14ac:dyDescent="0.25">
      <c r="B19" s="29" t="s">
        <v>72</v>
      </c>
      <c r="C19" s="30">
        <v>46065</v>
      </c>
      <c r="D19" s="41" t="s">
        <v>11</v>
      </c>
      <c r="E19" s="31" t="s">
        <v>63</v>
      </c>
      <c r="F19" s="32" t="s">
        <v>19</v>
      </c>
      <c r="G19" s="33" t="s">
        <v>23</v>
      </c>
      <c r="H19" s="29" t="s">
        <v>20</v>
      </c>
      <c r="I19" s="33">
        <v>0.42980000000000002</v>
      </c>
      <c r="J19" s="34">
        <v>1500</v>
      </c>
      <c r="K19" s="36"/>
      <c r="L19" s="13">
        <f t="shared" si="0"/>
        <v>644.70000000000005</v>
      </c>
    </row>
    <row r="20" spans="2:12" x14ac:dyDescent="0.25">
      <c r="B20" s="29" t="s">
        <v>72</v>
      </c>
      <c r="C20" s="30">
        <v>46065</v>
      </c>
      <c r="D20" s="41" t="s">
        <v>11</v>
      </c>
      <c r="E20" s="31" t="s">
        <v>63</v>
      </c>
      <c r="F20" s="32" t="s">
        <v>21</v>
      </c>
      <c r="G20" s="33" t="s">
        <v>24</v>
      </c>
      <c r="H20" s="29" t="s">
        <v>22</v>
      </c>
      <c r="I20" s="33">
        <v>0.4239</v>
      </c>
      <c r="J20" s="34">
        <v>3500</v>
      </c>
      <c r="K20" s="36"/>
      <c r="L20" s="13">
        <f t="shared" si="0"/>
        <v>1483.65</v>
      </c>
    </row>
    <row r="21" spans="2:12" x14ac:dyDescent="0.25">
      <c r="B21" s="29" t="s">
        <v>89</v>
      </c>
      <c r="C21" s="30">
        <v>46065</v>
      </c>
      <c r="D21" s="41" t="s">
        <v>11</v>
      </c>
      <c r="E21" s="42" t="s">
        <v>75</v>
      </c>
      <c r="F21" s="43" t="s">
        <v>76</v>
      </c>
      <c r="G21" s="33" t="s">
        <v>77</v>
      </c>
      <c r="H21" s="41" t="s">
        <v>78</v>
      </c>
      <c r="I21" s="44">
        <v>0.24990000000000001</v>
      </c>
      <c r="J21" s="45">
        <v>4000</v>
      </c>
      <c r="K21" s="36"/>
      <c r="L21" s="13">
        <f t="shared" si="0"/>
        <v>999.6</v>
      </c>
    </row>
    <row r="22" spans="2:12" x14ac:dyDescent="0.25">
      <c r="B22" s="29" t="s">
        <v>90</v>
      </c>
      <c r="C22" s="30">
        <v>46065</v>
      </c>
      <c r="D22" s="41" t="s">
        <v>11</v>
      </c>
      <c r="E22" s="42" t="s">
        <v>79</v>
      </c>
      <c r="F22" s="43" t="s">
        <v>80</v>
      </c>
      <c r="G22" s="33" t="s">
        <v>81</v>
      </c>
      <c r="H22" s="41" t="s">
        <v>82</v>
      </c>
      <c r="I22" s="44">
        <v>8.4975000000000005</v>
      </c>
      <c r="J22" s="45">
        <v>100</v>
      </c>
      <c r="K22" s="46" t="s">
        <v>83</v>
      </c>
      <c r="L22" s="13">
        <f t="shared" si="0"/>
        <v>849.75</v>
      </c>
    </row>
    <row r="23" spans="2:12" x14ac:dyDescent="0.25">
      <c r="B23" s="29" t="s">
        <v>91</v>
      </c>
      <c r="C23" s="30">
        <v>46086</v>
      </c>
      <c r="D23" s="41" t="s">
        <v>11</v>
      </c>
      <c r="E23" s="31" t="s">
        <v>84</v>
      </c>
      <c r="F23" s="32" t="s">
        <v>85</v>
      </c>
      <c r="G23" s="33" t="s">
        <v>88</v>
      </c>
      <c r="H23" s="29" t="s">
        <v>86</v>
      </c>
      <c r="I23" s="33">
        <v>0.27289999999999998</v>
      </c>
      <c r="J23" s="34">
        <v>2000</v>
      </c>
      <c r="K23" s="35" t="s">
        <v>87</v>
      </c>
      <c r="L23" s="13">
        <f t="shared" si="0"/>
        <v>545.79999999999995</v>
      </c>
    </row>
    <row r="24" spans="2:12" x14ac:dyDescent="0.25">
      <c r="B24" s="38" t="s">
        <v>101</v>
      </c>
      <c r="C24" s="39"/>
      <c r="D24" s="39"/>
      <c r="E24" s="39"/>
      <c r="F24" s="39"/>
      <c r="G24" s="39"/>
      <c r="H24" s="39"/>
      <c r="I24" s="39"/>
      <c r="J24" s="39"/>
      <c r="K24" s="40"/>
    </row>
    <row r="25" spans="2:12" x14ac:dyDescent="0.25">
      <c r="B25" s="9" t="s">
        <v>102</v>
      </c>
      <c r="C25" s="10">
        <v>46093</v>
      </c>
      <c r="D25" s="22" t="s">
        <v>11</v>
      </c>
      <c r="E25" s="7" t="s">
        <v>92</v>
      </c>
      <c r="F25" s="8" t="s">
        <v>93</v>
      </c>
      <c r="G25" s="6" t="s">
        <v>96</v>
      </c>
      <c r="H25" s="9" t="s">
        <v>94</v>
      </c>
      <c r="I25" s="6">
        <v>0.42099999999999999</v>
      </c>
      <c r="J25" s="15">
        <v>1000</v>
      </c>
      <c r="K25" s="11" t="s">
        <v>95</v>
      </c>
      <c r="L25" s="13">
        <f t="shared" si="0"/>
        <v>421</v>
      </c>
    </row>
    <row r="26" spans="2:12" x14ac:dyDescent="0.25">
      <c r="B26" s="38" t="s">
        <v>103</v>
      </c>
      <c r="C26" s="39"/>
      <c r="D26" s="39"/>
      <c r="E26" s="39"/>
      <c r="F26" s="39"/>
      <c r="G26" s="39"/>
      <c r="H26" s="39"/>
      <c r="I26" s="39"/>
      <c r="J26" s="39"/>
      <c r="K26" s="40"/>
    </row>
    <row r="27" spans="2:12" x14ac:dyDescent="0.25">
      <c r="B27" s="9" t="s">
        <v>104</v>
      </c>
      <c r="C27" s="10">
        <v>46107</v>
      </c>
      <c r="D27" s="9" t="s">
        <v>11</v>
      </c>
      <c r="E27" s="7" t="s">
        <v>97</v>
      </c>
      <c r="F27" s="8" t="s">
        <v>98</v>
      </c>
      <c r="G27" s="6" t="s">
        <v>99</v>
      </c>
      <c r="H27" s="9" t="s">
        <v>100</v>
      </c>
      <c r="I27" s="6">
        <v>0.11</v>
      </c>
      <c r="J27" s="15">
        <v>150000</v>
      </c>
      <c r="K27" s="18"/>
      <c r="L27" s="13">
        <f t="shared" si="0"/>
        <v>16500</v>
      </c>
    </row>
    <row r="28" spans="2:12" x14ac:dyDescent="0.25">
      <c r="B28" s="9" t="s">
        <v>109</v>
      </c>
      <c r="C28" s="10">
        <v>46107</v>
      </c>
      <c r="D28" s="22" t="s">
        <v>11</v>
      </c>
      <c r="E28" s="7" t="s">
        <v>110</v>
      </c>
      <c r="F28" s="8" t="s">
        <v>15</v>
      </c>
      <c r="G28" s="6" t="s">
        <v>16</v>
      </c>
      <c r="H28" s="9" t="s">
        <v>17</v>
      </c>
      <c r="I28" s="6">
        <v>2.44</v>
      </c>
      <c r="J28" s="15">
        <v>300</v>
      </c>
      <c r="K28" s="11" t="s">
        <v>18</v>
      </c>
      <c r="L28" s="13">
        <f t="shared" si="0"/>
        <v>732</v>
      </c>
    </row>
    <row r="29" spans="2:12" x14ac:dyDescent="0.25">
      <c r="B29" s="38" t="s">
        <v>120</v>
      </c>
      <c r="C29" s="39"/>
      <c r="D29" s="39"/>
      <c r="E29" s="39"/>
      <c r="F29" s="39"/>
      <c r="G29" s="39"/>
      <c r="H29" s="39"/>
      <c r="I29" s="39"/>
      <c r="J29" s="39"/>
      <c r="K29" s="40"/>
    </row>
    <row r="30" spans="2:12" x14ac:dyDescent="0.25">
      <c r="B30" s="9" t="s">
        <v>119</v>
      </c>
      <c r="C30" s="10">
        <v>46133</v>
      </c>
      <c r="D30" s="22" t="s">
        <v>11</v>
      </c>
      <c r="E30" s="7" t="s">
        <v>114</v>
      </c>
      <c r="F30" s="8" t="s">
        <v>115</v>
      </c>
      <c r="G30" s="6" t="s">
        <v>116</v>
      </c>
      <c r="H30" s="9" t="s">
        <v>117</v>
      </c>
      <c r="I30" s="6">
        <v>0.9304</v>
      </c>
      <c r="J30" s="15">
        <v>500</v>
      </c>
      <c r="K30" s="18"/>
      <c r="L30" s="13">
        <f t="shared" si="0"/>
        <v>465.2</v>
      </c>
    </row>
    <row r="31" spans="2:12" x14ac:dyDescent="0.25">
      <c r="B31" s="38" t="s">
        <v>112</v>
      </c>
      <c r="C31" s="39"/>
      <c r="D31" s="39"/>
      <c r="E31" s="39"/>
      <c r="F31" s="39"/>
      <c r="G31" s="39"/>
      <c r="H31" s="39"/>
      <c r="I31" s="39"/>
      <c r="J31" s="39"/>
      <c r="K31" s="40"/>
    </row>
    <row r="32" spans="2:12" x14ac:dyDescent="0.25">
      <c r="B32" s="9" t="s">
        <v>113</v>
      </c>
      <c r="C32" s="10">
        <v>46133</v>
      </c>
      <c r="D32" s="22" t="s">
        <v>11</v>
      </c>
      <c r="E32" s="7" t="s">
        <v>105</v>
      </c>
      <c r="F32" s="8" t="s">
        <v>19</v>
      </c>
      <c r="G32" s="6" t="s">
        <v>23</v>
      </c>
      <c r="H32" s="9" t="s">
        <v>20</v>
      </c>
      <c r="I32" s="6">
        <v>0.42980000000000002</v>
      </c>
      <c r="J32" s="15">
        <v>2100</v>
      </c>
      <c r="K32" s="18"/>
      <c r="L32" s="13">
        <f t="shared" si="0"/>
        <v>902.58</v>
      </c>
    </row>
    <row r="33" spans="2:12" x14ac:dyDescent="0.25">
      <c r="B33" s="9" t="s">
        <v>113</v>
      </c>
      <c r="C33" s="10">
        <v>46133</v>
      </c>
      <c r="D33" s="22" t="s">
        <v>11</v>
      </c>
      <c r="E33" s="7" t="s">
        <v>105</v>
      </c>
      <c r="F33" s="8" t="s">
        <v>21</v>
      </c>
      <c r="G33" s="6" t="s">
        <v>24</v>
      </c>
      <c r="H33" s="9" t="s">
        <v>22</v>
      </c>
      <c r="I33" s="6">
        <v>0.4239</v>
      </c>
      <c r="J33" s="15">
        <v>4100</v>
      </c>
      <c r="K33" s="18"/>
      <c r="L33" s="13">
        <f t="shared" si="0"/>
        <v>1737.99</v>
      </c>
    </row>
    <row r="34" spans="2:12" x14ac:dyDescent="0.25">
      <c r="B34" s="9" t="s">
        <v>118</v>
      </c>
      <c r="C34" s="10">
        <v>46133</v>
      </c>
      <c r="D34" s="22" t="s">
        <v>11</v>
      </c>
      <c r="E34" s="7" t="s">
        <v>111</v>
      </c>
      <c r="F34" s="8" t="s">
        <v>19</v>
      </c>
      <c r="G34" s="6" t="s">
        <v>23</v>
      </c>
      <c r="H34" s="9" t="s">
        <v>20</v>
      </c>
      <c r="I34" s="6">
        <v>0.42980000000000002</v>
      </c>
      <c r="J34" s="15">
        <v>900</v>
      </c>
      <c r="K34" s="18"/>
      <c r="L34" s="13">
        <f t="shared" si="0"/>
        <v>386.82</v>
      </c>
    </row>
    <row r="35" spans="2:12" x14ac:dyDescent="0.25">
      <c r="B35" s="9" t="s">
        <v>118</v>
      </c>
      <c r="C35" s="10">
        <v>46133</v>
      </c>
      <c r="D35" s="22" t="s">
        <v>11</v>
      </c>
      <c r="E35" s="7" t="s">
        <v>111</v>
      </c>
      <c r="F35" s="8" t="s">
        <v>21</v>
      </c>
      <c r="G35" s="6" t="s">
        <v>24</v>
      </c>
      <c r="H35" s="9" t="s">
        <v>22</v>
      </c>
      <c r="I35" s="6">
        <v>0.4239</v>
      </c>
      <c r="J35" s="15">
        <v>3900</v>
      </c>
      <c r="K35" s="18"/>
      <c r="L35" s="13">
        <f t="shared" si="0"/>
        <v>1653.21</v>
      </c>
    </row>
    <row r="36" spans="2:12" x14ac:dyDescent="0.25">
      <c r="B36" s="9" t="s">
        <v>119</v>
      </c>
      <c r="C36" s="10">
        <v>46133</v>
      </c>
      <c r="D36" s="22" t="s">
        <v>11</v>
      </c>
      <c r="E36" s="7" t="s">
        <v>114</v>
      </c>
      <c r="F36" s="8" t="s">
        <v>115</v>
      </c>
      <c r="G36" s="6" t="s">
        <v>116</v>
      </c>
      <c r="H36" s="9" t="s">
        <v>117</v>
      </c>
      <c r="I36" s="6">
        <v>0.9304</v>
      </c>
      <c r="J36" s="15">
        <f>2000-500</f>
        <v>1500</v>
      </c>
      <c r="K36" s="18" t="s">
        <v>121</v>
      </c>
      <c r="L36" s="13">
        <f t="shared" si="0"/>
        <v>1395.6</v>
      </c>
    </row>
    <row r="37" spans="2:12" x14ac:dyDescent="0.25">
      <c r="B37" s="9" t="s">
        <v>123</v>
      </c>
      <c r="C37" s="10">
        <v>46133</v>
      </c>
      <c r="D37" s="22" t="s">
        <v>11</v>
      </c>
      <c r="E37" s="7" t="s">
        <v>122</v>
      </c>
      <c r="F37" s="8" t="s">
        <v>19</v>
      </c>
      <c r="G37" s="6" t="s">
        <v>23</v>
      </c>
      <c r="H37" s="9" t="s">
        <v>20</v>
      </c>
      <c r="I37" s="6">
        <v>0.42980000000000002</v>
      </c>
      <c r="J37" s="15">
        <v>600</v>
      </c>
      <c r="K37" s="18"/>
      <c r="L37" s="13">
        <f t="shared" si="0"/>
        <v>257.88</v>
      </c>
    </row>
    <row r="38" spans="2:12" x14ac:dyDescent="0.25">
      <c r="B38" s="9" t="s">
        <v>123</v>
      </c>
      <c r="C38" s="10">
        <v>46133</v>
      </c>
      <c r="D38" s="22" t="s">
        <v>11</v>
      </c>
      <c r="E38" s="7" t="s">
        <v>122</v>
      </c>
      <c r="F38" s="8" t="s">
        <v>21</v>
      </c>
      <c r="G38" s="6" t="s">
        <v>24</v>
      </c>
      <c r="H38" s="9" t="s">
        <v>22</v>
      </c>
      <c r="I38" s="6">
        <v>0.4239</v>
      </c>
      <c r="J38" s="15">
        <v>1900</v>
      </c>
      <c r="K38" s="18"/>
      <c r="L38" s="13">
        <f t="shared" si="0"/>
        <v>805.41</v>
      </c>
    </row>
    <row r="39" spans="2:12" x14ac:dyDescent="0.25">
      <c r="B39" s="38" t="s">
        <v>107</v>
      </c>
      <c r="C39" s="39"/>
      <c r="D39" s="39"/>
      <c r="E39" s="39"/>
      <c r="F39" s="39"/>
      <c r="G39" s="39"/>
      <c r="H39" s="39"/>
      <c r="I39" s="39"/>
      <c r="J39" s="39"/>
      <c r="K39" s="40"/>
    </row>
    <row r="40" spans="2:12" x14ac:dyDescent="0.25">
      <c r="B40" s="9" t="s">
        <v>108</v>
      </c>
      <c r="C40" s="10">
        <v>46163</v>
      </c>
      <c r="D40" s="9" t="s">
        <v>11</v>
      </c>
      <c r="E40" s="7" t="s">
        <v>106</v>
      </c>
      <c r="F40" s="8" t="s">
        <v>98</v>
      </c>
      <c r="G40" s="6" t="s">
        <v>99</v>
      </c>
      <c r="H40" s="9" t="s">
        <v>100</v>
      </c>
      <c r="I40" s="6">
        <v>0.11</v>
      </c>
      <c r="J40" s="15">
        <v>150000</v>
      </c>
      <c r="K40" s="11"/>
      <c r="L40" s="13">
        <f t="shared" si="0"/>
        <v>16500</v>
      </c>
    </row>
    <row r="41" spans="2:12" x14ac:dyDescent="0.25">
      <c r="B41" s="38" t="s">
        <v>73</v>
      </c>
      <c r="C41" s="39"/>
      <c r="D41" s="39"/>
      <c r="E41" s="39"/>
      <c r="F41" s="39"/>
      <c r="G41" s="39"/>
      <c r="H41" s="39"/>
      <c r="I41" s="39"/>
      <c r="J41" s="39"/>
      <c r="K41" s="40"/>
    </row>
    <row r="42" spans="2:12" x14ac:dyDescent="0.25">
      <c r="B42" s="9" t="s">
        <v>74</v>
      </c>
      <c r="C42" s="17"/>
      <c r="D42" s="9" t="s">
        <v>11</v>
      </c>
      <c r="E42" s="7" t="s">
        <v>58</v>
      </c>
      <c r="F42" s="8" t="s">
        <v>59</v>
      </c>
      <c r="G42" s="6" t="s">
        <v>66</v>
      </c>
      <c r="H42" s="9" t="s">
        <v>64</v>
      </c>
      <c r="I42" s="6">
        <v>9.85</v>
      </c>
      <c r="J42" s="15">
        <v>200</v>
      </c>
      <c r="K42" s="11" t="s">
        <v>62</v>
      </c>
      <c r="L42" s="13">
        <f t="shared" si="0"/>
        <v>1970</v>
      </c>
    </row>
    <row r="43" spans="2:12" x14ac:dyDescent="0.25">
      <c r="B43" s="12"/>
      <c r="C43" s="12"/>
      <c r="D43" s="9" t="s">
        <v>11</v>
      </c>
      <c r="E43" s="7" t="s">
        <v>58</v>
      </c>
      <c r="F43" s="8" t="s">
        <v>10</v>
      </c>
      <c r="G43" s="20" t="s">
        <v>61</v>
      </c>
      <c r="H43" s="9" t="s">
        <v>65</v>
      </c>
      <c r="I43" s="19">
        <v>3200</v>
      </c>
      <c r="J43" s="15">
        <v>1</v>
      </c>
      <c r="K43" s="11"/>
      <c r="L43" s="13">
        <f t="shared" si="0"/>
        <v>3200</v>
      </c>
    </row>
    <row r="44" spans="2:12" x14ac:dyDescent="0.25">
      <c r="B44" s="9" t="s">
        <v>74</v>
      </c>
      <c r="C44" s="17"/>
      <c r="D44" s="9" t="s">
        <v>11</v>
      </c>
      <c r="E44" s="7" t="s">
        <v>58</v>
      </c>
      <c r="F44" s="8" t="s">
        <v>60</v>
      </c>
      <c r="G44" s="6" t="s">
        <v>69</v>
      </c>
      <c r="H44" s="9" t="s">
        <v>67</v>
      </c>
      <c r="I44" s="6">
        <v>10.85</v>
      </c>
      <c r="J44" s="15">
        <v>200</v>
      </c>
      <c r="K44" s="11" t="s">
        <v>62</v>
      </c>
      <c r="L44" s="13">
        <f t="shared" si="0"/>
        <v>2170</v>
      </c>
    </row>
    <row r="45" spans="2:12" x14ac:dyDescent="0.25">
      <c r="B45" s="21"/>
      <c r="C45" s="21"/>
      <c r="D45" s="22" t="s">
        <v>11</v>
      </c>
      <c r="E45" s="23" t="s">
        <v>58</v>
      </c>
      <c r="F45" s="24" t="s">
        <v>10</v>
      </c>
      <c r="G45" s="25" t="s">
        <v>61</v>
      </c>
      <c r="H45" s="22" t="s">
        <v>68</v>
      </c>
      <c r="I45" s="28">
        <v>3200</v>
      </c>
      <c r="J45" s="26">
        <v>1</v>
      </c>
      <c r="K45" s="27"/>
      <c r="L45" s="13">
        <f t="shared" si="0"/>
        <v>3200</v>
      </c>
    </row>
    <row r="46" spans="2:12" x14ac:dyDescent="0.25">
      <c r="B46" s="12"/>
      <c r="C46" s="12"/>
      <c r="D46" s="9"/>
      <c r="E46" s="7"/>
      <c r="F46" s="8"/>
      <c r="G46" s="12"/>
      <c r="H46" s="9"/>
      <c r="I46" s="6"/>
      <c r="J46" s="15"/>
      <c r="K46" s="11"/>
    </row>
    <row r="47" spans="2:12" x14ac:dyDescent="0.25">
      <c r="B47" s="17"/>
      <c r="C47" s="17"/>
      <c r="D47" s="9" t="s">
        <v>11</v>
      </c>
      <c r="E47" s="7" t="s">
        <v>124</v>
      </c>
      <c r="F47" s="8" t="s">
        <v>125</v>
      </c>
      <c r="G47" s="6" t="s">
        <v>137</v>
      </c>
      <c r="H47" s="9" t="s">
        <v>126</v>
      </c>
      <c r="I47" s="6">
        <v>1.6877</v>
      </c>
      <c r="J47" s="15">
        <v>100</v>
      </c>
      <c r="K47" s="11" t="s">
        <v>127</v>
      </c>
      <c r="L47" s="13">
        <f t="shared" si="0"/>
        <v>168.77</v>
      </c>
    </row>
    <row r="48" spans="2:12" x14ac:dyDescent="0.25">
      <c r="B48" s="12"/>
      <c r="C48" s="12"/>
      <c r="D48" s="9"/>
      <c r="E48" s="7"/>
      <c r="F48" s="8"/>
      <c r="G48" s="6"/>
      <c r="H48" s="9"/>
      <c r="I48" s="6"/>
      <c r="J48" s="15"/>
      <c r="K48" s="11"/>
      <c r="L48" s="13">
        <f t="shared" si="0"/>
        <v>0</v>
      </c>
    </row>
    <row r="49" spans="2:12" x14ac:dyDescent="0.25">
      <c r="B49" s="17"/>
      <c r="C49" s="17"/>
      <c r="D49" s="9" t="s">
        <v>11</v>
      </c>
      <c r="E49" s="7" t="s">
        <v>128</v>
      </c>
      <c r="F49" s="8" t="s">
        <v>129</v>
      </c>
      <c r="G49" s="6" t="s">
        <v>130</v>
      </c>
      <c r="H49" s="9" t="s">
        <v>131</v>
      </c>
      <c r="I49" s="37">
        <v>13.4</v>
      </c>
      <c r="J49" s="15">
        <v>171</v>
      </c>
      <c r="K49" s="11" t="s">
        <v>132</v>
      </c>
      <c r="L49" s="13">
        <f t="shared" si="0"/>
        <v>2291.4</v>
      </c>
    </row>
    <row r="50" spans="2:12" x14ac:dyDescent="0.25">
      <c r="B50" s="12"/>
      <c r="C50" s="12"/>
      <c r="D50" s="9"/>
      <c r="E50" s="7"/>
      <c r="F50" s="8"/>
      <c r="G50" s="6"/>
      <c r="H50" s="9"/>
      <c r="I50" s="6"/>
      <c r="J50" s="15"/>
      <c r="K50" s="11"/>
    </row>
    <row r="51" spans="2:12" x14ac:dyDescent="0.25">
      <c r="B51" s="17"/>
      <c r="C51" s="17"/>
      <c r="D51" s="9" t="s">
        <v>11</v>
      </c>
      <c r="E51" s="7" t="s">
        <v>133</v>
      </c>
      <c r="F51" s="8" t="s">
        <v>134</v>
      </c>
      <c r="G51" s="6" t="s">
        <v>135</v>
      </c>
      <c r="H51" s="9" t="s">
        <v>136</v>
      </c>
      <c r="I51" s="37">
        <v>0.53779999999999994</v>
      </c>
      <c r="J51" s="15">
        <v>500</v>
      </c>
      <c r="K51" s="11"/>
    </row>
    <row r="52" spans="2:12" x14ac:dyDescent="0.25">
      <c r="B52" s="12"/>
      <c r="C52" s="12"/>
      <c r="D52" s="9"/>
      <c r="E52" s="7"/>
      <c r="F52" s="8"/>
      <c r="G52" s="6"/>
      <c r="H52" s="9"/>
      <c r="I52" s="6"/>
      <c r="J52" s="15"/>
      <c r="K52" s="11"/>
    </row>
    <row r="53" spans="2:12" x14ac:dyDescent="0.25">
      <c r="B53" s="12"/>
      <c r="C53" s="12"/>
      <c r="D53" s="9"/>
      <c r="E53" s="7"/>
      <c r="F53" s="8"/>
      <c r="G53" s="6"/>
      <c r="H53" s="9"/>
      <c r="I53" s="6"/>
      <c r="J53" s="15"/>
      <c r="K53" s="11"/>
    </row>
    <row r="54" spans="2:12" x14ac:dyDescent="0.25">
      <c r="B54" s="12"/>
      <c r="C54" s="12"/>
      <c r="D54" s="9"/>
      <c r="E54" s="7"/>
      <c r="F54" s="8"/>
      <c r="G54" s="6"/>
      <c r="H54" s="9"/>
      <c r="I54" s="6"/>
      <c r="J54" s="15"/>
      <c r="K54" s="11"/>
    </row>
    <row r="55" spans="2:12" x14ac:dyDescent="0.25">
      <c r="B55" s="12"/>
      <c r="C55" s="12"/>
      <c r="D55" s="9"/>
      <c r="E55" s="7"/>
      <c r="F55" s="8"/>
      <c r="G55" s="6"/>
      <c r="H55" s="9"/>
      <c r="I55" s="6"/>
      <c r="J55" s="15"/>
      <c r="K55" s="11"/>
    </row>
    <row r="56" spans="2:12" x14ac:dyDescent="0.25">
      <c r="B56" s="12"/>
      <c r="C56" s="12"/>
      <c r="D56" s="9"/>
      <c r="E56" s="7"/>
      <c r="F56" s="8"/>
      <c r="G56" s="6"/>
      <c r="H56" s="9"/>
      <c r="I56" s="6"/>
      <c r="J56" s="15"/>
      <c r="K56" s="11"/>
    </row>
    <row r="57" spans="2:12" x14ac:dyDescent="0.25">
      <c r="B57" s="12"/>
      <c r="C57" s="12"/>
      <c r="D57" s="9"/>
      <c r="E57" s="7"/>
      <c r="F57" s="8"/>
      <c r="G57" s="6"/>
      <c r="H57" s="9"/>
      <c r="I57" s="6"/>
      <c r="J57" s="15"/>
      <c r="K57" s="11"/>
    </row>
    <row r="58" spans="2:12" x14ac:dyDescent="0.25">
      <c r="B58" s="12"/>
      <c r="C58" s="12"/>
      <c r="D58" s="9"/>
      <c r="E58" s="7"/>
      <c r="F58" s="8"/>
      <c r="G58" s="6"/>
      <c r="H58" s="9"/>
      <c r="I58" s="6"/>
      <c r="J58" s="15"/>
      <c r="K58" s="11"/>
    </row>
    <row r="59" spans="2:12" x14ac:dyDescent="0.25">
      <c r="B59" s="12"/>
      <c r="C59" s="12"/>
      <c r="D59" s="9"/>
      <c r="E59" s="7"/>
      <c r="F59" s="8"/>
      <c r="G59" s="6"/>
      <c r="H59" s="9"/>
      <c r="I59" s="6"/>
      <c r="J59" s="15"/>
      <c r="K59" s="11"/>
    </row>
    <row r="60" spans="2:12" x14ac:dyDescent="0.25">
      <c r="B60" s="12"/>
      <c r="C60" s="12"/>
      <c r="D60" s="9"/>
      <c r="E60" s="7"/>
      <c r="F60" s="8"/>
      <c r="G60" s="6"/>
      <c r="H60" s="9"/>
      <c r="I60" s="6"/>
      <c r="J60" s="15"/>
      <c r="K60" s="11"/>
    </row>
    <row r="61" spans="2:12" x14ac:dyDescent="0.25">
      <c r="B61" s="12"/>
      <c r="C61" s="12"/>
      <c r="D61" s="9"/>
      <c r="E61" s="7"/>
      <c r="F61" s="8"/>
      <c r="G61" s="12"/>
      <c r="H61" s="9"/>
      <c r="I61" s="6"/>
      <c r="J61" s="15"/>
      <c r="K61" s="11"/>
    </row>
    <row r="62" spans="2:12" x14ac:dyDescent="0.25">
      <c r="B62" s="12"/>
      <c r="C62" s="12"/>
      <c r="D62" s="9"/>
      <c r="E62" s="7"/>
      <c r="F62" s="8"/>
      <c r="G62" s="12"/>
      <c r="H62" s="9"/>
      <c r="I62" s="6"/>
      <c r="J62" s="15"/>
      <c r="K62" s="11"/>
    </row>
    <row r="63" spans="2:12" x14ac:dyDescent="0.25">
      <c r="B63" s="12"/>
      <c r="C63" s="12"/>
      <c r="D63" s="9"/>
      <c r="E63" s="7"/>
      <c r="F63" s="8"/>
      <c r="G63" s="12"/>
      <c r="H63" s="9"/>
      <c r="I63" s="6"/>
      <c r="J63" s="15"/>
      <c r="K63" s="11"/>
    </row>
    <row r="64" spans="2:12" x14ac:dyDescent="0.25">
      <c r="B64" s="12"/>
      <c r="C64" s="12"/>
      <c r="D64" s="9"/>
      <c r="E64" s="7"/>
      <c r="F64" s="8"/>
      <c r="G64" s="12"/>
      <c r="H64" s="9"/>
      <c r="I64" s="6"/>
      <c r="J64" s="15"/>
      <c r="K64" s="11"/>
    </row>
    <row r="65" spans="2:11" x14ac:dyDescent="0.25">
      <c r="B65" s="12"/>
      <c r="C65" s="12"/>
      <c r="D65" s="9"/>
      <c r="E65" s="7"/>
      <c r="F65" s="8"/>
      <c r="G65" s="12"/>
      <c r="H65" s="9"/>
      <c r="I65" s="6"/>
      <c r="J65" s="15"/>
      <c r="K65" s="11"/>
    </row>
    <row r="66" spans="2:11" x14ac:dyDescent="0.25">
      <c r="B66" s="12"/>
      <c r="C66" s="12"/>
      <c r="D66" s="9"/>
      <c r="E66" s="7"/>
      <c r="F66" s="8"/>
      <c r="G66" s="12"/>
      <c r="H66" s="9"/>
      <c r="I66" s="6"/>
      <c r="J66" s="15"/>
      <c r="K66" s="11"/>
    </row>
    <row r="67" spans="2:11" x14ac:dyDescent="0.25">
      <c r="B67" s="12"/>
      <c r="C67" s="12"/>
      <c r="D67" s="9"/>
      <c r="E67" s="7"/>
      <c r="F67" s="8"/>
      <c r="G67" s="12"/>
      <c r="H67" s="9"/>
      <c r="I67" s="6"/>
      <c r="J67" s="15"/>
      <c r="K67" s="11"/>
    </row>
    <row r="68" spans="2:11" x14ac:dyDescent="0.25">
      <c r="B68" s="12"/>
      <c r="C68" s="12"/>
      <c r="D68" s="9"/>
      <c r="E68" s="7"/>
      <c r="F68" s="8"/>
      <c r="G68" s="12"/>
      <c r="H68" s="9"/>
      <c r="I68" s="6"/>
      <c r="J68" s="15"/>
      <c r="K68" s="11"/>
    </row>
    <row r="69" spans="2:11" x14ac:dyDescent="0.25">
      <c r="B69" s="12"/>
      <c r="C69" s="12"/>
      <c r="D69" s="9"/>
      <c r="E69" s="7"/>
      <c r="F69" s="8"/>
      <c r="G69" s="12"/>
      <c r="H69" s="9"/>
      <c r="I69" s="6"/>
      <c r="J69" s="15"/>
      <c r="K69" s="11"/>
    </row>
    <row r="70" spans="2:11" x14ac:dyDescent="0.25">
      <c r="B70" s="12"/>
      <c r="C70" s="12"/>
      <c r="D70" s="9"/>
      <c r="E70" s="7"/>
      <c r="F70" s="8"/>
      <c r="G70" s="12"/>
      <c r="H70" s="9"/>
      <c r="I70" s="6"/>
      <c r="J70" s="15"/>
      <c r="K70" s="11"/>
    </row>
    <row r="71" spans="2:11" x14ac:dyDescent="0.25">
      <c r="B71" s="12"/>
      <c r="C71" s="12"/>
      <c r="D71" s="9"/>
      <c r="E71" s="7"/>
      <c r="F71" s="8"/>
      <c r="G71" s="12"/>
      <c r="H71" s="9"/>
      <c r="I71" s="6"/>
      <c r="J71" s="15"/>
      <c r="K71" s="11"/>
    </row>
    <row r="72" spans="2:11" x14ac:dyDescent="0.25">
      <c r="B72" s="12"/>
      <c r="C72" s="12"/>
      <c r="D72" s="9"/>
      <c r="E72" s="7"/>
      <c r="F72" s="8"/>
      <c r="G72" s="12"/>
      <c r="H72" s="9"/>
      <c r="I72" s="6"/>
      <c r="J72" s="15"/>
      <c r="K72" s="11"/>
    </row>
    <row r="73" spans="2:11" x14ac:dyDescent="0.25">
      <c r="B73" s="12"/>
      <c r="C73" s="12"/>
      <c r="D73" s="9"/>
      <c r="E73" s="7"/>
      <c r="F73" s="8"/>
      <c r="G73" s="12"/>
      <c r="H73" s="9"/>
      <c r="I73" s="6"/>
      <c r="J73" s="15"/>
      <c r="K73" s="11"/>
    </row>
    <row r="74" spans="2:11" x14ac:dyDescent="0.25">
      <c r="B74" s="12"/>
      <c r="C74" s="12"/>
      <c r="D74" s="9"/>
      <c r="E74" s="7"/>
      <c r="F74" s="8"/>
      <c r="G74" s="12"/>
      <c r="H74" s="9"/>
      <c r="I74" s="6"/>
      <c r="J74" s="15"/>
      <c r="K74" s="11"/>
    </row>
    <row r="75" spans="2:11" x14ac:dyDescent="0.25">
      <c r="B75" s="12"/>
      <c r="C75" s="12"/>
      <c r="D75" s="9"/>
      <c r="E75" s="7"/>
      <c r="F75" s="8"/>
      <c r="G75" s="12"/>
      <c r="H75" s="9"/>
      <c r="I75" s="6"/>
      <c r="J75" s="15"/>
      <c r="K75" s="11"/>
    </row>
    <row r="76" spans="2:11" x14ac:dyDescent="0.25">
      <c r="B76" s="12"/>
      <c r="C76" s="12"/>
      <c r="D76" s="9"/>
      <c r="E76" s="7"/>
      <c r="F76" s="8"/>
      <c r="G76" s="12"/>
      <c r="H76" s="9"/>
      <c r="I76" s="6"/>
      <c r="J76" s="15"/>
      <c r="K76" s="11"/>
    </row>
    <row r="77" spans="2:11" x14ac:dyDescent="0.25">
      <c r="B77" s="12"/>
      <c r="C77" s="12"/>
      <c r="D77" s="9"/>
      <c r="E77" s="7"/>
      <c r="F77" s="8"/>
      <c r="G77" s="12"/>
      <c r="H77" s="9"/>
      <c r="I77" s="6"/>
      <c r="J77" s="15"/>
      <c r="K77" s="11"/>
    </row>
    <row r="78" spans="2:11" x14ac:dyDescent="0.25">
      <c r="B78" s="12"/>
      <c r="C78" s="12"/>
      <c r="D78" s="9"/>
      <c r="E78" s="7"/>
      <c r="F78" s="8"/>
      <c r="G78" s="12"/>
      <c r="H78" s="9"/>
      <c r="I78" s="6"/>
      <c r="J78" s="15"/>
      <c r="K78" s="11"/>
    </row>
    <row r="79" spans="2:11" x14ac:dyDescent="0.25">
      <c r="B79" s="12"/>
      <c r="C79" s="12"/>
      <c r="D79" s="9"/>
      <c r="E79" s="7"/>
      <c r="F79" s="8"/>
      <c r="G79" s="12"/>
      <c r="H79" s="9"/>
      <c r="I79" s="6"/>
      <c r="J79" s="15"/>
      <c r="K79" s="11"/>
    </row>
    <row r="80" spans="2:11" x14ac:dyDescent="0.25">
      <c r="B80" s="12"/>
      <c r="C80" s="12"/>
      <c r="D80" s="9"/>
      <c r="E80" s="7"/>
      <c r="F80" s="8"/>
      <c r="G80" s="12"/>
      <c r="H80" s="9"/>
      <c r="I80" s="6"/>
      <c r="J80" s="15"/>
      <c r="K80" s="11"/>
    </row>
    <row r="81" spans="2:11" x14ac:dyDescent="0.25">
      <c r="B81" s="12"/>
      <c r="C81" s="12"/>
      <c r="D81" s="9"/>
      <c r="E81" s="7"/>
      <c r="F81" s="8"/>
      <c r="G81" s="12"/>
      <c r="H81" s="9"/>
      <c r="I81" s="6"/>
      <c r="J81" s="15"/>
      <c r="K81" s="11"/>
    </row>
    <row r="82" spans="2:11" x14ac:dyDescent="0.25">
      <c r="B82" s="12"/>
      <c r="C82" s="12"/>
      <c r="D82" s="9"/>
      <c r="E82" s="7"/>
      <c r="F82" s="8"/>
      <c r="G82" s="12"/>
      <c r="H82" s="9"/>
      <c r="I82" s="6"/>
      <c r="J82" s="15"/>
      <c r="K82" s="11"/>
    </row>
    <row r="83" spans="2:11" x14ac:dyDescent="0.25">
      <c r="B83" s="12"/>
      <c r="C83" s="12"/>
      <c r="D83" s="9"/>
      <c r="E83" s="7"/>
      <c r="F83" s="8"/>
      <c r="G83" s="12"/>
      <c r="H83" s="9"/>
      <c r="I83" s="6"/>
      <c r="J83" s="15"/>
      <c r="K83" s="11"/>
    </row>
    <row r="84" spans="2:11" x14ac:dyDescent="0.25">
      <c r="B84" s="12"/>
      <c r="C84" s="12"/>
      <c r="D84" s="9"/>
      <c r="E84" s="7"/>
      <c r="F84" s="8"/>
      <c r="G84" s="12"/>
      <c r="H84" s="9"/>
      <c r="I84" s="6"/>
      <c r="J84" s="15"/>
      <c r="K84" s="11"/>
    </row>
  </sheetData>
  <mergeCells count="8">
    <mergeCell ref="B8:K8"/>
    <mergeCell ref="B41:K41"/>
    <mergeCell ref="B16:K16"/>
    <mergeCell ref="B24:K24"/>
    <mergeCell ref="B26:K26"/>
    <mergeCell ref="B39:K39"/>
    <mergeCell ref="B31:K31"/>
    <mergeCell ref="B29:K29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2026-03-12T06:23:08Z</dcterms:modified>
</cp:coreProperties>
</file>