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A5A6CC2D-2A25-4B60-BEAC-1B20219149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  <c r="I100" i="1"/>
</calcChain>
</file>

<file path=xl/sharedStrings.xml><?xml version="1.0" encoding="utf-8"?>
<sst xmlns="http://schemas.openxmlformats.org/spreadsheetml/2006/main" count="326" uniqueCount="178">
  <si>
    <t>ISKA CODE</t>
  </si>
  <si>
    <t>DESC. OF GOOD</t>
  </si>
  <si>
    <t>PRICE</t>
  </si>
  <si>
    <t>QUANTITIY</t>
  </si>
  <si>
    <t>NOTES</t>
  </si>
  <si>
    <t>NETSIS</t>
  </si>
  <si>
    <t>60 GÜN VADE</t>
  </si>
  <si>
    <t>PANTECNICA  Order NO</t>
  </si>
  <si>
    <t>İŞ BANK</t>
  </si>
  <si>
    <t>Machine Foot 60Sh Black</t>
  </si>
  <si>
    <t>T3058</t>
  </si>
  <si>
    <t>B-NR-70-WH-40*30-M8*23</t>
  </si>
  <si>
    <t>T2593</t>
  </si>
  <si>
    <t>T2440</t>
  </si>
  <si>
    <t>B-NR-55-WH-50*40-M10*28</t>
  </si>
  <si>
    <t>B-NR-55-WH-75*50-M12*37</t>
  </si>
  <si>
    <t>B-NR-70-WH-30*30-M8*20</t>
  </si>
  <si>
    <t>T3271</t>
  </si>
  <si>
    <t>Machine Foot 70Sh Black</t>
  </si>
  <si>
    <t>B-NR-70-WH-50*20-M10*28-M10</t>
  </si>
  <si>
    <t>T3711</t>
  </si>
  <si>
    <t>60012031M MAVA0690 ETİKETLİ</t>
  </si>
  <si>
    <t>T3003-M16-60-1</t>
  </si>
  <si>
    <t>T3003-M16-70-1</t>
  </si>
  <si>
    <t>T3124-M12-60-1</t>
  </si>
  <si>
    <t>T3003-M16-45-1</t>
  </si>
  <si>
    <t>T3124-M12-70-1</t>
  </si>
  <si>
    <t>T3962</t>
  </si>
  <si>
    <t>A-NR-70-WH-30*15-M8*13-M8*13</t>
  </si>
  <si>
    <t>T4165</t>
  </si>
  <si>
    <t>B-NR-60-WH-30*15-M8*16-M8-OPEN</t>
  </si>
  <si>
    <t>A-NR-60-WH-50*20-M10*20-M10*12</t>
  </si>
  <si>
    <t>T4198</t>
  </si>
  <si>
    <t>Machine Foot NR45Sh Black</t>
  </si>
  <si>
    <t>T3797-M20-60-1</t>
  </si>
  <si>
    <t>MA NR63 184x184x63 M20</t>
  </si>
  <si>
    <t>60 SH. DAMGALANACAK - 63 SHORE ÜRETİLECEK</t>
  </si>
  <si>
    <t>T1017-M10-70-1</t>
  </si>
  <si>
    <t>60011031 70 SH.</t>
  </si>
  <si>
    <t>60012031 70 SH.</t>
  </si>
  <si>
    <t>T2937</t>
  </si>
  <si>
    <t>A-NR-45-WH-30*30-M8*20-M8*20</t>
  </si>
  <si>
    <t>T3167</t>
  </si>
  <si>
    <t>A-NR-55-WH-50*40-M10*28-M10*28</t>
  </si>
  <si>
    <t>T2940</t>
  </si>
  <si>
    <t>T2951</t>
  </si>
  <si>
    <t>A-NR-55-WH-40*30-M8*23-M8*23</t>
  </si>
  <si>
    <t>T1017-M10-40-1</t>
  </si>
  <si>
    <t>60011031 40 SH</t>
  </si>
  <si>
    <t>B-NR-40-WH-70*45-M10*30-M10</t>
  </si>
  <si>
    <t>T1017-M10-55-1</t>
  </si>
  <si>
    <t>60011031 55 SH.</t>
  </si>
  <si>
    <t>T3843</t>
  </si>
  <si>
    <t>B-NR-40-WH-30*15-M8*20-M8</t>
  </si>
  <si>
    <t>R 2015</t>
  </si>
  <si>
    <t>22X6 SP.5 NBR 75 SH</t>
  </si>
  <si>
    <t>60012031H MAVA0700 ETİKETLİ</t>
  </si>
  <si>
    <t>60016032H MAVA0730 ETİKETLİ</t>
  </si>
  <si>
    <t>60016032M MAVA0720 ETİKETLİ</t>
  </si>
  <si>
    <t>60012031 60 SH.</t>
  </si>
  <si>
    <t>T2681</t>
  </si>
  <si>
    <t>B-NR-55-WH-20*15-M6*15-M6</t>
  </si>
  <si>
    <t>T2944</t>
  </si>
  <si>
    <t>B-NR-70-WH-50*30-M10*28-M10</t>
  </si>
  <si>
    <t>T2959</t>
  </si>
  <si>
    <t>D-NR-55-WH-50*21-M10*28</t>
  </si>
  <si>
    <t>ÖZEL ETİKET OLMAYACAK, STANDART ETİKET KONULACAK</t>
  </si>
  <si>
    <t>T3888</t>
  </si>
  <si>
    <t>A-NR-40-WH-100*60-M16*45</t>
  </si>
  <si>
    <t xml:space="preserve">60016032W MAVA0710 ETİKETLİ </t>
  </si>
  <si>
    <t>05.01.2026 SHIPMENT</t>
  </si>
  <si>
    <t>T2905</t>
  </si>
  <si>
    <t>A-NR-55-WH-30*30-M8*20</t>
  </si>
  <si>
    <t>IHR-729</t>
  </si>
  <si>
    <t>T3124-M12-45-1</t>
  </si>
  <si>
    <t>T3797-M20-45-1</t>
  </si>
  <si>
    <t>T3057</t>
  </si>
  <si>
    <t>60012031W MAVA0680 ETİKETLİ</t>
  </si>
  <si>
    <t>60012031 45 SH.</t>
  </si>
  <si>
    <t>MA NR45 184x184x63 M20 ANTI0010</t>
  </si>
  <si>
    <t>60020034W ANTI0010 ETİKETLİ / 55 SH ÜRETİLİP, 45 SH. DAMGALANACAK</t>
  </si>
  <si>
    <t>B-NR-70-WH-20*20-M6*15</t>
  </si>
  <si>
    <t>T3125</t>
  </si>
  <si>
    <t>D-NR-55-WH-25*28-M6*18</t>
  </si>
  <si>
    <t>T3060</t>
  </si>
  <si>
    <t>D-NR-55-WH-25*17-M6*18</t>
  </si>
  <si>
    <t>IHR-936</t>
  </si>
  <si>
    <t>02.03.2026 SHIPMENT</t>
  </si>
  <si>
    <t>04.05.2026 SHIPMENT</t>
  </si>
  <si>
    <t>06.04.2026 SHIPMENT</t>
  </si>
  <si>
    <t>07.09.2026 SHIPMENT</t>
  </si>
  <si>
    <t>02.02.2026 SHIPMENT</t>
  </si>
  <si>
    <t>01.06.2026 SHIPMENT</t>
  </si>
  <si>
    <t>26.01.2026 SHIPMENT</t>
  </si>
  <si>
    <t>C-NR-40-WH-50*30-M10-M10</t>
  </si>
  <si>
    <t>T2961</t>
  </si>
  <si>
    <t>A-NR-40-WH-50*30-M10*28-M10*28</t>
  </si>
  <si>
    <t>T5064</t>
  </si>
  <si>
    <t>IHR-1037</t>
  </si>
  <si>
    <t>T5067</t>
  </si>
  <si>
    <t>C-NR-70-WH-75*55-M16*16-M16*16</t>
  </si>
  <si>
    <t>IHR-1038</t>
  </si>
  <si>
    <t>Fe//Zn12//Cn//T0</t>
  </si>
  <si>
    <t>T2950</t>
  </si>
  <si>
    <t>T1928</t>
  </si>
  <si>
    <t xml:space="preserve">A-NR-55-WH-50*20-M10*15-M10*20 </t>
  </si>
  <si>
    <t>B-NR-55-WH-30*20-M8*20-M8</t>
  </si>
  <si>
    <t xml:space="preserve"> </t>
  </si>
  <si>
    <t>IHR-1086</t>
  </si>
  <si>
    <t>IHR-1087</t>
  </si>
  <si>
    <t>IHR-1088</t>
  </si>
  <si>
    <t>IHR-1089</t>
  </si>
  <si>
    <t>T2942</t>
  </si>
  <si>
    <t>D-NR-55-WH-18*7,5-M6*16</t>
  </si>
  <si>
    <t>19.01.2026 SHIPMENT (TNT)</t>
  </si>
  <si>
    <t>TOPLAM SİPARİŞ 850 ADET</t>
  </si>
  <si>
    <t>T2911</t>
  </si>
  <si>
    <t>TYPE B 30*20 M8*20 70 SH.</t>
  </si>
  <si>
    <t>TAM ADETİNDE</t>
  </si>
  <si>
    <t>IHR-021</t>
  </si>
  <si>
    <t>T3826</t>
  </si>
  <si>
    <t>B-NR-55-WH-15*10-M4*10-M4*4-CLOSED</t>
  </si>
  <si>
    <t>IHR-49</t>
  </si>
  <si>
    <t>IHR-21</t>
  </si>
  <si>
    <t>24.02.2026 SHIPMENT</t>
  </si>
  <si>
    <t>D-NR-55-WH-25*25-M6*18</t>
  </si>
  <si>
    <t>T5108</t>
  </si>
  <si>
    <t>D-NR-68-WH-50*28-M10*28</t>
  </si>
  <si>
    <t>T2941</t>
  </si>
  <si>
    <t>B-NR-55-WH-25*15-M6*18-M6</t>
  </si>
  <si>
    <t>A-NR-55-WH-20*25-M6*15</t>
  </si>
  <si>
    <t>T2918</t>
  </si>
  <si>
    <t>T3133</t>
  </si>
  <si>
    <t>min. 1.000 adet</t>
  </si>
  <si>
    <t>T2172-70-1-X</t>
  </si>
  <si>
    <t>KT-NR70-WH-120*140*85-4*11</t>
  </si>
  <si>
    <t>IHR-132</t>
  </si>
  <si>
    <t>T3220</t>
  </si>
  <si>
    <t>T3356</t>
  </si>
  <si>
    <t>T2943</t>
  </si>
  <si>
    <t>T2324</t>
  </si>
  <si>
    <t>T3124-M16-60-1X</t>
  </si>
  <si>
    <t>T2284</t>
  </si>
  <si>
    <t>T3733</t>
  </si>
  <si>
    <t>T2306</t>
  </si>
  <si>
    <t>T2414</t>
  </si>
  <si>
    <t>D-NR-55-WH-50*42-M10*28</t>
  </si>
  <si>
    <t>B-NR-45-WH-40*30-M8*23-AISI 304</t>
  </si>
  <si>
    <t>B-NR-55-WH-40*30-M8*23-M8</t>
  </si>
  <si>
    <t>A-NR-55-WH-25*20-M6*18-M6*18</t>
  </si>
  <si>
    <t>60012131 M</t>
  </si>
  <si>
    <t>D-NR-55-WH-30*20-M8*20</t>
  </si>
  <si>
    <t>T4192</t>
  </si>
  <si>
    <t>B-NR-60-WH-40*30-M8*21-M8</t>
  </si>
  <si>
    <t>KE-NR-60-WH-125*90-M16*19</t>
  </si>
  <si>
    <t>B-NR-70-WH-25*30-M6*18-M6</t>
  </si>
  <si>
    <t>T4194</t>
  </si>
  <si>
    <t>D-NR-55-WH-100*40-M16*45</t>
  </si>
  <si>
    <t>D-NR-55-WH-75*25-M12*37</t>
  </si>
  <si>
    <t>T3450</t>
  </si>
  <si>
    <t>A-NR-70-WH-40*30-M8*23-M8*23</t>
  </si>
  <si>
    <t>IHR-171</t>
  </si>
  <si>
    <t>T5141</t>
  </si>
  <si>
    <t>E-NR-55-WH-40*38-M8*8</t>
  </si>
  <si>
    <t>TERMİN BEKLENİYOR</t>
  </si>
  <si>
    <t xml:space="preserve">C-NR-70-WH-40*30-M8*8-M8*8-CLOSED </t>
  </si>
  <si>
    <t>T5150</t>
  </si>
  <si>
    <t>toplam sipariş miktarı 1000'dir. 300 adet bu sevkiyatla gidecek</t>
  </si>
  <si>
    <r>
      <t xml:space="preserve">500 </t>
    </r>
    <r>
      <rPr>
        <sz val="11"/>
        <color rgb="FFFF0000"/>
        <rFont val="Calibri"/>
        <family val="2"/>
        <charset val="162"/>
        <scheme val="minor"/>
      </rPr>
      <t>+500</t>
    </r>
    <r>
      <rPr>
        <sz val="11"/>
        <color theme="1"/>
        <rFont val="Calibri"/>
        <family val="2"/>
        <charset val="162"/>
        <scheme val="minor"/>
      </rPr>
      <t xml:space="preserve"> adet eklendi</t>
    </r>
  </si>
  <si>
    <t>T3712</t>
  </si>
  <si>
    <t>KD-NR-55-WH-25*17-M6*18</t>
  </si>
  <si>
    <t>500 adet gitti</t>
  </si>
  <si>
    <t>T2912</t>
  </si>
  <si>
    <t>D-NR-55-WH-30*17-M8*20</t>
  </si>
  <si>
    <t>TOPLAM SİPARİŞ 1.000 ADET / 500 ADET 02.03'TE SEVK EDİLDİ</t>
  </si>
  <si>
    <t>02.03'te sevk edilemeyen</t>
  </si>
  <si>
    <t>TOPLAM SİPARİŞ 250 ADET / 225 ADET 02.03'TE SEVK EDİLDİ</t>
  </si>
  <si>
    <t>TOPLAM SİPARİŞ 250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</si>
</sst>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165" fontId="0" fillId="3" borderId="1" xfId="0" applyNumberFormat="1" applyFill="1" applyBorder="1" applyAlignment="1">
      <alignment horizontal="center" vertical="center"/>
    </xf>
    <xf numFmtId="165" fontId="4" fillId="0" borderId="0" xfId="0" applyNumberFormat="1" applyFont="1" applyAlignment="1">
      <alignment horizontal="left"/>
    </xf>
    <xf numFmtId="49" fontId="1" fillId="2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3890</xdr:colOff>
      <xdr:row>5</xdr:row>
      <xdr:rowOff>110490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8100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L266"/>
  <sheetViews>
    <sheetView tabSelected="1" topLeftCell="A44" zoomScale="85" zoomScaleNormal="85" workbookViewId="0">
      <selection activeCell="G59" sqref="G59"/>
    </sheetView>
  </sheetViews>
  <sheetFormatPr defaultRowHeight="15" x14ac:dyDescent="0.25"/>
  <cols>
    <col min="1" max="3" width="9.140625" style="2"/>
    <col min="4" max="4" width="10.140625" style="2" bestFit="1" customWidth="1"/>
    <col min="5" max="5" width="22.140625" style="2" bestFit="1" customWidth="1"/>
    <col min="6" max="6" width="16.85546875" style="2" bestFit="1" customWidth="1"/>
    <col min="7" max="7" width="49.7109375" style="2" bestFit="1" customWidth="1"/>
    <col min="8" max="8" width="12.5703125" style="2" customWidth="1"/>
    <col min="9" max="9" width="10.85546875" style="2" bestFit="1" customWidth="1"/>
    <col min="10" max="10" width="55.5703125" style="6" customWidth="1"/>
    <col min="11" max="11" width="24.140625" style="2" customWidth="1"/>
    <col min="12" max="12" width="16.140625" style="2" customWidth="1"/>
    <col min="13" max="15" width="11.7109375" style="2" bestFit="1" customWidth="1"/>
    <col min="16" max="16384" width="9.140625" style="2"/>
  </cols>
  <sheetData>
    <row r="6" spans="4:12" x14ac:dyDescent="0.25">
      <c r="G6" s="2" t="s">
        <v>8</v>
      </c>
    </row>
    <row r="7" spans="4:12" x14ac:dyDescent="0.25">
      <c r="G7" s="2" t="s">
        <v>6</v>
      </c>
    </row>
    <row r="9" spans="4:12" x14ac:dyDescent="0.25">
      <c r="D9" s="3" t="s">
        <v>5</v>
      </c>
      <c r="E9" s="3" t="s">
        <v>7</v>
      </c>
      <c r="F9" s="3" t="s">
        <v>0</v>
      </c>
      <c r="G9" s="3" t="s">
        <v>1</v>
      </c>
      <c r="H9" s="4" t="s">
        <v>2</v>
      </c>
      <c r="I9" s="3" t="s">
        <v>3</v>
      </c>
      <c r="J9" s="7" t="s">
        <v>4</v>
      </c>
    </row>
    <row r="10" spans="4:12" x14ac:dyDescent="0.25">
      <c r="D10" s="22" t="s">
        <v>70</v>
      </c>
      <c r="E10" s="22"/>
      <c r="F10" s="22"/>
      <c r="G10" s="22"/>
      <c r="H10" s="22"/>
      <c r="I10" s="22"/>
      <c r="J10" s="22"/>
    </row>
    <row r="11" spans="4:12" x14ac:dyDescent="0.25">
      <c r="D11" s="9" t="s">
        <v>73</v>
      </c>
      <c r="E11" s="9">
        <v>62875</v>
      </c>
      <c r="F11" s="9" t="s">
        <v>71</v>
      </c>
      <c r="G11" s="11" t="s">
        <v>72</v>
      </c>
      <c r="H11" s="1">
        <v>0.32169999999999999</v>
      </c>
      <c r="I11" s="5">
        <v>500</v>
      </c>
      <c r="J11" s="12"/>
      <c r="L11" s="10"/>
    </row>
    <row r="12" spans="4:12" x14ac:dyDescent="0.25">
      <c r="D12" s="9" t="s">
        <v>86</v>
      </c>
      <c r="E12" s="9">
        <v>63270</v>
      </c>
      <c r="F12" s="9" t="s">
        <v>44</v>
      </c>
      <c r="G12" s="11" t="s">
        <v>46</v>
      </c>
      <c r="H12" s="1">
        <v>0.47239999999999999</v>
      </c>
      <c r="I12" s="5">
        <v>1000</v>
      </c>
      <c r="J12" s="12"/>
      <c r="L12" s="10"/>
    </row>
    <row r="13" spans="4:12" x14ac:dyDescent="0.25">
      <c r="D13" s="9" t="s">
        <v>86</v>
      </c>
      <c r="E13" s="9">
        <v>63295</v>
      </c>
      <c r="F13" s="9" t="s">
        <v>84</v>
      </c>
      <c r="G13" s="11" t="s">
        <v>85</v>
      </c>
      <c r="H13" s="1">
        <v>0.1812</v>
      </c>
      <c r="I13" s="5">
        <v>1000</v>
      </c>
      <c r="J13" s="12"/>
      <c r="L13" s="10"/>
    </row>
    <row r="14" spans="4:12" x14ac:dyDescent="0.25">
      <c r="D14" s="9" t="s">
        <v>86</v>
      </c>
      <c r="E14" s="9">
        <v>63312</v>
      </c>
      <c r="F14" s="9" t="s">
        <v>60</v>
      </c>
      <c r="G14" s="11" t="s">
        <v>61</v>
      </c>
      <c r="H14" s="1">
        <v>0.15079999999999999</v>
      </c>
      <c r="I14" s="5">
        <v>5000</v>
      </c>
      <c r="J14" s="12"/>
      <c r="L14" s="10"/>
    </row>
    <row r="15" spans="4:12" x14ac:dyDescent="0.25">
      <c r="D15" s="9" t="s">
        <v>86</v>
      </c>
      <c r="E15" s="9">
        <v>63347</v>
      </c>
      <c r="F15" s="9" t="s">
        <v>52</v>
      </c>
      <c r="G15" s="11" t="s">
        <v>53</v>
      </c>
      <c r="H15" s="1">
        <v>0.35</v>
      </c>
      <c r="I15" s="5">
        <v>1000</v>
      </c>
      <c r="J15" s="12"/>
      <c r="L15" s="10"/>
    </row>
    <row r="16" spans="4:12" x14ac:dyDescent="0.25">
      <c r="D16" s="9" t="s">
        <v>86</v>
      </c>
      <c r="E16" s="9">
        <v>63357</v>
      </c>
      <c r="F16" s="11" t="s">
        <v>82</v>
      </c>
      <c r="G16" s="11" t="s">
        <v>83</v>
      </c>
      <c r="H16" s="1">
        <v>0.17599999999999999</v>
      </c>
      <c r="I16" s="5">
        <v>200</v>
      </c>
      <c r="J16" s="12"/>
      <c r="L16" s="10"/>
    </row>
    <row r="17" spans="4:12" x14ac:dyDescent="0.25">
      <c r="D17" s="9" t="s">
        <v>98</v>
      </c>
      <c r="E17" s="9">
        <v>62814</v>
      </c>
      <c r="F17" s="9" t="s">
        <v>24</v>
      </c>
      <c r="G17" s="11" t="s">
        <v>59</v>
      </c>
      <c r="H17" s="1">
        <v>4.3685</v>
      </c>
      <c r="I17" s="5">
        <v>500</v>
      </c>
      <c r="J17" s="12" t="s">
        <v>66</v>
      </c>
      <c r="L17" s="10"/>
    </row>
    <row r="18" spans="4:12" x14ac:dyDescent="0.25">
      <c r="D18" s="9" t="s">
        <v>98</v>
      </c>
      <c r="E18" s="9">
        <v>62814</v>
      </c>
      <c r="F18" s="9" t="s">
        <v>26</v>
      </c>
      <c r="G18" s="11" t="s">
        <v>39</v>
      </c>
      <c r="H18" s="1">
        <v>4.4856999999999996</v>
      </c>
      <c r="I18" s="5">
        <v>1000</v>
      </c>
      <c r="J18" s="12" t="s">
        <v>56</v>
      </c>
      <c r="L18" s="10"/>
    </row>
    <row r="19" spans="4:12" x14ac:dyDescent="0.25">
      <c r="D19" s="9" t="s">
        <v>98</v>
      </c>
      <c r="E19" s="9">
        <v>62814</v>
      </c>
      <c r="F19" s="9" t="s">
        <v>74</v>
      </c>
      <c r="G19" s="11" t="s">
        <v>78</v>
      </c>
      <c r="H19" s="1">
        <v>4.3685</v>
      </c>
      <c r="I19" s="5">
        <v>500</v>
      </c>
      <c r="J19" s="8" t="s">
        <v>77</v>
      </c>
      <c r="L19" s="10"/>
    </row>
    <row r="20" spans="4:12" x14ac:dyDescent="0.25">
      <c r="D20" s="9" t="s">
        <v>98</v>
      </c>
      <c r="E20" s="9">
        <v>62814</v>
      </c>
      <c r="F20" s="9" t="s">
        <v>25</v>
      </c>
      <c r="G20" s="11" t="s">
        <v>33</v>
      </c>
      <c r="H20" s="1">
        <v>8.5497999999999994</v>
      </c>
      <c r="I20" s="5">
        <v>650</v>
      </c>
      <c r="J20" s="12" t="s">
        <v>69</v>
      </c>
      <c r="L20" s="10"/>
    </row>
    <row r="21" spans="4:12" x14ac:dyDescent="0.25">
      <c r="D21" s="9" t="s">
        <v>98</v>
      </c>
      <c r="E21" s="9">
        <v>62814</v>
      </c>
      <c r="F21" s="9" t="s">
        <v>23</v>
      </c>
      <c r="G21" s="11" t="s">
        <v>18</v>
      </c>
      <c r="H21" s="1">
        <v>8.5497999999999994</v>
      </c>
      <c r="I21" s="5">
        <v>700</v>
      </c>
      <c r="J21" s="12" t="s">
        <v>57</v>
      </c>
      <c r="L21" s="10"/>
    </row>
    <row r="22" spans="4:12" x14ac:dyDescent="0.25">
      <c r="D22" s="9" t="s">
        <v>98</v>
      </c>
      <c r="E22" s="9">
        <v>62814</v>
      </c>
      <c r="F22" s="9" t="s">
        <v>50</v>
      </c>
      <c r="G22" s="11" t="s">
        <v>51</v>
      </c>
      <c r="H22" s="1">
        <v>3.3982999999999999</v>
      </c>
      <c r="I22" s="5">
        <v>350</v>
      </c>
      <c r="J22" s="12"/>
      <c r="L22" s="10"/>
    </row>
    <row r="23" spans="4:12" x14ac:dyDescent="0.25">
      <c r="D23" s="9" t="s">
        <v>98</v>
      </c>
      <c r="E23" s="9">
        <v>62814</v>
      </c>
      <c r="F23" s="9" t="s">
        <v>76</v>
      </c>
      <c r="G23" s="11" t="s">
        <v>81</v>
      </c>
      <c r="H23" s="1">
        <v>0.1633</v>
      </c>
      <c r="I23" s="5">
        <v>550</v>
      </c>
      <c r="J23" s="12"/>
      <c r="L23" s="10"/>
    </row>
    <row r="24" spans="4:12" x14ac:dyDescent="0.25">
      <c r="D24" s="9" t="s">
        <v>98</v>
      </c>
      <c r="E24" s="9">
        <v>62814</v>
      </c>
      <c r="F24" s="9" t="s">
        <v>17</v>
      </c>
      <c r="G24" s="11" t="s">
        <v>16</v>
      </c>
      <c r="H24" s="1">
        <v>0.3201</v>
      </c>
      <c r="I24" s="5">
        <v>1000</v>
      </c>
      <c r="J24" s="12"/>
      <c r="L24" s="10"/>
    </row>
    <row r="25" spans="4:12" x14ac:dyDescent="0.25">
      <c r="D25" s="9" t="s">
        <v>98</v>
      </c>
      <c r="E25" s="9">
        <v>62814</v>
      </c>
      <c r="F25" s="9" t="s">
        <v>12</v>
      </c>
      <c r="G25" s="11" t="s">
        <v>14</v>
      </c>
      <c r="H25" s="1">
        <v>0.77029999999999998</v>
      </c>
      <c r="I25" s="5">
        <v>1500</v>
      </c>
      <c r="J25" s="12"/>
      <c r="L25" s="10"/>
    </row>
    <row r="26" spans="4:12" x14ac:dyDescent="0.25">
      <c r="D26" s="9" t="s">
        <v>98</v>
      </c>
      <c r="E26" s="9">
        <v>62814</v>
      </c>
      <c r="F26" s="9" t="s">
        <v>13</v>
      </c>
      <c r="G26" s="11" t="s">
        <v>15</v>
      </c>
      <c r="H26" s="1">
        <v>1.7174</v>
      </c>
      <c r="I26" s="5">
        <v>2500</v>
      </c>
      <c r="J26" s="12"/>
      <c r="L26" s="10"/>
    </row>
    <row r="27" spans="4:12" x14ac:dyDescent="0.25">
      <c r="D27" s="9" t="s">
        <v>98</v>
      </c>
      <c r="E27" s="9">
        <v>63389</v>
      </c>
      <c r="F27" s="9" t="s">
        <v>45</v>
      </c>
      <c r="G27" s="11" t="s">
        <v>49</v>
      </c>
      <c r="H27" s="1">
        <v>1.2929999999999999</v>
      </c>
      <c r="I27" s="5">
        <v>200</v>
      </c>
      <c r="J27" s="12"/>
      <c r="L27" s="10"/>
    </row>
    <row r="28" spans="4:12" x14ac:dyDescent="0.25">
      <c r="D28" s="9" t="s">
        <v>98</v>
      </c>
      <c r="E28" s="9">
        <v>63501</v>
      </c>
      <c r="F28" s="9" t="s">
        <v>97</v>
      </c>
      <c r="G28" s="11" t="s">
        <v>94</v>
      </c>
      <c r="H28" s="1">
        <v>0.62080000000000002</v>
      </c>
      <c r="I28" s="5">
        <v>150</v>
      </c>
      <c r="J28" s="12"/>
      <c r="L28" s="10"/>
    </row>
    <row r="29" spans="4:12" x14ac:dyDescent="0.25">
      <c r="D29" s="9" t="s">
        <v>98</v>
      </c>
      <c r="E29" s="9">
        <v>63508</v>
      </c>
      <c r="F29" s="9" t="s">
        <v>67</v>
      </c>
      <c r="G29" s="11" t="s">
        <v>68</v>
      </c>
      <c r="H29" s="1">
        <v>4.8971999999999998</v>
      </c>
      <c r="I29" s="5">
        <v>26</v>
      </c>
      <c r="J29" s="12"/>
      <c r="L29" s="10"/>
    </row>
    <row r="30" spans="4:12" x14ac:dyDescent="0.25">
      <c r="D30" s="9" t="s">
        <v>98</v>
      </c>
      <c r="E30" s="9">
        <v>63560</v>
      </c>
      <c r="F30" s="9" t="s">
        <v>95</v>
      </c>
      <c r="G30" s="11" t="s">
        <v>96</v>
      </c>
      <c r="H30" s="1">
        <v>0.74319999999999997</v>
      </c>
      <c r="I30" s="5">
        <v>200</v>
      </c>
      <c r="J30" s="12"/>
      <c r="L30" s="10"/>
    </row>
    <row r="31" spans="4:12" x14ac:dyDescent="0.25">
      <c r="D31" s="9"/>
      <c r="E31" s="9"/>
      <c r="F31" s="9"/>
      <c r="G31" s="11"/>
      <c r="H31" s="1"/>
      <c r="I31" s="5"/>
      <c r="J31" s="12"/>
      <c r="L31" s="10"/>
    </row>
    <row r="32" spans="4:12" x14ac:dyDescent="0.25">
      <c r="D32" s="9"/>
      <c r="E32" s="9"/>
      <c r="F32" s="9"/>
      <c r="G32" s="11"/>
      <c r="H32" s="1"/>
      <c r="I32" s="5"/>
      <c r="J32" s="12"/>
      <c r="L32" s="10"/>
    </row>
    <row r="33" spans="4:12" x14ac:dyDescent="0.25">
      <c r="D33" s="22" t="s">
        <v>114</v>
      </c>
      <c r="E33" s="22"/>
      <c r="F33" s="22"/>
      <c r="G33" s="22"/>
      <c r="H33" s="22"/>
      <c r="I33" s="22"/>
      <c r="J33" s="22"/>
      <c r="L33" s="10"/>
    </row>
    <row r="34" spans="4:12" x14ac:dyDescent="0.25">
      <c r="D34" s="9" t="s">
        <v>109</v>
      </c>
      <c r="E34" s="9">
        <v>63766</v>
      </c>
      <c r="F34" s="9" t="s">
        <v>29</v>
      </c>
      <c r="G34" s="11" t="s">
        <v>30</v>
      </c>
      <c r="H34" s="1">
        <v>0.53280000000000005</v>
      </c>
      <c r="I34" s="5">
        <v>215</v>
      </c>
      <c r="J34" s="12" t="s">
        <v>115</v>
      </c>
      <c r="L34" s="10"/>
    </row>
    <row r="35" spans="4:12" x14ac:dyDescent="0.25">
      <c r="D35" s="9"/>
      <c r="E35" s="9"/>
      <c r="F35" s="9"/>
      <c r="G35" s="11"/>
      <c r="H35" s="1"/>
      <c r="I35" s="5"/>
      <c r="J35" s="12"/>
      <c r="L35" s="10"/>
    </row>
    <row r="36" spans="4:12" x14ac:dyDescent="0.25">
      <c r="D36" s="9"/>
      <c r="E36" s="9"/>
      <c r="F36" s="9"/>
      <c r="G36" s="11"/>
      <c r="H36" s="1"/>
      <c r="I36" s="5"/>
      <c r="J36" s="12"/>
      <c r="L36" s="10"/>
    </row>
    <row r="37" spans="4:12" x14ac:dyDescent="0.25">
      <c r="D37" s="22" t="s">
        <v>93</v>
      </c>
      <c r="E37" s="22"/>
      <c r="F37" s="22"/>
      <c r="G37" s="22"/>
      <c r="H37" s="22"/>
      <c r="I37" s="22"/>
      <c r="J37" s="22"/>
      <c r="L37" s="10"/>
    </row>
    <row r="38" spans="4:12" x14ac:dyDescent="0.25">
      <c r="D38" s="9" t="s">
        <v>98</v>
      </c>
      <c r="E38" s="9">
        <v>63412</v>
      </c>
      <c r="F38" s="9" t="s">
        <v>27</v>
      </c>
      <c r="G38" s="11" t="s">
        <v>28</v>
      </c>
      <c r="H38" s="1">
        <v>0.27760000000000001</v>
      </c>
      <c r="I38" s="5">
        <v>4000</v>
      </c>
      <c r="J38" s="12"/>
      <c r="L38" s="10"/>
    </row>
    <row r="39" spans="4:12" x14ac:dyDescent="0.25">
      <c r="D39" s="9" t="s">
        <v>101</v>
      </c>
      <c r="E39" s="9">
        <v>63656</v>
      </c>
      <c r="F39" s="9" t="s">
        <v>99</v>
      </c>
      <c r="G39" s="11" t="s">
        <v>100</v>
      </c>
      <c r="H39" s="1">
        <v>1.7588999999999999</v>
      </c>
      <c r="I39" s="5">
        <v>100</v>
      </c>
      <c r="J39" s="12"/>
      <c r="L39" s="10"/>
    </row>
    <row r="40" spans="4:12" x14ac:dyDescent="0.25">
      <c r="D40" s="9" t="s">
        <v>108</v>
      </c>
      <c r="E40" s="9">
        <v>63763</v>
      </c>
      <c r="F40" s="9" t="s">
        <v>40</v>
      </c>
      <c r="G40" s="11" t="s">
        <v>41</v>
      </c>
      <c r="H40" s="1">
        <v>0.3251</v>
      </c>
      <c r="I40" s="5">
        <v>1000</v>
      </c>
      <c r="J40" s="12"/>
      <c r="K40" s="10"/>
      <c r="L40" s="10"/>
    </row>
    <row r="41" spans="4:12" x14ac:dyDescent="0.25">
      <c r="D41" s="9" t="s">
        <v>109</v>
      </c>
      <c r="E41" s="9">
        <v>63766</v>
      </c>
      <c r="F41" s="9" t="s">
        <v>64</v>
      </c>
      <c r="G41" s="11" t="s">
        <v>65</v>
      </c>
      <c r="H41" s="1">
        <v>0.50900000000000001</v>
      </c>
      <c r="I41" s="5">
        <v>1500</v>
      </c>
      <c r="J41" s="12"/>
      <c r="K41" s="10"/>
      <c r="L41" s="10"/>
    </row>
    <row r="42" spans="4:12" x14ac:dyDescent="0.25">
      <c r="D42" s="9" t="s">
        <v>109</v>
      </c>
      <c r="E42" s="9">
        <v>63766</v>
      </c>
      <c r="F42" s="9" t="s">
        <v>29</v>
      </c>
      <c r="G42" s="11" t="s">
        <v>30</v>
      </c>
      <c r="H42" s="1">
        <v>0.53280000000000005</v>
      </c>
      <c r="I42" s="5">
        <v>635</v>
      </c>
      <c r="J42" s="12" t="s">
        <v>115</v>
      </c>
      <c r="K42" s="10"/>
      <c r="L42" s="10"/>
    </row>
    <row r="43" spans="4:12" x14ac:dyDescent="0.25">
      <c r="D43" s="9" t="s">
        <v>110</v>
      </c>
      <c r="E43" s="9">
        <v>63787</v>
      </c>
      <c r="F43" s="9" t="s">
        <v>62</v>
      </c>
      <c r="G43" s="11" t="s">
        <v>63</v>
      </c>
      <c r="H43" s="1">
        <v>0.68369999999999997</v>
      </c>
      <c r="I43" s="5">
        <v>1000</v>
      </c>
      <c r="J43" s="12"/>
      <c r="K43" s="10"/>
      <c r="L43" s="10"/>
    </row>
    <row r="44" spans="4:12" x14ac:dyDescent="0.25">
      <c r="D44" s="9" t="s">
        <v>119</v>
      </c>
      <c r="E44" s="9">
        <v>63918</v>
      </c>
      <c r="F44" s="9" t="s">
        <v>116</v>
      </c>
      <c r="G44" s="11" t="s">
        <v>117</v>
      </c>
      <c r="H44" s="1">
        <v>0.26050000000000001</v>
      </c>
      <c r="I44" s="5">
        <v>200</v>
      </c>
      <c r="J44" s="12" t="s">
        <v>118</v>
      </c>
      <c r="K44" s="10"/>
      <c r="L44" s="10"/>
    </row>
    <row r="45" spans="4:12" x14ac:dyDescent="0.25">
      <c r="D45" s="22" t="s">
        <v>91</v>
      </c>
      <c r="E45" s="22"/>
      <c r="F45" s="22"/>
      <c r="G45" s="22"/>
      <c r="H45" s="22"/>
      <c r="I45" s="22"/>
      <c r="J45" s="22"/>
      <c r="L45" s="10"/>
    </row>
    <row r="46" spans="4:12" x14ac:dyDescent="0.25">
      <c r="D46" s="9" t="s">
        <v>98</v>
      </c>
      <c r="E46" s="9">
        <v>62814</v>
      </c>
      <c r="F46" s="9" t="s">
        <v>26</v>
      </c>
      <c r="G46" s="11" t="s">
        <v>39</v>
      </c>
      <c r="H46" s="1">
        <v>4.4856999999999996</v>
      </c>
      <c r="I46" s="5">
        <v>1500</v>
      </c>
      <c r="J46" s="12" t="s">
        <v>56</v>
      </c>
      <c r="L46" s="10"/>
    </row>
    <row r="47" spans="4:12" x14ac:dyDescent="0.25">
      <c r="D47" s="9" t="s">
        <v>98</v>
      </c>
      <c r="E47" s="9">
        <v>62814</v>
      </c>
      <c r="F47" s="9" t="s">
        <v>22</v>
      </c>
      <c r="G47" s="11" t="s">
        <v>9</v>
      </c>
      <c r="H47" s="1">
        <v>8.3725000000000005</v>
      </c>
      <c r="I47" s="5">
        <v>1500</v>
      </c>
      <c r="J47" s="12" t="s">
        <v>58</v>
      </c>
      <c r="L47" s="10"/>
    </row>
    <row r="48" spans="4:12" x14ac:dyDescent="0.25">
      <c r="D48" s="9" t="s">
        <v>123</v>
      </c>
      <c r="E48" s="9">
        <v>62829</v>
      </c>
      <c r="F48" s="9" t="s">
        <v>112</v>
      </c>
      <c r="G48" s="11" t="s">
        <v>113</v>
      </c>
      <c r="H48" s="1">
        <v>0.13600000000000001</v>
      </c>
      <c r="I48" s="5">
        <v>2000</v>
      </c>
      <c r="J48" s="12"/>
      <c r="L48" s="10"/>
    </row>
    <row r="49" spans="4:12" x14ac:dyDescent="0.25">
      <c r="D49" s="9" t="s">
        <v>122</v>
      </c>
      <c r="E49" s="9">
        <v>63937</v>
      </c>
      <c r="F49" s="9" t="s">
        <v>120</v>
      </c>
      <c r="G49" s="9" t="s">
        <v>121</v>
      </c>
      <c r="H49" s="1">
        <v>0.19</v>
      </c>
      <c r="I49" s="5">
        <v>900</v>
      </c>
      <c r="J49" s="12"/>
      <c r="L49" s="10"/>
    </row>
    <row r="50" spans="4:12" x14ac:dyDescent="0.25">
      <c r="D50" s="22" t="s">
        <v>124</v>
      </c>
      <c r="E50" s="22"/>
      <c r="F50" s="22"/>
      <c r="G50" s="22"/>
      <c r="H50" s="22"/>
      <c r="I50" s="22"/>
      <c r="J50" s="22"/>
      <c r="L50" s="10"/>
    </row>
    <row r="51" spans="4:12" x14ac:dyDescent="0.25">
      <c r="D51" s="9" t="s">
        <v>98</v>
      </c>
      <c r="E51" s="9">
        <v>62814</v>
      </c>
      <c r="F51" s="9" t="s">
        <v>75</v>
      </c>
      <c r="G51" s="11" t="s">
        <v>79</v>
      </c>
      <c r="H51" s="1">
        <v>14.7356</v>
      </c>
      <c r="I51" s="5">
        <v>250</v>
      </c>
      <c r="J51" s="8" t="s">
        <v>80</v>
      </c>
      <c r="L51" s="10"/>
    </row>
    <row r="52" spans="4:12" x14ac:dyDescent="0.25">
      <c r="D52" s="9" t="s">
        <v>98</v>
      </c>
      <c r="E52" s="9">
        <v>62814</v>
      </c>
      <c r="F52" s="9" t="s">
        <v>34</v>
      </c>
      <c r="G52" s="11" t="s">
        <v>35</v>
      </c>
      <c r="H52" s="1">
        <v>14.7356</v>
      </c>
      <c r="I52" s="5">
        <v>100</v>
      </c>
      <c r="J52" s="12" t="s">
        <v>36</v>
      </c>
      <c r="L52" s="10"/>
    </row>
    <row r="53" spans="4:12" x14ac:dyDescent="0.25">
      <c r="D53" s="22" t="s">
        <v>87</v>
      </c>
      <c r="E53" s="22"/>
      <c r="F53" s="22"/>
      <c r="G53" s="22"/>
      <c r="H53" s="22"/>
      <c r="I53" s="22"/>
      <c r="J53" s="22"/>
      <c r="L53" s="10"/>
    </row>
    <row r="54" spans="4:12" x14ac:dyDescent="0.25">
      <c r="D54" s="9" t="s">
        <v>98</v>
      </c>
      <c r="E54" s="9">
        <v>62814</v>
      </c>
      <c r="F54" s="9" t="s">
        <v>24</v>
      </c>
      <c r="G54" s="11" t="s">
        <v>59</v>
      </c>
      <c r="H54" s="1">
        <v>4.3685</v>
      </c>
      <c r="I54" s="5">
        <v>1500</v>
      </c>
      <c r="J54" s="8" t="s">
        <v>21</v>
      </c>
      <c r="L54" s="10"/>
    </row>
    <row r="55" spans="4:12" x14ac:dyDescent="0.25">
      <c r="D55" s="9" t="s">
        <v>98</v>
      </c>
      <c r="E55" s="9">
        <v>62814</v>
      </c>
      <c r="F55" s="9" t="s">
        <v>26</v>
      </c>
      <c r="G55" s="11" t="s">
        <v>39</v>
      </c>
      <c r="H55" s="1">
        <v>4.4856999999999996</v>
      </c>
      <c r="I55" s="5">
        <v>2000</v>
      </c>
      <c r="J55" s="12" t="s">
        <v>66</v>
      </c>
      <c r="L55" s="10"/>
    </row>
    <row r="56" spans="4:12" x14ac:dyDescent="0.25">
      <c r="D56" s="9" t="s">
        <v>98</v>
      </c>
      <c r="E56" s="9">
        <v>62814</v>
      </c>
      <c r="F56" s="9" t="s">
        <v>74</v>
      </c>
      <c r="G56" s="11" t="s">
        <v>78</v>
      </c>
      <c r="H56" s="1">
        <v>4.3685</v>
      </c>
      <c r="I56" s="5">
        <v>500</v>
      </c>
      <c r="J56" s="8" t="s">
        <v>77</v>
      </c>
      <c r="L56" s="10"/>
    </row>
    <row r="57" spans="4:12" x14ac:dyDescent="0.25">
      <c r="D57" s="9" t="s">
        <v>98</v>
      </c>
      <c r="E57" s="9">
        <v>62814</v>
      </c>
      <c r="F57" s="9" t="s">
        <v>37</v>
      </c>
      <c r="G57" s="11" t="s">
        <v>38</v>
      </c>
      <c r="H57" s="1">
        <v>3.5737000000000001</v>
      </c>
      <c r="I57" s="5">
        <v>225</v>
      </c>
      <c r="J57" s="12" t="s">
        <v>177</v>
      </c>
      <c r="L57" s="10"/>
    </row>
    <row r="58" spans="4:12" x14ac:dyDescent="0.25">
      <c r="D58" s="9" t="s">
        <v>109</v>
      </c>
      <c r="E58" s="9">
        <v>63766</v>
      </c>
      <c r="F58" s="9" t="s">
        <v>29</v>
      </c>
      <c r="G58" s="11" t="s">
        <v>30</v>
      </c>
      <c r="H58" s="1">
        <v>0.53280000000000005</v>
      </c>
      <c r="I58" s="5">
        <v>1000</v>
      </c>
      <c r="J58" s="12"/>
      <c r="K58" s="10"/>
      <c r="L58" s="10"/>
    </row>
    <row r="59" spans="4:12" x14ac:dyDescent="0.25">
      <c r="D59" s="9" t="s">
        <v>136</v>
      </c>
      <c r="E59" s="9">
        <v>64044</v>
      </c>
      <c r="F59" s="9" t="s">
        <v>132</v>
      </c>
      <c r="G59" s="11" t="s">
        <v>125</v>
      </c>
      <c r="H59" s="1">
        <v>0.18110000000000001</v>
      </c>
      <c r="I59" s="5">
        <v>150</v>
      </c>
      <c r="J59" s="12"/>
      <c r="L59" s="10"/>
    </row>
    <row r="60" spans="4:12" x14ac:dyDescent="0.25">
      <c r="D60" s="9" t="s">
        <v>136</v>
      </c>
      <c r="E60" s="9">
        <v>64074</v>
      </c>
      <c r="F60" s="9" t="s">
        <v>126</v>
      </c>
      <c r="G60" s="11" t="s">
        <v>127</v>
      </c>
      <c r="H60" s="1">
        <v>0.5413</v>
      </c>
      <c r="I60" s="5">
        <v>100</v>
      </c>
      <c r="J60" s="12"/>
      <c r="L60" s="10"/>
    </row>
    <row r="61" spans="4:12" x14ac:dyDescent="0.25">
      <c r="D61" s="9" t="s">
        <v>136</v>
      </c>
      <c r="E61" s="9">
        <v>64118</v>
      </c>
      <c r="F61" s="9" t="s">
        <v>128</v>
      </c>
      <c r="G61" s="11" t="s">
        <v>129</v>
      </c>
      <c r="H61" s="1">
        <v>0.22</v>
      </c>
      <c r="I61" s="5">
        <v>1000</v>
      </c>
      <c r="J61" s="12"/>
      <c r="L61" s="10"/>
    </row>
    <row r="62" spans="4:12" x14ac:dyDescent="0.25">
      <c r="D62" s="9" t="s">
        <v>136</v>
      </c>
      <c r="E62" s="9">
        <v>64149</v>
      </c>
      <c r="F62" s="11" t="s">
        <v>131</v>
      </c>
      <c r="G62" s="11" t="s">
        <v>130</v>
      </c>
      <c r="H62" s="1">
        <v>0.17649999999999999</v>
      </c>
      <c r="I62" s="5">
        <v>1000</v>
      </c>
      <c r="J62" s="12"/>
      <c r="L62" s="10"/>
    </row>
    <row r="63" spans="4:12" x14ac:dyDescent="0.25">
      <c r="D63" s="9" t="s">
        <v>136</v>
      </c>
      <c r="E63" s="9">
        <v>64150</v>
      </c>
      <c r="F63" s="9" t="s">
        <v>60</v>
      </c>
      <c r="G63" s="11" t="s">
        <v>61</v>
      </c>
      <c r="H63" s="1">
        <v>0.15079999999999999</v>
      </c>
      <c r="I63" s="5">
        <v>5000</v>
      </c>
      <c r="J63" s="12" t="s">
        <v>133</v>
      </c>
      <c r="L63" s="10"/>
    </row>
    <row r="64" spans="4:12" x14ac:dyDescent="0.25">
      <c r="D64" s="16" t="s">
        <v>109</v>
      </c>
      <c r="E64" s="16">
        <v>63766</v>
      </c>
      <c r="F64" s="16" t="s">
        <v>20</v>
      </c>
      <c r="G64" s="13" t="s">
        <v>19</v>
      </c>
      <c r="H64" s="17">
        <v>0.62580000000000002</v>
      </c>
      <c r="I64" s="15">
        <v>500</v>
      </c>
      <c r="J64" s="19" t="s">
        <v>167</v>
      </c>
      <c r="K64" s="18" t="s">
        <v>171</v>
      </c>
      <c r="L64" s="10"/>
    </row>
    <row r="65" spans="4:12" x14ac:dyDescent="0.25">
      <c r="D65" s="22" t="s">
        <v>175</v>
      </c>
      <c r="E65" s="22"/>
      <c r="F65" s="22"/>
      <c r="G65" s="22"/>
      <c r="H65" s="22"/>
      <c r="I65" s="22"/>
      <c r="J65" s="22"/>
      <c r="L65" s="10"/>
    </row>
    <row r="66" spans="4:12" x14ac:dyDescent="0.25">
      <c r="D66" s="9" t="s">
        <v>98</v>
      </c>
      <c r="E66" s="9">
        <v>62814</v>
      </c>
      <c r="F66" s="9" t="s">
        <v>37</v>
      </c>
      <c r="G66" s="11" t="s">
        <v>38</v>
      </c>
      <c r="H66" s="1">
        <v>3.5737000000000001</v>
      </c>
      <c r="I66" s="5">
        <v>25</v>
      </c>
      <c r="J66" s="12" t="s">
        <v>176</v>
      </c>
      <c r="L66" s="10"/>
    </row>
    <row r="67" spans="4:12" x14ac:dyDescent="0.25">
      <c r="D67" s="22" t="s">
        <v>89</v>
      </c>
      <c r="E67" s="22"/>
      <c r="F67" s="22"/>
      <c r="G67" s="22"/>
      <c r="H67" s="22"/>
      <c r="I67" s="22"/>
      <c r="J67" s="22"/>
      <c r="L67" s="10"/>
    </row>
    <row r="68" spans="4:12" x14ac:dyDescent="0.25">
      <c r="D68" s="9" t="s">
        <v>86</v>
      </c>
      <c r="E68" s="9">
        <v>63333</v>
      </c>
      <c r="F68" s="9" t="s">
        <v>54</v>
      </c>
      <c r="G68" s="9" t="s">
        <v>55</v>
      </c>
      <c r="H68" s="1">
        <v>0.03</v>
      </c>
      <c r="I68" s="5">
        <v>50000</v>
      </c>
      <c r="J68" s="12"/>
      <c r="L68" s="10"/>
    </row>
    <row r="69" spans="4:12" x14ac:dyDescent="0.25">
      <c r="D69" s="9" t="s">
        <v>98</v>
      </c>
      <c r="E69" s="9">
        <v>62814</v>
      </c>
      <c r="F69" s="9" t="s">
        <v>25</v>
      </c>
      <c r="G69" s="11" t="s">
        <v>33</v>
      </c>
      <c r="H69" s="1">
        <v>8.5497999999999994</v>
      </c>
      <c r="I69" s="5">
        <v>650</v>
      </c>
      <c r="J69" s="12" t="s">
        <v>69</v>
      </c>
      <c r="L69" s="10"/>
    </row>
    <row r="70" spans="4:12" x14ac:dyDescent="0.25">
      <c r="D70" s="9" t="s">
        <v>98</v>
      </c>
      <c r="E70" s="9">
        <v>62814</v>
      </c>
      <c r="F70" s="9" t="s">
        <v>23</v>
      </c>
      <c r="G70" s="11" t="s">
        <v>18</v>
      </c>
      <c r="H70" s="1">
        <v>8.5497999999999994</v>
      </c>
      <c r="I70" s="5">
        <v>700</v>
      </c>
      <c r="J70" s="12" t="s">
        <v>57</v>
      </c>
      <c r="L70" s="10"/>
    </row>
    <row r="71" spans="4:12" x14ac:dyDescent="0.25">
      <c r="D71" s="9" t="s">
        <v>98</v>
      </c>
      <c r="E71" s="9">
        <v>62814</v>
      </c>
      <c r="F71" s="9" t="s">
        <v>75</v>
      </c>
      <c r="G71" s="11" t="s">
        <v>79</v>
      </c>
      <c r="H71" s="1">
        <v>14.7356</v>
      </c>
      <c r="I71" s="5">
        <v>250</v>
      </c>
      <c r="J71" s="8" t="s">
        <v>80</v>
      </c>
      <c r="L71" s="10"/>
    </row>
    <row r="72" spans="4:12" x14ac:dyDescent="0.25">
      <c r="D72" s="9" t="s">
        <v>98</v>
      </c>
      <c r="E72" s="9">
        <v>62814</v>
      </c>
      <c r="F72" s="9" t="s">
        <v>50</v>
      </c>
      <c r="G72" s="11" t="s">
        <v>51</v>
      </c>
      <c r="H72" s="1">
        <v>3.3982999999999999</v>
      </c>
      <c r="I72" s="5">
        <v>350</v>
      </c>
      <c r="J72" s="12"/>
      <c r="L72" s="10"/>
    </row>
    <row r="73" spans="4:12" x14ac:dyDescent="0.25">
      <c r="D73" s="9" t="s">
        <v>136</v>
      </c>
      <c r="E73" s="9">
        <v>64144</v>
      </c>
      <c r="F73" s="9" t="s">
        <v>26</v>
      </c>
      <c r="G73" s="11" t="s">
        <v>39</v>
      </c>
      <c r="H73" s="1">
        <v>4.5540000000000003</v>
      </c>
      <c r="I73" s="5">
        <v>2500</v>
      </c>
      <c r="J73" s="12" t="s">
        <v>66</v>
      </c>
      <c r="L73" s="10"/>
    </row>
    <row r="74" spans="4:12" x14ac:dyDescent="0.25">
      <c r="D74" s="9" t="s">
        <v>136</v>
      </c>
      <c r="E74" s="9">
        <v>64144</v>
      </c>
      <c r="F74" s="9" t="s">
        <v>26</v>
      </c>
      <c r="G74" s="11" t="s">
        <v>39</v>
      </c>
      <c r="H74" s="1">
        <v>4.5540000000000003</v>
      </c>
      <c r="I74" s="5">
        <v>500</v>
      </c>
      <c r="J74" s="12" t="s">
        <v>56</v>
      </c>
      <c r="L74" s="10"/>
    </row>
    <row r="75" spans="4:12" x14ac:dyDescent="0.25">
      <c r="D75" s="9" t="s">
        <v>136</v>
      </c>
      <c r="E75" s="9">
        <v>64178</v>
      </c>
      <c r="F75" s="9" t="s">
        <v>134</v>
      </c>
      <c r="G75" s="13" t="s">
        <v>135</v>
      </c>
      <c r="H75" s="1">
        <v>13.65</v>
      </c>
      <c r="I75" s="5">
        <v>100</v>
      </c>
      <c r="J75" s="12"/>
      <c r="L75" s="10"/>
    </row>
    <row r="76" spans="4:12" x14ac:dyDescent="0.25">
      <c r="D76" s="9" t="s">
        <v>161</v>
      </c>
      <c r="E76" s="9">
        <v>64265</v>
      </c>
      <c r="F76" s="9" t="s">
        <v>137</v>
      </c>
      <c r="G76" s="11" t="s">
        <v>146</v>
      </c>
      <c r="H76" s="1">
        <v>0.54900000000000004</v>
      </c>
      <c r="I76" s="5">
        <v>400</v>
      </c>
      <c r="J76" s="12"/>
      <c r="K76" s="10"/>
      <c r="L76" s="10"/>
    </row>
    <row r="77" spans="4:12" x14ac:dyDescent="0.25">
      <c r="D77" s="9" t="s">
        <v>161</v>
      </c>
      <c r="E77" s="9">
        <v>64265</v>
      </c>
      <c r="F77" s="9" t="s">
        <v>138</v>
      </c>
      <c r="G77" s="11" t="s">
        <v>147</v>
      </c>
      <c r="H77" s="1">
        <v>0.97</v>
      </c>
      <c r="I77" s="5">
        <v>400</v>
      </c>
      <c r="J77" s="12"/>
      <c r="K77" s="10"/>
      <c r="L77" s="10"/>
    </row>
    <row r="78" spans="4:12" x14ac:dyDescent="0.25">
      <c r="D78" s="9" t="s">
        <v>161</v>
      </c>
      <c r="E78" s="9">
        <v>64265</v>
      </c>
      <c r="F78" s="9" t="s">
        <v>139</v>
      </c>
      <c r="G78" s="11" t="s">
        <v>148</v>
      </c>
      <c r="H78" s="1">
        <v>0.46360000000000001</v>
      </c>
      <c r="I78" s="5">
        <v>500</v>
      </c>
      <c r="J78" s="12"/>
      <c r="K78" s="10"/>
      <c r="L78" s="10"/>
    </row>
    <row r="79" spans="4:12" x14ac:dyDescent="0.25">
      <c r="D79" s="9" t="s">
        <v>161</v>
      </c>
      <c r="E79" s="9">
        <v>64265</v>
      </c>
      <c r="F79" s="9" t="s">
        <v>140</v>
      </c>
      <c r="G79" s="11" t="s">
        <v>149</v>
      </c>
      <c r="H79" s="1">
        <v>0.2261</v>
      </c>
      <c r="I79" s="5">
        <v>5000</v>
      </c>
      <c r="J79" s="12"/>
      <c r="K79" s="10"/>
      <c r="L79" s="10"/>
    </row>
    <row r="80" spans="4:12" x14ac:dyDescent="0.25">
      <c r="D80" s="9" t="s">
        <v>161</v>
      </c>
      <c r="E80" s="9">
        <v>64265</v>
      </c>
      <c r="F80" s="9" t="s">
        <v>141</v>
      </c>
      <c r="G80" s="11" t="s">
        <v>150</v>
      </c>
      <c r="H80" s="1">
        <v>12.08</v>
      </c>
      <c r="I80" s="5">
        <v>100</v>
      </c>
      <c r="J80" s="12"/>
      <c r="K80" s="10"/>
      <c r="L80" s="10"/>
    </row>
    <row r="81" spans="4:12" x14ac:dyDescent="0.25">
      <c r="D81" s="9" t="s">
        <v>161</v>
      </c>
      <c r="E81" s="9">
        <v>64265</v>
      </c>
      <c r="F81" s="9" t="s">
        <v>142</v>
      </c>
      <c r="G81" s="11" t="s">
        <v>151</v>
      </c>
      <c r="H81" s="1">
        <v>0.185</v>
      </c>
      <c r="I81" s="5">
        <v>300</v>
      </c>
      <c r="J81" s="12"/>
      <c r="K81" s="10"/>
      <c r="L81" s="10"/>
    </row>
    <row r="82" spans="4:12" x14ac:dyDescent="0.25">
      <c r="D82" s="9" t="s">
        <v>161</v>
      </c>
      <c r="E82" s="9">
        <v>64265</v>
      </c>
      <c r="F82" s="11" t="s">
        <v>152</v>
      </c>
      <c r="G82" s="11" t="s">
        <v>153</v>
      </c>
      <c r="H82" s="1">
        <v>0.42870000000000003</v>
      </c>
      <c r="I82" s="5">
        <v>100</v>
      </c>
      <c r="J82" s="12"/>
      <c r="K82" s="10"/>
      <c r="L82" s="10"/>
    </row>
    <row r="83" spans="4:12" x14ac:dyDescent="0.25">
      <c r="D83" s="9" t="s">
        <v>161</v>
      </c>
      <c r="E83" s="9">
        <v>64265</v>
      </c>
      <c r="F83" s="9" t="s">
        <v>143</v>
      </c>
      <c r="G83" s="11" t="s">
        <v>154</v>
      </c>
      <c r="H83" s="1">
        <v>11</v>
      </c>
      <c r="I83" s="5">
        <v>100</v>
      </c>
      <c r="J83" s="12"/>
      <c r="K83" s="10"/>
      <c r="L83" s="10"/>
    </row>
    <row r="84" spans="4:12" x14ac:dyDescent="0.25">
      <c r="D84" s="9" t="s">
        <v>161</v>
      </c>
      <c r="E84" s="9">
        <v>64265</v>
      </c>
      <c r="F84" s="9" t="s">
        <v>144</v>
      </c>
      <c r="G84" s="11" t="s">
        <v>155</v>
      </c>
      <c r="H84" s="1">
        <v>0.253</v>
      </c>
      <c r="I84" s="5">
        <v>200</v>
      </c>
      <c r="J84" s="12"/>
      <c r="K84" s="10"/>
      <c r="L84" s="10"/>
    </row>
    <row r="85" spans="4:12" x14ac:dyDescent="0.25">
      <c r="D85" s="9"/>
      <c r="E85" s="9">
        <v>64308</v>
      </c>
      <c r="F85" s="9" t="s">
        <v>162</v>
      </c>
      <c r="G85" s="13" t="s">
        <v>163</v>
      </c>
      <c r="H85" s="1">
        <v>0.36670000000000003</v>
      </c>
      <c r="I85" s="5">
        <v>215</v>
      </c>
      <c r="J85" s="12"/>
      <c r="K85" s="10"/>
      <c r="L85" s="10"/>
    </row>
    <row r="86" spans="4:12" x14ac:dyDescent="0.25">
      <c r="D86" s="14"/>
      <c r="E86" s="9">
        <v>64382</v>
      </c>
      <c r="F86" s="9" t="s">
        <v>140</v>
      </c>
      <c r="G86" s="11" t="s">
        <v>149</v>
      </c>
      <c r="H86" s="1">
        <v>0.2261</v>
      </c>
      <c r="I86" s="5">
        <v>3000</v>
      </c>
      <c r="J86" s="12"/>
      <c r="K86" s="10"/>
      <c r="L86" s="10"/>
    </row>
    <row r="87" spans="4:12" x14ac:dyDescent="0.25">
      <c r="D87" s="14"/>
      <c r="E87" s="9">
        <v>64379</v>
      </c>
      <c r="F87" s="9" t="s">
        <v>166</v>
      </c>
      <c r="G87" s="11" t="s">
        <v>165</v>
      </c>
      <c r="H87" s="1">
        <v>0.47020000000000001</v>
      </c>
      <c r="I87" s="5">
        <v>2000</v>
      </c>
      <c r="J87" s="12"/>
      <c r="K87" s="10"/>
      <c r="L87" s="10"/>
    </row>
    <row r="88" spans="4:12" x14ac:dyDescent="0.25">
      <c r="D88" s="9"/>
      <c r="E88" s="9"/>
      <c r="F88" s="9"/>
      <c r="G88" s="11"/>
      <c r="H88" s="1"/>
      <c r="I88" s="5"/>
      <c r="J88" s="12"/>
      <c r="K88" s="10"/>
      <c r="L88" s="10"/>
    </row>
    <row r="89" spans="4:12" x14ac:dyDescent="0.25">
      <c r="D89" s="22" t="s">
        <v>88</v>
      </c>
      <c r="E89" s="22"/>
      <c r="F89" s="22"/>
      <c r="G89" s="22"/>
      <c r="H89" s="22"/>
      <c r="I89" s="22"/>
      <c r="J89" s="22"/>
      <c r="L89" s="10"/>
    </row>
    <row r="90" spans="4:12" x14ac:dyDescent="0.25">
      <c r="D90" s="9" t="s">
        <v>98</v>
      </c>
      <c r="E90" s="9">
        <v>62814</v>
      </c>
      <c r="F90" s="9" t="s">
        <v>24</v>
      </c>
      <c r="G90" s="11" t="s">
        <v>59</v>
      </c>
      <c r="H90" s="1">
        <v>4.3685</v>
      </c>
      <c r="I90" s="5">
        <v>2500</v>
      </c>
      <c r="J90" s="8" t="s">
        <v>21</v>
      </c>
      <c r="L90" s="10"/>
    </row>
    <row r="91" spans="4:12" x14ac:dyDescent="0.25">
      <c r="D91" s="9" t="s">
        <v>98</v>
      </c>
      <c r="E91" s="9">
        <v>62814</v>
      </c>
      <c r="F91" s="9" t="s">
        <v>22</v>
      </c>
      <c r="G91" s="11" t="s">
        <v>9</v>
      </c>
      <c r="H91" s="1">
        <v>8.3725000000000005</v>
      </c>
      <c r="I91" s="5">
        <v>1000</v>
      </c>
      <c r="J91" s="12" t="s">
        <v>66</v>
      </c>
      <c r="L91" s="10"/>
    </row>
    <row r="92" spans="4:12" x14ac:dyDescent="0.25">
      <c r="D92" s="9" t="s">
        <v>98</v>
      </c>
      <c r="E92" s="9">
        <v>62814</v>
      </c>
      <c r="F92" s="9" t="s">
        <v>34</v>
      </c>
      <c r="G92" s="11" t="s">
        <v>35</v>
      </c>
      <c r="H92" s="1">
        <v>14.7356</v>
      </c>
      <c r="I92" s="5">
        <v>100</v>
      </c>
      <c r="J92" s="12" t="s">
        <v>36</v>
      </c>
      <c r="L92" s="10"/>
    </row>
    <row r="93" spans="4:12" x14ac:dyDescent="0.25">
      <c r="D93" s="9" t="s">
        <v>98</v>
      </c>
      <c r="E93" s="9">
        <v>63412</v>
      </c>
      <c r="F93" s="9" t="s">
        <v>27</v>
      </c>
      <c r="G93" s="11" t="s">
        <v>28</v>
      </c>
      <c r="H93" s="1">
        <v>0.27760000000000001</v>
      </c>
      <c r="I93" s="5">
        <v>4000</v>
      </c>
      <c r="J93" s="12"/>
      <c r="L93" s="10"/>
    </row>
    <row r="94" spans="4:12" x14ac:dyDescent="0.25">
      <c r="D94" s="9" t="s">
        <v>109</v>
      </c>
      <c r="E94" s="9">
        <v>63766</v>
      </c>
      <c r="F94" s="9" t="s">
        <v>32</v>
      </c>
      <c r="G94" s="11" t="s">
        <v>31</v>
      </c>
      <c r="H94" s="1">
        <v>0.8387</v>
      </c>
      <c r="I94" s="5">
        <v>300</v>
      </c>
      <c r="J94" s="12" t="s">
        <v>102</v>
      </c>
      <c r="K94" s="10"/>
      <c r="L94" s="10"/>
    </row>
    <row r="95" spans="4:12" x14ac:dyDescent="0.25">
      <c r="D95" s="9"/>
      <c r="E95" s="9"/>
      <c r="F95" s="9"/>
      <c r="G95" s="11"/>
      <c r="H95" s="1"/>
      <c r="I95" s="5"/>
      <c r="J95" s="12"/>
      <c r="L95" s="10"/>
    </row>
    <row r="96" spans="4:12" x14ac:dyDescent="0.25">
      <c r="D96" s="22" t="s">
        <v>92</v>
      </c>
      <c r="E96" s="22"/>
      <c r="F96" s="22"/>
      <c r="G96" s="22"/>
      <c r="H96" s="22"/>
      <c r="I96" s="22"/>
      <c r="J96" s="22"/>
      <c r="L96" s="10"/>
    </row>
    <row r="97" spans="1:12" x14ac:dyDescent="0.25">
      <c r="D97" s="9" t="s">
        <v>98</v>
      </c>
      <c r="E97" s="9">
        <v>62814</v>
      </c>
      <c r="F97" s="9" t="s">
        <v>75</v>
      </c>
      <c r="G97" s="11" t="s">
        <v>79</v>
      </c>
      <c r="H97" s="1">
        <v>14.7356</v>
      </c>
      <c r="I97" s="5">
        <v>200</v>
      </c>
      <c r="J97" s="8" t="s">
        <v>80</v>
      </c>
      <c r="L97" s="10"/>
    </row>
    <row r="98" spans="1:12" x14ac:dyDescent="0.25">
      <c r="D98" s="9" t="s">
        <v>98</v>
      </c>
      <c r="E98" s="9">
        <v>62814</v>
      </c>
      <c r="F98" s="9" t="s">
        <v>37</v>
      </c>
      <c r="G98" s="11" t="s">
        <v>38</v>
      </c>
      <c r="H98" s="1">
        <v>3.5737000000000001</v>
      </c>
      <c r="I98" s="5">
        <v>200</v>
      </c>
      <c r="J98" s="12"/>
      <c r="L98" s="10"/>
    </row>
    <row r="99" spans="1:12" x14ac:dyDescent="0.25">
      <c r="D99" s="9" t="s">
        <v>98</v>
      </c>
      <c r="E99" s="9">
        <v>62814</v>
      </c>
      <c r="F99" s="11" t="s">
        <v>47</v>
      </c>
      <c r="G99" s="11" t="s">
        <v>48</v>
      </c>
      <c r="H99" s="1">
        <v>3.5737000000000001</v>
      </c>
      <c r="I99" s="5">
        <v>200</v>
      </c>
      <c r="J99" s="12"/>
      <c r="L99" s="10"/>
    </row>
    <row r="100" spans="1:12" x14ac:dyDescent="0.25">
      <c r="D100" s="9" t="s">
        <v>98</v>
      </c>
      <c r="E100" s="9">
        <v>62814</v>
      </c>
      <c r="F100" s="9" t="s">
        <v>17</v>
      </c>
      <c r="G100" s="11" t="s">
        <v>16</v>
      </c>
      <c r="H100" s="1">
        <v>0.3201</v>
      </c>
      <c r="I100" s="15">
        <f>2500+500</f>
        <v>3000</v>
      </c>
      <c r="J100" s="12" t="s">
        <v>168</v>
      </c>
      <c r="L100" s="10"/>
    </row>
    <row r="101" spans="1:12" x14ac:dyDescent="0.25">
      <c r="D101" s="9" t="s">
        <v>98</v>
      </c>
      <c r="E101" s="9">
        <v>62814</v>
      </c>
      <c r="F101" s="9" t="s">
        <v>10</v>
      </c>
      <c r="G101" s="11" t="s">
        <v>11</v>
      </c>
      <c r="H101" s="1">
        <v>0.45119999999999999</v>
      </c>
      <c r="I101" s="5">
        <v>2000</v>
      </c>
      <c r="J101" s="12"/>
      <c r="L101" s="10"/>
    </row>
    <row r="102" spans="1:12" x14ac:dyDescent="0.25">
      <c r="D102" s="9" t="s">
        <v>98</v>
      </c>
      <c r="E102" s="9">
        <v>62814</v>
      </c>
      <c r="F102" s="9" t="s">
        <v>12</v>
      </c>
      <c r="G102" s="11" t="s">
        <v>14</v>
      </c>
      <c r="H102" s="1">
        <v>0.77029999999999998</v>
      </c>
      <c r="I102" s="5">
        <v>1500</v>
      </c>
      <c r="J102" s="12"/>
      <c r="L102" s="10"/>
    </row>
    <row r="103" spans="1:12" x14ac:dyDescent="0.25">
      <c r="D103" s="9" t="s">
        <v>98</v>
      </c>
      <c r="E103" s="9">
        <v>62814</v>
      </c>
      <c r="F103" s="9" t="s">
        <v>13</v>
      </c>
      <c r="G103" s="11" t="s">
        <v>15</v>
      </c>
      <c r="H103" s="1">
        <v>1.7174</v>
      </c>
      <c r="I103" s="5">
        <v>3500</v>
      </c>
      <c r="J103" s="12"/>
      <c r="L103" s="10"/>
    </row>
    <row r="104" spans="1:12" x14ac:dyDescent="0.25">
      <c r="D104" s="9" t="s">
        <v>98</v>
      </c>
      <c r="E104" s="9">
        <v>62814</v>
      </c>
      <c r="F104" s="9" t="s">
        <v>42</v>
      </c>
      <c r="G104" s="11" t="s">
        <v>43</v>
      </c>
      <c r="H104" s="1">
        <v>0.77029999999999998</v>
      </c>
      <c r="I104" s="5">
        <v>300</v>
      </c>
      <c r="J104" s="12"/>
      <c r="L104" s="10"/>
    </row>
    <row r="105" spans="1:12" x14ac:dyDescent="0.25">
      <c r="D105" s="9" t="s">
        <v>109</v>
      </c>
      <c r="E105" s="9">
        <v>63766</v>
      </c>
      <c r="F105" s="9" t="s">
        <v>10</v>
      </c>
      <c r="G105" s="11" t="s">
        <v>11</v>
      </c>
      <c r="H105" s="1">
        <v>0.45800000000000002</v>
      </c>
      <c r="I105" s="5">
        <v>2000</v>
      </c>
      <c r="J105" s="12"/>
      <c r="K105" s="10"/>
      <c r="L105" s="10"/>
    </row>
    <row r="106" spans="1:12" x14ac:dyDescent="0.25">
      <c r="D106" s="9" t="s">
        <v>109</v>
      </c>
      <c r="E106" s="9">
        <v>63766</v>
      </c>
      <c r="F106" s="9" t="s">
        <v>20</v>
      </c>
      <c r="G106" s="11" t="s">
        <v>19</v>
      </c>
      <c r="H106" s="1">
        <v>0.62580000000000002</v>
      </c>
      <c r="I106" s="15">
        <f>1000-500</f>
        <v>500</v>
      </c>
      <c r="J106" s="19" t="s">
        <v>174</v>
      </c>
      <c r="K106" s="21"/>
      <c r="L106" s="10"/>
    </row>
    <row r="107" spans="1:12" x14ac:dyDescent="0.25">
      <c r="A107" s="2" t="s">
        <v>107</v>
      </c>
      <c r="D107" s="9" t="s">
        <v>111</v>
      </c>
      <c r="E107" s="9">
        <v>63793</v>
      </c>
      <c r="F107" s="9" t="s">
        <v>103</v>
      </c>
      <c r="G107" s="11" t="s">
        <v>106</v>
      </c>
      <c r="H107" s="1">
        <v>0.28549999999999998</v>
      </c>
      <c r="I107" s="5">
        <v>700</v>
      </c>
      <c r="J107" s="12"/>
      <c r="L107" s="10"/>
    </row>
    <row r="108" spans="1:12" x14ac:dyDescent="0.25">
      <c r="D108" s="9" t="s">
        <v>111</v>
      </c>
      <c r="E108" s="9">
        <v>63793</v>
      </c>
      <c r="F108" s="9" t="s">
        <v>20</v>
      </c>
      <c r="G108" s="11" t="s">
        <v>19</v>
      </c>
      <c r="H108" s="1">
        <v>0.62580000000000002</v>
      </c>
      <c r="I108" s="5">
        <v>700</v>
      </c>
      <c r="J108" s="12"/>
      <c r="L108" s="10"/>
    </row>
    <row r="109" spans="1:12" x14ac:dyDescent="0.25">
      <c r="D109" s="9" t="s">
        <v>111</v>
      </c>
      <c r="E109" s="9">
        <v>63793</v>
      </c>
      <c r="F109" s="11" t="s">
        <v>104</v>
      </c>
      <c r="G109" s="11" t="s">
        <v>105</v>
      </c>
      <c r="H109" s="1">
        <v>0.54710000000000003</v>
      </c>
      <c r="I109" s="5">
        <v>200</v>
      </c>
      <c r="J109" s="12"/>
      <c r="L109" s="10"/>
    </row>
    <row r="110" spans="1:12" x14ac:dyDescent="0.25">
      <c r="D110" s="9" t="s">
        <v>161</v>
      </c>
      <c r="E110" s="9">
        <v>64265</v>
      </c>
      <c r="F110" s="11" t="s">
        <v>156</v>
      </c>
      <c r="G110" s="11" t="s">
        <v>157</v>
      </c>
      <c r="H110" s="1">
        <v>2.2353000000000001</v>
      </c>
      <c r="I110" s="5">
        <v>100</v>
      </c>
      <c r="J110" s="12"/>
      <c r="K110" s="10"/>
      <c r="L110" s="10"/>
    </row>
    <row r="111" spans="1:12" x14ac:dyDescent="0.25">
      <c r="D111" s="9" t="s">
        <v>161</v>
      </c>
      <c r="E111" s="9">
        <v>64265</v>
      </c>
      <c r="F111" s="9" t="s">
        <v>145</v>
      </c>
      <c r="G111" s="11" t="s">
        <v>158</v>
      </c>
      <c r="H111" s="1">
        <v>1.0619000000000001</v>
      </c>
      <c r="I111" s="5">
        <v>200</v>
      </c>
      <c r="J111" s="12"/>
      <c r="K111" s="10"/>
      <c r="L111" s="10"/>
    </row>
    <row r="112" spans="1:12" x14ac:dyDescent="0.25">
      <c r="D112" s="9" t="s">
        <v>161</v>
      </c>
      <c r="E112" s="9">
        <v>64265</v>
      </c>
      <c r="F112" s="11" t="s">
        <v>159</v>
      </c>
      <c r="G112" s="11" t="s">
        <v>160</v>
      </c>
      <c r="H112" s="1">
        <v>0.42930000000000001</v>
      </c>
      <c r="I112" s="5">
        <v>100</v>
      </c>
      <c r="J112" s="12"/>
      <c r="K112" s="10"/>
      <c r="L112" s="10"/>
    </row>
    <row r="113" spans="4:12" x14ac:dyDescent="0.25">
      <c r="D113" s="9"/>
      <c r="E113" s="9"/>
      <c r="F113" s="9"/>
      <c r="G113" s="11"/>
      <c r="H113" s="1"/>
      <c r="I113" s="5"/>
      <c r="J113" s="12"/>
      <c r="K113" s="10"/>
      <c r="L113" s="10"/>
    </row>
    <row r="114" spans="4:12" x14ac:dyDescent="0.25">
      <c r="D114" s="9"/>
      <c r="E114" s="9"/>
      <c r="F114" s="9"/>
      <c r="G114" s="11"/>
      <c r="H114" s="1"/>
      <c r="I114" s="5"/>
      <c r="J114" s="12"/>
      <c r="K114" s="10"/>
      <c r="L114" s="10"/>
    </row>
    <row r="115" spans="4:12" x14ac:dyDescent="0.25">
      <c r="D115" s="9"/>
      <c r="E115" s="9"/>
      <c r="F115" s="9"/>
      <c r="G115" s="11"/>
      <c r="H115" s="1"/>
      <c r="I115" s="5"/>
      <c r="J115" s="12"/>
      <c r="K115" s="10"/>
      <c r="L115" s="10"/>
    </row>
    <row r="116" spans="4:12" x14ac:dyDescent="0.25">
      <c r="D116" s="9"/>
      <c r="E116" s="9"/>
      <c r="F116" s="9"/>
      <c r="G116" s="11"/>
      <c r="H116" s="1"/>
      <c r="I116" s="5"/>
      <c r="J116" s="12"/>
      <c r="K116" s="10"/>
      <c r="L116" s="10"/>
    </row>
    <row r="117" spans="4:12" x14ac:dyDescent="0.25">
      <c r="D117" s="22" t="s">
        <v>90</v>
      </c>
      <c r="E117" s="22"/>
      <c r="F117" s="22"/>
      <c r="G117" s="22"/>
      <c r="H117" s="22"/>
      <c r="I117" s="22"/>
      <c r="J117" s="22"/>
      <c r="L117" s="10"/>
    </row>
    <row r="118" spans="4:12" x14ac:dyDescent="0.25">
      <c r="D118" s="9" t="s">
        <v>98</v>
      </c>
      <c r="E118" s="9">
        <v>62814</v>
      </c>
      <c r="F118" s="9" t="s">
        <v>24</v>
      </c>
      <c r="G118" s="11" t="s">
        <v>59</v>
      </c>
      <c r="H118" s="1">
        <v>4.3685</v>
      </c>
      <c r="I118" s="5">
        <v>1620</v>
      </c>
      <c r="J118" s="12" t="s">
        <v>66</v>
      </c>
      <c r="L118" s="10"/>
    </row>
    <row r="119" spans="4:12" x14ac:dyDescent="0.25">
      <c r="D119" s="9" t="s">
        <v>109</v>
      </c>
      <c r="E119" s="9">
        <v>63766</v>
      </c>
      <c r="F119" s="9" t="s">
        <v>10</v>
      </c>
      <c r="G119" s="11" t="s">
        <v>11</v>
      </c>
      <c r="H119" s="1">
        <v>0.45800000000000002</v>
      </c>
      <c r="I119" s="5">
        <v>2500</v>
      </c>
      <c r="J119" s="12"/>
      <c r="K119" s="10"/>
      <c r="L119" s="10"/>
    </row>
    <row r="120" spans="4:12" x14ac:dyDescent="0.25">
      <c r="D120" s="9" t="s">
        <v>109</v>
      </c>
      <c r="E120" s="9">
        <v>63766</v>
      </c>
      <c r="F120" s="9" t="s">
        <v>20</v>
      </c>
      <c r="G120" s="11" t="s">
        <v>19</v>
      </c>
      <c r="H120" s="1">
        <v>0.62580000000000002</v>
      </c>
      <c r="I120" s="5">
        <v>1000</v>
      </c>
      <c r="J120" s="12"/>
      <c r="K120" s="10"/>
      <c r="L120" s="10"/>
    </row>
    <row r="121" spans="4:12" x14ac:dyDescent="0.25">
      <c r="D121" s="9"/>
      <c r="E121" s="9"/>
      <c r="F121" s="9"/>
      <c r="G121" s="11"/>
      <c r="H121" s="1"/>
      <c r="I121" s="5"/>
      <c r="J121" s="12"/>
      <c r="L121" s="10"/>
    </row>
    <row r="122" spans="4:12" x14ac:dyDescent="0.25">
      <c r="D122" s="9"/>
      <c r="E122" s="9"/>
      <c r="F122" s="9"/>
      <c r="G122" s="11"/>
      <c r="H122" s="1"/>
      <c r="I122" s="5"/>
      <c r="J122" s="12"/>
      <c r="L122" s="10"/>
    </row>
    <row r="123" spans="4:12" x14ac:dyDescent="0.25">
      <c r="D123" s="9"/>
      <c r="E123" s="9"/>
      <c r="F123" s="9"/>
      <c r="G123" s="11"/>
      <c r="H123" s="1"/>
      <c r="I123" s="5"/>
      <c r="J123" s="12"/>
      <c r="L123" s="10"/>
    </row>
    <row r="124" spans="4:12" x14ac:dyDescent="0.25">
      <c r="D124" s="22" t="s">
        <v>164</v>
      </c>
      <c r="E124" s="22"/>
      <c r="F124" s="22"/>
      <c r="G124" s="22"/>
      <c r="H124" s="22"/>
      <c r="I124" s="22"/>
      <c r="J124" s="22"/>
      <c r="L124" s="10"/>
    </row>
    <row r="125" spans="4:12" x14ac:dyDescent="0.25">
      <c r="D125" s="14"/>
      <c r="E125" s="9">
        <v>64483</v>
      </c>
      <c r="F125" s="9" t="s">
        <v>169</v>
      </c>
      <c r="G125" s="11" t="s">
        <v>170</v>
      </c>
      <c r="H125" s="1">
        <v>0.20430000000000001</v>
      </c>
      <c r="I125" s="5">
        <v>1000</v>
      </c>
      <c r="J125" s="12"/>
      <c r="L125" s="10"/>
    </row>
    <row r="126" spans="4:12" x14ac:dyDescent="0.25">
      <c r="D126" s="9"/>
      <c r="E126" s="9"/>
      <c r="F126" s="9"/>
      <c r="G126" s="9"/>
      <c r="H126" s="1"/>
      <c r="I126" s="5"/>
      <c r="J126" s="12"/>
      <c r="L126" s="10"/>
    </row>
    <row r="127" spans="4:12" x14ac:dyDescent="0.25">
      <c r="D127" s="14"/>
      <c r="E127" s="9">
        <v>64493</v>
      </c>
      <c r="F127" s="9" t="s">
        <v>172</v>
      </c>
      <c r="G127" s="11" t="s">
        <v>173</v>
      </c>
      <c r="H127" s="20">
        <v>0.21149999999999999</v>
      </c>
      <c r="I127" s="5">
        <v>1000</v>
      </c>
      <c r="J127" s="12"/>
      <c r="L127" s="10"/>
    </row>
    <row r="128" spans="4:12" x14ac:dyDescent="0.25">
      <c r="D128" s="9"/>
      <c r="E128" s="9"/>
      <c r="F128" s="9"/>
      <c r="G128" s="9"/>
      <c r="H128" s="1"/>
      <c r="I128" s="5"/>
      <c r="J128" s="12"/>
      <c r="L128" s="10"/>
    </row>
    <row r="129" spans="4:12" x14ac:dyDescent="0.25">
      <c r="D129" s="9"/>
      <c r="E129" s="9"/>
      <c r="F129" s="9"/>
      <c r="G129" s="9"/>
      <c r="H129" s="1"/>
      <c r="I129" s="5"/>
      <c r="J129" s="12"/>
      <c r="L129" s="10"/>
    </row>
    <row r="130" spans="4:12" x14ac:dyDescent="0.25">
      <c r="D130" s="9"/>
      <c r="E130" s="9"/>
      <c r="F130" s="9"/>
      <c r="G130" s="9"/>
      <c r="H130" s="1"/>
      <c r="I130" s="5"/>
      <c r="J130" s="12"/>
      <c r="L130" s="10"/>
    </row>
    <row r="131" spans="4:12" x14ac:dyDescent="0.25">
      <c r="D131" s="9"/>
      <c r="E131" s="9"/>
      <c r="F131" s="9"/>
      <c r="G131" s="9"/>
      <c r="H131" s="1"/>
      <c r="I131" s="5"/>
      <c r="J131" s="12"/>
      <c r="L131" s="10"/>
    </row>
    <row r="132" spans="4:12" x14ac:dyDescent="0.25">
      <c r="D132" s="9"/>
      <c r="E132" s="9"/>
      <c r="F132" s="9"/>
      <c r="G132" s="9"/>
      <c r="H132" s="1"/>
      <c r="I132" s="5"/>
      <c r="J132" s="12"/>
      <c r="L132" s="10"/>
    </row>
    <row r="133" spans="4:12" x14ac:dyDescent="0.25">
      <c r="D133" s="9"/>
      <c r="E133" s="9"/>
      <c r="F133" s="9"/>
      <c r="G133" s="9"/>
      <c r="H133" s="1"/>
      <c r="I133" s="5"/>
      <c r="J133" s="12"/>
      <c r="L133" s="10"/>
    </row>
    <row r="134" spans="4:12" x14ac:dyDescent="0.25">
      <c r="D134" s="9"/>
      <c r="E134" s="9"/>
      <c r="F134" s="9"/>
      <c r="G134" s="9"/>
      <c r="H134" s="1"/>
      <c r="I134" s="5"/>
      <c r="J134" s="12"/>
      <c r="L134" s="10"/>
    </row>
    <row r="135" spans="4:12" x14ac:dyDescent="0.25">
      <c r="D135" s="9"/>
      <c r="E135" s="9"/>
      <c r="F135" s="9"/>
      <c r="G135" s="9"/>
      <c r="H135" s="1"/>
      <c r="I135" s="5"/>
      <c r="J135" s="12"/>
      <c r="L135" s="10"/>
    </row>
    <row r="136" spans="4:12" x14ac:dyDescent="0.25">
      <c r="D136" s="9"/>
      <c r="E136" s="9"/>
      <c r="F136" s="9"/>
      <c r="G136" s="9"/>
      <c r="H136" s="1"/>
      <c r="I136" s="5"/>
      <c r="J136" s="12"/>
      <c r="L136" s="10"/>
    </row>
    <row r="137" spans="4:12" x14ac:dyDescent="0.25">
      <c r="D137" s="9"/>
      <c r="E137" s="9"/>
      <c r="F137" s="9"/>
      <c r="G137" s="9"/>
      <c r="H137" s="1"/>
      <c r="I137" s="5"/>
      <c r="J137" s="12"/>
      <c r="L137" s="10"/>
    </row>
    <row r="138" spans="4:12" x14ac:dyDescent="0.25">
      <c r="D138" s="9"/>
      <c r="E138" s="9"/>
      <c r="F138" s="9"/>
      <c r="G138" s="9"/>
      <c r="H138" s="1"/>
      <c r="I138" s="5"/>
      <c r="J138" s="12"/>
      <c r="L138" s="10"/>
    </row>
    <row r="139" spans="4:12" x14ac:dyDescent="0.25">
      <c r="D139" s="9"/>
      <c r="E139" s="9"/>
      <c r="F139" s="9"/>
      <c r="G139" s="9"/>
      <c r="H139" s="1"/>
      <c r="I139" s="5"/>
      <c r="J139" s="12"/>
      <c r="L139" s="10"/>
    </row>
    <row r="140" spans="4:12" x14ac:dyDescent="0.25">
      <c r="D140" s="9"/>
      <c r="E140" s="9"/>
      <c r="F140" s="9"/>
      <c r="G140" s="9"/>
      <c r="H140" s="1"/>
      <c r="I140" s="5"/>
      <c r="J140" s="12"/>
      <c r="L140" s="10"/>
    </row>
    <row r="141" spans="4:12" x14ac:dyDescent="0.25">
      <c r="D141" s="9"/>
      <c r="E141" s="9"/>
      <c r="F141" s="9"/>
      <c r="G141" s="9"/>
      <c r="H141" s="1"/>
      <c r="I141" s="5"/>
      <c r="J141" s="12"/>
      <c r="L141" s="10"/>
    </row>
    <row r="142" spans="4:12" x14ac:dyDescent="0.25">
      <c r="D142" s="9"/>
      <c r="E142" s="9"/>
      <c r="F142" s="9"/>
      <c r="G142" s="9"/>
      <c r="H142" s="1"/>
      <c r="I142" s="5"/>
      <c r="J142" s="12"/>
      <c r="L142" s="10"/>
    </row>
    <row r="143" spans="4:12" x14ac:dyDescent="0.25">
      <c r="D143" s="9"/>
      <c r="E143" s="9"/>
      <c r="F143" s="9"/>
      <c r="G143" s="9"/>
      <c r="H143" s="1"/>
      <c r="I143" s="5"/>
      <c r="J143" s="12"/>
      <c r="L143" s="10"/>
    </row>
    <row r="144" spans="4:12" x14ac:dyDescent="0.25">
      <c r="D144" s="9"/>
      <c r="E144" s="9"/>
      <c r="F144" s="9"/>
      <c r="G144" s="9"/>
      <c r="H144" s="1"/>
      <c r="I144" s="5"/>
      <c r="J144" s="12"/>
      <c r="L144" s="10"/>
    </row>
    <row r="145" spans="4:12" x14ac:dyDescent="0.25">
      <c r="D145" s="9"/>
      <c r="E145" s="9"/>
      <c r="F145" s="9"/>
      <c r="G145" s="9"/>
      <c r="H145" s="1"/>
      <c r="I145" s="5"/>
      <c r="J145" s="12"/>
      <c r="L145" s="10"/>
    </row>
    <row r="146" spans="4:12" x14ac:dyDescent="0.25">
      <c r="D146" s="9"/>
      <c r="E146" s="9"/>
      <c r="F146" s="9"/>
      <c r="G146" s="9"/>
      <c r="H146" s="1"/>
      <c r="I146" s="5"/>
      <c r="J146" s="12"/>
      <c r="L146" s="10"/>
    </row>
    <row r="147" spans="4:12" x14ac:dyDescent="0.25">
      <c r="D147" s="9"/>
      <c r="E147" s="9"/>
      <c r="F147" s="9"/>
      <c r="G147" s="9"/>
      <c r="H147" s="1"/>
      <c r="I147" s="5"/>
      <c r="J147" s="12"/>
      <c r="L147" s="10"/>
    </row>
    <row r="148" spans="4:12" x14ac:dyDescent="0.25">
      <c r="D148" s="9"/>
      <c r="E148" s="9"/>
      <c r="F148" s="9"/>
      <c r="G148" s="9"/>
      <c r="H148" s="1"/>
      <c r="I148" s="5"/>
      <c r="J148" s="12"/>
      <c r="L148" s="10"/>
    </row>
    <row r="149" spans="4:12" x14ac:dyDescent="0.25">
      <c r="D149" s="9"/>
      <c r="E149" s="9"/>
      <c r="F149" s="9"/>
      <c r="G149" s="9"/>
      <c r="H149" s="1"/>
      <c r="I149" s="5"/>
      <c r="J149" s="12"/>
      <c r="L149" s="10"/>
    </row>
    <row r="150" spans="4:12" x14ac:dyDescent="0.25">
      <c r="D150" s="9"/>
      <c r="E150" s="9"/>
      <c r="F150" s="9"/>
      <c r="G150" s="9"/>
      <c r="H150" s="1"/>
      <c r="I150" s="5"/>
      <c r="J150" s="12"/>
      <c r="L150" s="10"/>
    </row>
    <row r="151" spans="4:12" x14ac:dyDescent="0.25">
      <c r="D151" s="9"/>
      <c r="E151" s="9"/>
      <c r="F151" s="9"/>
      <c r="G151" s="9"/>
      <c r="H151" s="1"/>
      <c r="I151" s="5"/>
      <c r="J151" s="12"/>
      <c r="L151" s="10"/>
    </row>
    <row r="152" spans="4:12" x14ac:dyDescent="0.25">
      <c r="D152" s="9"/>
      <c r="E152" s="9"/>
      <c r="F152" s="9"/>
      <c r="G152" s="9"/>
      <c r="H152" s="1"/>
      <c r="I152" s="5"/>
      <c r="J152" s="12"/>
      <c r="L152" s="10"/>
    </row>
    <row r="153" spans="4:12" x14ac:dyDescent="0.25">
      <c r="D153" s="9"/>
      <c r="E153" s="9"/>
      <c r="F153" s="9"/>
      <c r="G153" s="9"/>
      <c r="H153" s="1"/>
      <c r="I153" s="5"/>
      <c r="J153" s="12"/>
      <c r="L153" s="10"/>
    </row>
    <row r="154" spans="4:12" x14ac:dyDescent="0.25">
      <c r="D154" s="9"/>
      <c r="E154" s="9"/>
      <c r="F154" s="9"/>
      <c r="G154" s="9"/>
      <c r="H154" s="1"/>
      <c r="I154" s="5"/>
      <c r="J154" s="12"/>
      <c r="L154" s="10"/>
    </row>
    <row r="155" spans="4:12" x14ac:dyDescent="0.25">
      <c r="D155" s="9"/>
      <c r="E155" s="9"/>
      <c r="F155" s="9"/>
      <c r="G155" s="9"/>
      <c r="H155" s="1"/>
      <c r="I155" s="5"/>
      <c r="J155" s="12"/>
      <c r="L155" s="10"/>
    </row>
    <row r="156" spans="4:12" x14ac:dyDescent="0.25">
      <c r="D156" s="9"/>
      <c r="E156" s="9"/>
      <c r="F156" s="9"/>
      <c r="G156" s="9"/>
      <c r="H156" s="1"/>
      <c r="I156" s="5"/>
      <c r="J156" s="12"/>
      <c r="L156" s="10"/>
    </row>
    <row r="157" spans="4:12" x14ac:dyDescent="0.25">
      <c r="D157" s="9"/>
      <c r="E157" s="9"/>
      <c r="F157" s="9"/>
      <c r="G157" s="9"/>
      <c r="H157" s="1"/>
      <c r="I157" s="5"/>
      <c r="J157" s="12"/>
      <c r="L157" s="10"/>
    </row>
    <row r="158" spans="4:12" x14ac:dyDescent="0.25">
      <c r="D158" s="9"/>
      <c r="E158" s="9"/>
      <c r="F158" s="9"/>
      <c r="G158" s="9"/>
      <c r="H158" s="1"/>
      <c r="I158" s="5"/>
      <c r="J158" s="12"/>
      <c r="L158" s="10"/>
    </row>
    <row r="159" spans="4:12" x14ac:dyDescent="0.25">
      <c r="D159" s="9"/>
      <c r="E159" s="9"/>
      <c r="F159" s="9"/>
      <c r="G159" s="9"/>
      <c r="H159" s="1"/>
      <c r="I159" s="5"/>
      <c r="J159" s="12"/>
      <c r="L159" s="10"/>
    </row>
    <row r="160" spans="4:12" x14ac:dyDescent="0.25">
      <c r="D160" s="9"/>
      <c r="E160" s="9"/>
      <c r="F160" s="9"/>
      <c r="G160" s="9"/>
      <c r="H160" s="1"/>
      <c r="I160" s="5"/>
      <c r="J160" s="12"/>
      <c r="L160" s="10"/>
    </row>
    <row r="161" spans="4:12" x14ac:dyDescent="0.25">
      <c r="D161" s="9"/>
      <c r="E161" s="9"/>
      <c r="F161" s="9"/>
      <c r="G161" s="9"/>
      <c r="H161" s="1"/>
      <c r="I161" s="5"/>
      <c r="J161" s="12"/>
      <c r="L161" s="10"/>
    </row>
    <row r="162" spans="4:12" x14ac:dyDescent="0.25">
      <c r="D162" s="9"/>
      <c r="E162" s="9"/>
      <c r="F162" s="9"/>
      <c r="G162" s="9"/>
      <c r="H162" s="1"/>
      <c r="I162" s="5"/>
      <c r="J162" s="12"/>
      <c r="L162" s="10"/>
    </row>
    <row r="163" spans="4:12" x14ac:dyDescent="0.25">
      <c r="D163" s="9"/>
      <c r="E163" s="9"/>
      <c r="F163" s="9"/>
      <c r="G163" s="9"/>
      <c r="H163" s="1"/>
      <c r="I163" s="5"/>
      <c r="J163" s="12"/>
      <c r="L163" s="10"/>
    </row>
    <row r="164" spans="4:12" x14ac:dyDescent="0.25">
      <c r="D164" s="9"/>
      <c r="E164" s="9"/>
      <c r="F164" s="9"/>
      <c r="G164" s="9"/>
      <c r="H164" s="1"/>
      <c r="I164" s="5"/>
      <c r="J164" s="12"/>
      <c r="L164" s="10"/>
    </row>
    <row r="165" spans="4:12" x14ac:dyDescent="0.25">
      <c r="D165" s="9"/>
      <c r="E165" s="9"/>
      <c r="F165" s="9"/>
      <c r="G165" s="9"/>
      <c r="H165" s="1"/>
      <c r="I165" s="5"/>
      <c r="J165" s="12"/>
      <c r="L165" s="10"/>
    </row>
    <row r="166" spans="4:12" x14ac:dyDescent="0.25">
      <c r="D166" s="9"/>
      <c r="E166" s="9"/>
      <c r="F166" s="9"/>
      <c r="G166" s="9"/>
      <c r="H166" s="1"/>
      <c r="I166" s="5"/>
      <c r="J166" s="12"/>
      <c r="L166" s="10"/>
    </row>
    <row r="167" spans="4:12" x14ac:dyDescent="0.25">
      <c r="D167" s="9"/>
      <c r="E167" s="9"/>
      <c r="F167" s="9"/>
      <c r="G167" s="9"/>
      <c r="H167" s="1"/>
      <c r="I167" s="5"/>
      <c r="J167" s="12"/>
      <c r="L167" s="10"/>
    </row>
    <row r="168" spans="4:12" x14ac:dyDescent="0.25">
      <c r="D168" s="9"/>
      <c r="E168" s="9"/>
      <c r="F168" s="9"/>
      <c r="G168" s="9"/>
      <c r="H168" s="1"/>
      <c r="I168" s="5"/>
      <c r="J168" s="12"/>
      <c r="L168" s="10"/>
    </row>
    <row r="169" spans="4:12" x14ac:dyDescent="0.25">
      <c r="D169" s="9"/>
      <c r="E169" s="9"/>
      <c r="F169" s="9"/>
      <c r="G169" s="9"/>
      <c r="H169" s="1"/>
      <c r="I169" s="5"/>
      <c r="J169" s="12"/>
      <c r="L169" s="10"/>
    </row>
    <row r="170" spans="4:12" x14ac:dyDescent="0.25">
      <c r="D170" s="9"/>
      <c r="E170" s="9"/>
      <c r="F170" s="9"/>
      <c r="G170" s="9"/>
      <c r="H170" s="1"/>
      <c r="I170" s="5"/>
      <c r="J170" s="12"/>
      <c r="L170" s="10"/>
    </row>
    <row r="171" spans="4:12" x14ac:dyDescent="0.25">
      <c r="D171" s="9"/>
      <c r="E171" s="9"/>
      <c r="F171" s="9"/>
      <c r="G171" s="9"/>
      <c r="H171" s="1"/>
      <c r="I171" s="5"/>
      <c r="J171" s="12"/>
      <c r="L171" s="10"/>
    </row>
    <row r="172" spans="4:12" x14ac:dyDescent="0.25">
      <c r="D172" s="9"/>
      <c r="E172" s="9"/>
      <c r="F172" s="9"/>
      <c r="G172" s="9"/>
      <c r="H172" s="1"/>
      <c r="I172" s="5"/>
      <c r="J172" s="12"/>
      <c r="L172" s="10"/>
    </row>
    <row r="173" spans="4:12" x14ac:dyDescent="0.25">
      <c r="D173" s="9"/>
      <c r="E173" s="9"/>
      <c r="F173" s="9"/>
      <c r="G173" s="9"/>
      <c r="H173" s="1"/>
      <c r="I173" s="5"/>
      <c r="J173" s="12"/>
      <c r="L173" s="10"/>
    </row>
    <row r="174" spans="4:12" x14ac:dyDescent="0.25">
      <c r="D174" s="9"/>
      <c r="E174" s="9"/>
      <c r="F174" s="9"/>
      <c r="G174" s="9"/>
      <c r="H174" s="1"/>
      <c r="I174" s="5"/>
      <c r="J174" s="12"/>
      <c r="L174" s="10"/>
    </row>
    <row r="175" spans="4:12" x14ac:dyDescent="0.25">
      <c r="D175" s="9"/>
      <c r="E175" s="9"/>
      <c r="F175" s="9"/>
      <c r="G175" s="9"/>
      <c r="H175" s="1"/>
      <c r="I175" s="5"/>
      <c r="J175" s="12"/>
      <c r="L175" s="10"/>
    </row>
    <row r="176" spans="4:12" x14ac:dyDescent="0.25">
      <c r="D176" s="9"/>
      <c r="E176" s="9"/>
      <c r="F176" s="9"/>
      <c r="G176" s="9"/>
      <c r="H176" s="1"/>
      <c r="I176" s="5"/>
      <c r="J176" s="12"/>
      <c r="L176" s="10"/>
    </row>
    <row r="177" spans="4:12" x14ac:dyDescent="0.25">
      <c r="D177" s="9"/>
      <c r="E177" s="9"/>
      <c r="F177" s="9"/>
      <c r="G177" s="9"/>
      <c r="H177" s="1"/>
      <c r="I177" s="5"/>
      <c r="J177" s="12"/>
      <c r="L177" s="10"/>
    </row>
    <row r="178" spans="4:12" x14ac:dyDescent="0.25">
      <c r="D178" s="9"/>
      <c r="E178" s="9"/>
      <c r="F178" s="9"/>
      <c r="G178" s="9"/>
      <c r="H178" s="1"/>
      <c r="I178" s="5"/>
      <c r="J178" s="12"/>
      <c r="L178" s="10"/>
    </row>
    <row r="179" spans="4:12" x14ac:dyDescent="0.25">
      <c r="D179" s="9"/>
      <c r="E179" s="9"/>
      <c r="F179" s="9"/>
      <c r="G179" s="9"/>
      <c r="H179" s="1"/>
      <c r="I179" s="5"/>
      <c r="J179" s="12"/>
      <c r="L179" s="10"/>
    </row>
    <row r="180" spans="4:12" x14ac:dyDescent="0.25">
      <c r="D180" s="9"/>
      <c r="E180" s="9"/>
      <c r="F180" s="9"/>
      <c r="G180" s="9"/>
      <c r="H180" s="1"/>
      <c r="I180" s="5"/>
      <c r="J180" s="12"/>
      <c r="L180" s="10"/>
    </row>
    <row r="181" spans="4:12" x14ac:dyDescent="0.25">
      <c r="D181" s="9"/>
      <c r="E181" s="9"/>
      <c r="F181" s="9"/>
      <c r="G181" s="9"/>
      <c r="H181" s="1"/>
      <c r="I181" s="5"/>
      <c r="J181" s="12"/>
      <c r="L181" s="10"/>
    </row>
    <row r="182" spans="4:12" x14ac:dyDescent="0.25">
      <c r="D182" s="9"/>
      <c r="E182" s="9"/>
      <c r="F182" s="9"/>
      <c r="G182" s="9"/>
      <c r="H182" s="1"/>
      <c r="I182" s="5"/>
      <c r="J182" s="12"/>
      <c r="L182" s="10"/>
    </row>
    <row r="183" spans="4:12" x14ac:dyDescent="0.25">
      <c r="D183" s="9"/>
      <c r="E183" s="9"/>
      <c r="F183" s="9"/>
      <c r="G183" s="9"/>
      <c r="H183" s="1"/>
      <c r="I183" s="5"/>
      <c r="J183" s="12"/>
      <c r="L183" s="10"/>
    </row>
    <row r="184" spans="4:12" x14ac:dyDescent="0.25">
      <c r="D184" s="9"/>
      <c r="E184" s="9"/>
      <c r="F184" s="9"/>
      <c r="G184" s="9"/>
      <c r="H184" s="1"/>
      <c r="I184" s="5"/>
      <c r="J184" s="12"/>
      <c r="L184" s="10"/>
    </row>
    <row r="185" spans="4:12" x14ac:dyDescent="0.25">
      <c r="D185" s="9"/>
      <c r="E185" s="9"/>
      <c r="F185" s="9"/>
      <c r="G185" s="9"/>
      <c r="H185" s="1"/>
      <c r="I185" s="5"/>
      <c r="J185" s="12"/>
      <c r="L185" s="10"/>
    </row>
    <row r="186" spans="4:12" x14ac:dyDescent="0.25">
      <c r="D186" s="9"/>
      <c r="E186" s="9"/>
      <c r="F186" s="9"/>
      <c r="G186" s="9"/>
      <c r="H186" s="1"/>
      <c r="I186" s="5"/>
      <c r="J186" s="12"/>
      <c r="L186" s="10"/>
    </row>
    <row r="187" spans="4:12" x14ac:dyDescent="0.25">
      <c r="D187" s="9"/>
      <c r="E187" s="9"/>
      <c r="F187" s="9"/>
      <c r="G187" s="9"/>
      <c r="H187" s="1"/>
      <c r="I187" s="5"/>
      <c r="J187" s="12"/>
      <c r="L187" s="10"/>
    </row>
    <row r="188" spans="4:12" x14ac:dyDescent="0.25">
      <c r="D188" s="9"/>
      <c r="E188" s="9"/>
      <c r="F188" s="9"/>
      <c r="G188" s="9"/>
      <c r="H188" s="1"/>
      <c r="I188" s="5"/>
      <c r="J188" s="12"/>
      <c r="L188" s="10"/>
    </row>
    <row r="189" spans="4:12" x14ac:dyDescent="0.25">
      <c r="D189" s="9"/>
      <c r="E189" s="9"/>
      <c r="F189" s="9"/>
      <c r="G189" s="9"/>
      <c r="H189" s="1"/>
      <c r="I189" s="5"/>
      <c r="J189" s="12"/>
      <c r="L189" s="10"/>
    </row>
    <row r="190" spans="4:12" x14ac:dyDescent="0.25">
      <c r="D190" s="9"/>
      <c r="E190" s="9"/>
      <c r="F190" s="9"/>
      <c r="G190" s="9"/>
      <c r="H190" s="1"/>
      <c r="I190" s="5"/>
      <c r="J190" s="12"/>
      <c r="L190" s="10"/>
    </row>
    <row r="191" spans="4:12" x14ac:dyDescent="0.25">
      <c r="D191" s="9"/>
      <c r="E191" s="9"/>
      <c r="F191" s="9"/>
      <c r="G191" s="9"/>
      <c r="H191" s="1"/>
      <c r="I191" s="5"/>
      <c r="J191" s="12"/>
      <c r="L191" s="10"/>
    </row>
    <row r="192" spans="4:12" x14ac:dyDescent="0.25">
      <c r="D192" s="9"/>
      <c r="E192" s="9"/>
      <c r="F192" s="9"/>
      <c r="G192" s="9"/>
      <c r="H192" s="1"/>
      <c r="I192" s="5"/>
      <c r="J192" s="12"/>
      <c r="L192" s="10"/>
    </row>
    <row r="193" spans="4:12" x14ac:dyDescent="0.25">
      <c r="D193" s="9"/>
      <c r="E193" s="9"/>
      <c r="F193" s="9"/>
      <c r="G193" s="9"/>
      <c r="H193" s="1"/>
      <c r="I193" s="5"/>
      <c r="J193" s="12"/>
      <c r="L193" s="10"/>
    </row>
    <row r="194" spans="4:12" x14ac:dyDescent="0.25">
      <c r="D194" s="9"/>
      <c r="E194" s="9"/>
      <c r="F194" s="9"/>
      <c r="G194" s="9"/>
      <c r="H194" s="1"/>
      <c r="I194" s="5"/>
      <c r="J194" s="12"/>
      <c r="L194" s="10"/>
    </row>
    <row r="195" spans="4:12" x14ac:dyDescent="0.25">
      <c r="D195" s="9"/>
      <c r="E195" s="9"/>
      <c r="F195" s="9"/>
      <c r="G195" s="9"/>
      <c r="H195" s="1"/>
      <c r="I195" s="5"/>
      <c r="J195" s="12"/>
      <c r="L195" s="10"/>
    </row>
    <row r="196" spans="4:12" x14ac:dyDescent="0.25">
      <c r="D196" s="9"/>
      <c r="E196" s="9"/>
      <c r="F196" s="9"/>
      <c r="G196" s="9"/>
      <c r="H196" s="1"/>
      <c r="I196" s="5"/>
      <c r="J196" s="12"/>
      <c r="L196" s="10"/>
    </row>
    <row r="197" spans="4:12" x14ac:dyDescent="0.25">
      <c r="D197" s="9"/>
      <c r="E197" s="9"/>
      <c r="F197" s="9"/>
      <c r="G197" s="9"/>
      <c r="H197" s="1"/>
      <c r="I197" s="5"/>
      <c r="J197" s="12"/>
      <c r="L197" s="10"/>
    </row>
    <row r="198" spans="4:12" x14ac:dyDescent="0.25">
      <c r="D198" s="9"/>
      <c r="E198" s="9"/>
      <c r="F198" s="9"/>
      <c r="G198" s="9"/>
      <c r="H198" s="1"/>
      <c r="I198" s="5"/>
      <c r="J198" s="12"/>
      <c r="L198" s="10"/>
    </row>
    <row r="199" spans="4:12" x14ac:dyDescent="0.25">
      <c r="D199" s="9"/>
      <c r="E199" s="9"/>
      <c r="F199" s="9"/>
      <c r="G199" s="9"/>
      <c r="H199" s="1"/>
      <c r="I199" s="5"/>
      <c r="J199" s="12"/>
      <c r="L199" s="10"/>
    </row>
    <row r="200" spans="4:12" x14ac:dyDescent="0.25">
      <c r="D200" s="9"/>
      <c r="E200" s="9"/>
      <c r="F200" s="9"/>
      <c r="G200" s="9"/>
      <c r="H200" s="1"/>
      <c r="I200" s="5"/>
      <c r="J200" s="12"/>
      <c r="L200" s="10"/>
    </row>
    <row r="201" spans="4:12" x14ac:dyDescent="0.25">
      <c r="D201" s="9"/>
      <c r="E201" s="9"/>
      <c r="F201" s="9"/>
      <c r="G201" s="9"/>
      <c r="H201" s="1"/>
      <c r="I201" s="5"/>
      <c r="J201" s="12"/>
      <c r="L201" s="10"/>
    </row>
    <row r="202" spans="4:12" x14ac:dyDescent="0.25">
      <c r="D202" s="9"/>
      <c r="E202" s="9"/>
      <c r="F202" s="9"/>
      <c r="G202" s="9"/>
      <c r="H202" s="1"/>
      <c r="I202" s="5"/>
      <c r="J202" s="12"/>
      <c r="L202" s="10"/>
    </row>
    <row r="203" spans="4:12" x14ac:dyDescent="0.25">
      <c r="D203" s="9"/>
      <c r="E203" s="9"/>
      <c r="F203" s="9"/>
      <c r="G203" s="9"/>
      <c r="H203" s="1"/>
      <c r="I203" s="5"/>
      <c r="J203" s="12"/>
      <c r="L203" s="10"/>
    </row>
    <row r="204" spans="4:12" x14ac:dyDescent="0.25">
      <c r="D204" s="9"/>
      <c r="E204" s="9"/>
      <c r="F204" s="9"/>
      <c r="G204" s="9"/>
      <c r="H204" s="1"/>
      <c r="I204" s="5"/>
      <c r="J204" s="12"/>
      <c r="L204" s="10"/>
    </row>
    <row r="205" spans="4:12" x14ac:dyDescent="0.25">
      <c r="D205" s="9"/>
      <c r="E205" s="9"/>
      <c r="F205" s="9"/>
      <c r="G205" s="9"/>
      <c r="H205" s="1"/>
      <c r="I205" s="5"/>
      <c r="J205" s="12"/>
      <c r="L205" s="10"/>
    </row>
    <row r="206" spans="4:12" x14ac:dyDescent="0.25">
      <c r="D206" s="9"/>
      <c r="E206" s="9"/>
      <c r="F206" s="9"/>
      <c r="G206" s="9"/>
      <c r="H206" s="1"/>
      <c r="I206" s="5"/>
      <c r="J206" s="12"/>
      <c r="L206" s="10"/>
    </row>
    <row r="207" spans="4:12" x14ac:dyDescent="0.25">
      <c r="D207" s="9"/>
      <c r="E207" s="9"/>
      <c r="F207" s="9"/>
      <c r="G207" s="9"/>
      <c r="H207" s="1"/>
      <c r="I207" s="5"/>
      <c r="J207" s="12"/>
      <c r="L207" s="10"/>
    </row>
    <row r="208" spans="4:12" x14ac:dyDescent="0.25">
      <c r="D208" s="9"/>
      <c r="E208" s="9"/>
      <c r="F208" s="9"/>
      <c r="G208" s="9"/>
      <c r="H208" s="1"/>
      <c r="I208" s="5"/>
      <c r="J208" s="12"/>
      <c r="L208" s="10"/>
    </row>
    <row r="209" spans="4:12" x14ac:dyDescent="0.25">
      <c r="D209" s="9"/>
      <c r="E209" s="9"/>
      <c r="F209" s="9"/>
      <c r="G209" s="9"/>
      <c r="H209" s="1"/>
      <c r="I209" s="5"/>
      <c r="J209" s="12"/>
      <c r="L209" s="10"/>
    </row>
    <row r="210" spans="4:12" x14ac:dyDescent="0.25">
      <c r="D210" s="9"/>
      <c r="E210" s="9"/>
      <c r="F210" s="9"/>
      <c r="G210" s="9"/>
      <c r="H210" s="1"/>
      <c r="I210" s="5"/>
      <c r="J210" s="12"/>
      <c r="L210" s="10"/>
    </row>
    <row r="211" spans="4:12" x14ac:dyDescent="0.25">
      <c r="D211" s="9"/>
      <c r="E211" s="9"/>
      <c r="F211" s="9"/>
      <c r="G211" s="9"/>
      <c r="H211" s="1"/>
      <c r="I211" s="5"/>
      <c r="J211" s="12"/>
      <c r="L211" s="10"/>
    </row>
    <row r="212" spans="4:12" x14ac:dyDescent="0.25">
      <c r="D212" s="9"/>
      <c r="E212" s="9"/>
      <c r="F212" s="9"/>
      <c r="G212" s="9"/>
      <c r="H212" s="1"/>
      <c r="I212" s="5"/>
      <c r="J212" s="12"/>
      <c r="L212" s="10"/>
    </row>
    <row r="213" spans="4:12" x14ac:dyDescent="0.25">
      <c r="D213" s="9"/>
      <c r="E213" s="9"/>
      <c r="F213" s="9"/>
      <c r="G213" s="9"/>
      <c r="H213" s="1"/>
      <c r="I213" s="5"/>
      <c r="J213" s="12"/>
      <c r="L213" s="10"/>
    </row>
    <row r="214" spans="4:12" x14ac:dyDescent="0.25">
      <c r="D214" s="9"/>
      <c r="E214" s="9"/>
      <c r="F214" s="9"/>
      <c r="G214" s="9"/>
      <c r="H214" s="1"/>
      <c r="I214" s="5"/>
      <c r="J214" s="12"/>
      <c r="L214" s="10"/>
    </row>
    <row r="215" spans="4:12" x14ac:dyDescent="0.25">
      <c r="D215" s="9"/>
      <c r="E215" s="9"/>
      <c r="F215" s="9"/>
      <c r="G215" s="9"/>
      <c r="H215" s="1"/>
      <c r="I215" s="5"/>
      <c r="J215" s="12"/>
      <c r="L215" s="10"/>
    </row>
    <row r="216" spans="4:12" x14ac:dyDescent="0.25">
      <c r="D216" s="9"/>
      <c r="E216" s="9"/>
      <c r="F216" s="9"/>
      <c r="G216" s="9"/>
      <c r="H216" s="1"/>
      <c r="I216" s="5"/>
      <c r="J216" s="12"/>
      <c r="L216" s="10"/>
    </row>
    <row r="217" spans="4:12" x14ac:dyDescent="0.25">
      <c r="D217" s="9"/>
      <c r="E217" s="9"/>
      <c r="F217" s="9"/>
      <c r="G217" s="9"/>
      <c r="H217" s="1"/>
      <c r="I217" s="5"/>
      <c r="J217" s="12"/>
      <c r="L217" s="10"/>
    </row>
    <row r="218" spans="4:12" x14ac:dyDescent="0.25">
      <c r="D218" s="9"/>
      <c r="E218" s="9"/>
      <c r="F218" s="9"/>
      <c r="G218" s="9"/>
      <c r="H218" s="1"/>
      <c r="I218" s="5"/>
      <c r="J218" s="12"/>
      <c r="L218" s="10"/>
    </row>
    <row r="219" spans="4:12" x14ac:dyDescent="0.25">
      <c r="D219" s="9"/>
      <c r="E219" s="9"/>
      <c r="F219" s="9"/>
      <c r="G219" s="9"/>
      <c r="H219" s="1"/>
      <c r="I219" s="5"/>
      <c r="J219" s="12"/>
      <c r="L219" s="10"/>
    </row>
    <row r="220" spans="4:12" x14ac:dyDescent="0.25">
      <c r="D220" s="9"/>
      <c r="E220" s="9"/>
      <c r="F220" s="9"/>
      <c r="G220" s="9"/>
      <c r="H220" s="1"/>
      <c r="I220" s="5"/>
      <c r="J220" s="12"/>
      <c r="L220" s="10"/>
    </row>
    <row r="221" spans="4:12" x14ac:dyDescent="0.25">
      <c r="D221" s="9"/>
      <c r="E221" s="9"/>
      <c r="F221" s="9"/>
      <c r="G221" s="9"/>
      <c r="H221" s="1"/>
      <c r="I221" s="5"/>
      <c r="J221" s="12"/>
      <c r="L221" s="10"/>
    </row>
    <row r="222" spans="4:12" x14ac:dyDescent="0.25">
      <c r="D222" s="9"/>
      <c r="E222" s="9"/>
      <c r="F222" s="9"/>
      <c r="G222" s="9"/>
      <c r="H222" s="1"/>
      <c r="I222" s="5"/>
      <c r="J222" s="12"/>
      <c r="L222" s="10"/>
    </row>
    <row r="223" spans="4:12" x14ac:dyDescent="0.25">
      <c r="D223" s="9"/>
      <c r="E223" s="9"/>
      <c r="F223" s="9"/>
      <c r="G223" s="9"/>
      <c r="H223" s="1"/>
      <c r="I223" s="5"/>
      <c r="J223" s="12"/>
      <c r="L223" s="10"/>
    </row>
    <row r="224" spans="4:12" x14ac:dyDescent="0.25">
      <c r="D224" s="9"/>
      <c r="E224" s="9"/>
      <c r="F224" s="9"/>
      <c r="G224" s="9"/>
      <c r="H224" s="1"/>
      <c r="I224" s="5"/>
      <c r="J224" s="12"/>
      <c r="L224" s="10"/>
    </row>
    <row r="225" spans="4:12" x14ac:dyDescent="0.25">
      <c r="D225" s="9"/>
      <c r="E225" s="9"/>
      <c r="F225" s="9"/>
      <c r="G225" s="9"/>
      <c r="H225" s="1"/>
      <c r="I225" s="5"/>
      <c r="J225" s="12"/>
      <c r="L225" s="10"/>
    </row>
    <row r="226" spans="4:12" x14ac:dyDescent="0.25">
      <c r="D226" s="9"/>
      <c r="E226" s="9"/>
      <c r="F226" s="9"/>
      <c r="G226" s="9"/>
      <c r="H226" s="1"/>
      <c r="I226" s="5"/>
      <c r="J226" s="12"/>
      <c r="L226" s="10"/>
    </row>
    <row r="227" spans="4:12" x14ac:dyDescent="0.25">
      <c r="D227" s="9"/>
      <c r="E227" s="9"/>
      <c r="F227" s="9"/>
      <c r="G227" s="9"/>
      <c r="H227" s="1"/>
      <c r="I227" s="5"/>
      <c r="J227" s="12"/>
      <c r="L227" s="10"/>
    </row>
    <row r="228" spans="4:12" x14ac:dyDescent="0.25">
      <c r="D228" s="9"/>
      <c r="E228" s="9"/>
      <c r="F228" s="9"/>
      <c r="G228" s="9"/>
      <c r="H228" s="1"/>
      <c r="I228" s="5"/>
      <c r="J228" s="12"/>
      <c r="L228" s="10"/>
    </row>
    <row r="229" spans="4:12" x14ac:dyDescent="0.25">
      <c r="D229" s="9"/>
      <c r="E229" s="9"/>
      <c r="F229" s="9"/>
      <c r="G229" s="9"/>
      <c r="H229" s="1"/>
      <c r="I229" s="5"/>
      <c r="J229" s="12"/>
      <c r="L229" s="10"/>
    </row>
    <row r="230" spans="4:12" x14ac:dyDescent="0.25">
      <c r="D230" s="9"/>
      <c r="E230" s="9"/>
      <c r="F230" s="9"/>
      <c r="G230" s="9"/>
      <c r="H230" s="1"/>
      <c r="I230" s="5"/>
      <c r="J230" s="12"/>
      <c r="L230" s="10"/>
    </row>
    <row r="231" spans="4:12" x14ac:dyDescent="0.25">
      <c r="D231" s="9"/>
      <c r="E231" s="9"/>
      <c r="F231" s="9"/>
      <c r="G231" s="9"/>
      <c r="H231" s="1"/>
      <c r="I231" s="5"/>
      <c r="J231" s="12"/>
      <c r="L231" s="10"/>
    </row>
    <row r="232" spans="4:12" x14ac:dyDescent="0.25">
      <c r="D232" s="9"/>
      <c r="E232" s="9"/>
      <c r="F232" s="9"/>
      <c r="G232" s="9"/>
      <c r="H232" s="1"/>
      <c r="I232" s="5"/>
      <c r="J232" s="12"/>
      <c r="L232" s="10"/>
    </row>
    <row r="233" spans="4:12" x14ac:dyDescent="0.25">
      <c r="D233" s="9"/>
      <c r="E233" s="9"/>
      <c r="F233" s="9"/>
      <c r="G233" s="9"/>
      <c r="H233" s="1"/>
      <c r="I233" s="5"/>
      <c r="J233" s="12"/>
      <c r="L233" s="10"/>
    </row>
    <row r="234" spans="4:12" x14ac:dyDescent="0.25">
      <c r="D234" s="9"/>
      <c r="E234" s="9"/>
      <c r="F234" s="9"/>
      <c r="G234" s="9"/>
      <c r="H234" s="1"/>
      <c r="I234" s="5"/>
      <c r="J234" s="12"/>
      <c r="L234" s="10"/>
    </row>
    <row r="235" spans="4:12" x14ac:dyDescent="0.25">
      <c r="D235" s="9"/>
      <c r="E235" s="9"/>
      <c r="F235" s="9"/>
      <c r="G235" s="9"/>
      <c r="H235" s="1"/>
      <c r="I235" s="5"/>
      <c r="J235" s="12"/>
      <c r="L235" s="10"/>
    </row>
    <row r="236" spans="4:12" x14ac:dyDescent="0.25">
      <c r="D236" s="9"/>
      <c r="E236" s="9"/>
      <c r="F236" s="9"/>
      <c r="G236" s="9"/>
      <c r="H236" s="1"/>
      <c r="I236" s="5"/>
      <c r="J236" s="12"/>
      <c r="L236" s="10"/>
    </row>
    <row r="237" spans="4:12" x14ac:dyDescent="0.25">
      <c r="D237" s="9"/>
      <c r="E237" s="9"/>
      <c r="F237" s="9"/>
      <c r="G237" s="9"/>
      <c r="H237" s="1"/>
      <c r="I237" s="5"/>
      <c r="J237" s="12"/>
      <c r="L237" s="10"/>
    </row>
    <row r="238" spans="4:12" x14ac:dyDescent="0.25">
      <c r="D238" s="9"/>
      <c r="E238" s="9"/>
      <c r="F238" s="9"/>
      <c r="G238" s="9"/>
      <c r="H238" s="1"/>
      <c r="I238" s="5"/>
      <c r="J238" s="12"/>
      <c r="L238" s="10"/>
    </row>
    <row r="239" spans="4:12" x14ac:dyDescent="0.25">
      <c r="D239" s="9"/>
      <c r="E239" s="9"/>
      <c r="F239" s="9"/>
      <c r="G239" s="9"/>
      <c r="H239" s="1"/>
      <c r="I239" s="5"/>
      <c r="J239" s="12"/>
      <c r="L239" s="10"/>
    </row>
    <row r="240" spans="4:12" x14ac:dyDescent="0.25">
      <c r="D240" s="9"/>
      <c r="E240" s="9"/>
      <c r="F240" s="9"/>
      <c r="G240" s="9"/>
      <c r="H240" s="1"/>
      <c r="I240" s="5"/>
      <c r="J240" s="12"/>
      <c r="L240" s="10"/>
    </row>
    <row r="241" spans="4:12" x14ac:dyDescent="0.25">
      <c r="D241" s="9"/>
      <c r="E241" s="9"/>
      <c r="F241" s="9"/>
      <c r="G241" s="9"/>
      <c r="H241" s="1"/>
      <c r="I241" s="5"/>
      <c r="J241" s="12"/>
      <c r="L241" s="10"/>
    </row>
    <row r="242" spans="4:12" x14ac:dyDescent="0.25">
      <c r="D242" s="9"/>
      <c r="E242" s="9"/>
      <c r="F242" s="9"/>
      <c r="G242" s="9"/>
      <c r="H242" s="1"/>
      <c r="I242" s="5"/>
      <c r="J242" s="12"/>
      <c r="L242" s="10"/>
    </row>
    <row r="243" spans="4:12" x14ac:dyDescent="0.25">
      <c r="D243" s="9"/>
      <c r="E243" s="9"/>
      <c r="F243" s="9"/>
      <c r="G243" s="9"/>
      <c r="H243" s="1"/>
      <c r="I243" s="5"/>
      <c r="J243" s="12"/>
      <c r="L243" s="10"/>
    </row>
    <row r="244" spans="4:12" x14ac:dyDescent="0.25">
      <c r="D244" s="9"/>
      <c r="E244" s="9"/>
      <c r="F244" s="9"/>
      <c r="G244" s="9"/>
      <c r="H244" s="1"/>
      <c r="I244" s="5"/>
      <c r="J244" s="12"/>
      <c r="L244" s="10"/>
    </row>
    <row r="245" spans="4:12" x14ac:dyDescent="0.25">
      <c r="D245" s="9"/>
      <c r="E245" s="9"/>
      <c r="F245" s="9"/>
      <c r="G245" s="9"/>
      <c r="H245" s="1"/>
      <c r="I245" s="5"/>
      <c r="J245" s="12"/>
      <c r="L245" s="10"/>
    </row>
    <row r="246" spans="4:12" x14ac:dyDescent="0.25">
      <c r="D246" s="9"/>
      <c r="E246" s="9"/>
      <c r="F246" s="9"/>
      <c r="G246" s="9"/>
      <c r="H246" s="1"/>
      <c r="I246" s="5"/>
      <c r="J246" s="12"/>
      <c r="L246" s="10"/>
    </row>
    <row r="247" spans="4:12" x14ac:dyDescent="0.25">
      <c r="D247" s="9"/>
      <c r="E247" s="9"/>
      <c r="F247" s="9"/>
      <c r="G247" s="9"/>
      <c r="H247" s="1"/>
      <c r="I247" s="5"/>
      <c r="J247" s="12"/>
      <c r="L247" s="10"/>
    </row>
    <row r="248" spans="4:12" x14ac:dyDescent="0.25">
      <c r="D248" s="9"/>
      <c r="E248" s="9"/>
      <c r="F248" s="9"/>
      <c r="G248" s="9"/>
      <c r="H248" s="1"/>
      <c r="I248" s="5"/>
      <c r="J248" s="12"/>
      <c r="L248" s="10"/>
    </row>
    <row r="249" spans="4:12" x14ac:dyDescent="0.25">
      <c r="D249" s="9"/>
      <c r="E249" s="9"/>
      <c r="F249" s="9"/>
      <c r="G249" s="9"/>
      <c r="H249" s="1"/>
      <c r="I249" s="5"/>
      <c r="J249" s="12"/>
      <c r="L249" s="10"/>
    </row>
    <row r="250" spans="4:12" x14ac:dyDescent="0.25">
      <c r="D250" s="9"/>
      <c r="E250" s="9"/>
      <c r="F250" s="9"/>
      <c r="G250" s="9"/>
      <c r="H250" s="1"/>
      <c r="I250" s="5"/>
      <c r="J250" s="12"/>
      <c r="L250" s="10"/>
    </row>
    <row r="251" spans="4:12" x14ac:dyDescent="0.25">
      <c r="D251" s="9"/>
      <c r="E251" s="9"/>
      <c r="F251" s="9"/>
      <c r="G251" s="9"/>
      <c r="H251" s="1"/>
      <c r="I251" s="5"/>
      <c r="J251" s="12"/>
      <c r="L251" s="10"/>
    </row>
    <row r="252" spans="4:12" x14ac:dyDescent="0.25">
      <c r="D252" s="9"/>
      <c r="E252" s="9"/>
      <c r="F252" s="9"/>
      <c r="G252" s="9"/>
      <c r="H252" s="1"/>
      <c r="I252" s="5"/>
      <c r="J252" s="12"/>
      <c r="L252" s="10"/>
    </row>
    <row r="253" spans="4:12" x14ac:dyDescent="0.25">
      <c r="D253" s="9"/>
      <c r="E253" s="9"/>
      <c r="F253" s="9"/>
      <c r="G253" s="9"/>
      <c r="H253" s="1"/>
      <c r="I253" s="5"/>
      <c r="J253" s="12"/>
      <c r="L253" s="10"/>
    </row>
    <row r="254" spans="4:12" x14ac:dyDescent="0.25">
      <c r="D254" s="9"/>
      <c r="E254" s="9"/>
      <c r="F254" s="9"/>
      <c r="G254" s="9"/>
      <c r="H254" s="1"/>
      <c r="I254" s="5"/>
      <c r="J254" s="12"/>
      <c r="L254" s="10"/>
    </row>
    <row r="255" spans="4:12" x14ac:dyDescent="0.25">
      <c r="D255" s="9"/>
      <c r="E255" s="9"/>
      <c r="F255" s="9"/>
      <c r="G255" s="9"/>
      <c r="H255" s="1"/>
      <c r="I255" s="5"/>
      <c r="J255" s="12"/>
      <c r="L255" s="10"/>
    </row>
    <row r="256" spans="4:12" x14ac:dyDescent="0.25">
      <c r="D256" s="9"/>
      <c r="E256" s="9"/>
      <c r="F256" s="9"/>
      <c r="G256" s="9"/>
      <c r="H256" s="1"/>
      <c r="I256" s="5"/>
      <c r="J256" s="12"/>
      <c r="L256" s="10"/>
    </row>
    <row r="257" spans="4:10" x14ac:dyDescent="0.25">
      <c r="D257" s="9"/>
      <c r="E257" s="9"/>
      <c r="F257" s="9"/>
      <c r="G257" s="9"/>
      <c r="H257" s="1"/>
      <c r="I257" s="5"/>
      <c r="J257" s="12"/>
    </row>
    <row r="258" spans="4:10" x14ac:dyDescent="0.25">
      <c r="D258" s="9"/>
      <c r="E258" s="9"/>
      <c r="F258" s="9"/>
      <c r="G258" s="9"/>
      <c r="H258" s="1"/>
      <c r="I258" s="5"/>
      <c r="J258" s="12"/>
    </row>
    <row r="259" spans="4:10" x14ac:dyDescent="0.25">
      <c r="D259" s="9"/>
      <c r="E259" s="9"/>
      <c r="F259" s="9"/>
      <c r="G259" s="9"/>
      <c r="H259" s="1"/>
      <c r="I259" s="5"/>
      <c r="J259" s="12"/>
    </row>
    <row r="260" spans="4:10" x14ac:dyDescent="0.25">
      <c r="D260" s="9"/>
      <c r="E260" s="9"/>
      <c r="F260" s="9"/>
      <c r="G260" s="9"/>
      <c r="H260" s="1"/>
      <c r="I260" s="5"/>
      <c r="J260" s="12"/>
    </row>
    <row r="261" spans="4:10" x14ac:dyDescent="0.25">
      <c r="D261" s="9"/>
      <c r="E261" s="9"/>
      <c r="F261" s="9"/>
      <c r="G261" s="9"/>
      <c r="H261" s="1"/>
      <c r="I261" s="5"/>
      <c r="J261" s="12"/>
    </row>
    <row r="262" spans="4:10" x14ac:dyDescent="0.25">
      <c r="D262" s="9"/>
      <c r="E262" s="9"/>
      <c r="F262" s="9"/>
      <c r="G262" s="9"/>
      <c r="H262" s="1"/>
      <c r="I262" s="5"/>
      <c r="J262" s="12"/>
    </row>
    <row r="263" spans="4:10" x14ac:dyDescent="0.25">
      <c r="D263" s="9"/>
      <c r="E263" s="9"/>
      <c r="F263" s="9"/>
      <c r="G263" s="9"/>
      <c r="H263" s="1"/>
      <c r="I263" s="5"/>
      <c r="J263" s="12"/>
    </row>
    <row r="264" spans="4:10" x14ac:dyDescent="0.25">
      <c r="D264" s="9"/>
      <c r="E264" s="9"/>
      <c r="F264" s="9"/>
      <c r="G264" s="9"/>
      <c r="H264" s="1"/>
      <c r="I264" s="5"/>
      <c r="J264" s="12"/>
    </row>
    <row r="265" spans="4:10" x14ac:dyDescent="0.25">
      <c r="D265" s="9"/>
      <c r="E265" s="9"/>
      <c r="F265" s="9"/>
      <c r="G265" s="9"/>
      <c r="H265" s="1"/>
      <c r="I265" s="5"/>
      <c r="J265" s="12"/>
    </row>
    <row r="266" spans="4:10" x14ac:dyDescent="0.25">
      <c r="D266" s="9"/>
      <c r="E266" s="9"/>
      <c r="F266" s="9"/>
      <c r="G266" s="9"/>
      <c r="H266" s="1"/>
      <c r="I266" s="5"/>
      <c r="J266" s="12"/>
    </row>
  </sheetData>
  <mergeCells count="12">
    <mergeCell ref="D124:J124"/>
    <mergeCell ref="D37:J37"/>
    <mergeCell ref="D10:J10"/>
    <mergeCell ref="D89:J89"/>
    <mergeCell ref="D117:J117"/>
    <mergeCell ref="D45:J45"/>
    <mergeCell ref="D96:J96"/>
    <mergeCell ref="D65:J65"/>
    <mergeCell ref="D53:J53"/>
    <mergeCell ref="D33:J33"/>
    <mergeCell ref="D50:J50"/>
    <mergeCell ref="D67:J67"/>
  </mergeCells>
  <pageMargins left="0.7" right="0.7" top="0.75" bottom="0.75" header="0.3" footer="0.3"/>
  <pageSetup paperSize="9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2023-08-09T07:53:44Z</cp:lastPrinted>
  <dcterms:created xsi:type="dcterms:W3CDTF">2017-12-06T12:35:14Z</dcterms:created>
  <dcterms:modified xsi:type="dcterms:W3CDTF">2026-03-13T13:09:25Z</dcterms:modified>
</cp:coreProperties>
</file>