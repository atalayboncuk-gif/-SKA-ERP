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İHRACAT\SİPARİŞLER\2026\"/>
    </mc:Choice>
  </mc:AlternateContent>
  <xr:revisionPtr revIDLastSave="0" documentId="13_ncr:1_{ED7825DA-E15E-4F88-8035-5DEF308CBD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4" i="1" l="1"/>
  <c r="K115" i="1"/>
  <c r="K112" i="1"/>
  <c r="K113" i="1"/>
  <c r="K104" i="1" l="1"/>
  <c r="K77" i="1" l="1"/>
  <c r="K78" i="1"/>
  <c r="K79" i="1"/>
  <c r="K80" i="1"/>
  <c r="K81" i="1"/>
  <c r="I85" i="1"/>
  <c r="K111" i="1"/>
  <c r="K102" i="1"/>
  <c r="K103" i="1"/>
  <c r="K100" i="1"/>
  <c r="I101" i="1"/>
  <c r="K101" i="1" s="1"/>
  <c r="K99" i="1"/>
  <c r="K93" i="1"/>
  <c r="K94" i="1"/>
  <c r="K95" i="1"/>
  <c r="K96" i="1"/>
  <c r="K97" i="1"/>
  <c r="K98" i="1"/>
  <c r="K109" i="1"/>
  <c r="K110" i="1"/>
  <c r="K75" i="1"/>
  <c r="K76" i="1"/>
  <c r="K58" i="1"/>
  <c r="K59" i="1"/>
  <c r="K74" i="1"/>
  <c r="K91" i="1" l="1"/>
  <c r="K92" i="1"/>
  <c r="K88" i="1" l="1"/>
  <c r="K89" i="1"/>
  <c r="K90" i="1"/>
  <c r="K86" i="1" l="1"/>
  <c r="K87" i="1"/>
  <c r="K84" i="1" l="1"/>
  <c r="K85" i="1"/>
  <c r="K107" i="1"/>
  <c r="K108" i="1"/>
  <c r="K137" i="1" l="1"/>
  <c r="K73" i="1" l="1"/>
  <c r="K72" i="1" l="1"/>
  <c r="K106" i="1" l="1"/>
  <c r="K69" i="1" l="1"/>
  <c r="K70" i="1"/>
  <c r="K71" i="1"/>
  <c r="I83" i="1" l="1"/>
  <c r="K83" i="1" s="1"/>
  <c r="K56" i="1" l="1"/>
  <c r="K68" i="1"/>
  <c r="K67" i="1" l="1"/>
  <c r="K54" i="1" l="1"/>
  <c r="K55" i="1"/>
  <c r="K52" i="1" l="1"/>
  <c r="K53" i="1"/>
  <c r="K65" i="1" l="1"/>
  <c r="K66" i="1"/>
  <c r="K50" i="1" l="1"/>
  <c r="K51" i="1"/>
  <c r="K82" i="1" l="1"/>
  <c r="K49" i="1" l="1"/>
  <c r="K64" i="1" l="1"/>
  <c r="K48" i="1" l="1"/>
  <c r="K47" i="1"/>
  <c r="K133" i="1" l="1"/>
  <c r="K134" i="1"/>
  <c r="K135" i="1"/>
  <c r="K136" i="1"/>
  <c r="K117" i="1"/>
  <c r="K118" i="1"/>
  <c r="K125" i="1"/>
  <c r="K126" i="1"/>
  <c r="K127" i="1"/>
  <c r="K30" i="1" l="1"/>
  <c r="K45" i="1" l="1"/>
  <c r="K46" i="1"/>
  <c r="K63" i="1" l="1"/>
  <c r="K62" i="1" l="1"/>
  <c r="K44" i="1" l="1"/>
  <c r="I132" i="1" l="1"/>
  <c r="K132" i="1" s="1"/>
  <c r="I124" i="1"/>
  <c r="K124" i="1" s="1"/>
  <c r="K28" i="1" l="1"/>
  <c r="K29" i="1"/>
  <c r="K43" i="1"/>
  <c r="K42" i="1" l="1"/>
  <c r="K41" i="1" l="1"/>
  <c r="K27" i="1" l="1"/>
  <c r="K26" i="1" l="1"/>
  <c r="K25" i="1" l="1"/>
  <c r="K40" i="1" l="1"/>
  <c r="K39" i="1" l="1"/>
  <c r="K38" i="1" l="1"/>
  <c r="K37" i="1" l="1"/>
  <c r="K35" i="1" l="1"/>
  <c r="K36" i="1"/>
  <c r="K34" i="1" l="1"/>
  <c r="K24" i="1" l="1"/>
  <c r="K61" i="1" l="1"/>
  <c r="K23" i="1" l="1"/>
  <c r="K21" i="1" l="1"/>
  <c r="K22" i="1"/>
  <c r="K18" i="1" l="1"/>
  <c r="K19" i="1"/>
  <c r="K20" i="1"/>
  <c r="K33" i="1" l="1"/>
  <c r="K17" i="1" l="1"/>
  <c r="K16" i="1" l="1"/>
  <c r="K11" i="1" l="1"/>
  <c r="K12" i="1" l="1"/>
  <c r="K13" i="1"/>
  <c r="K14" i="1"/>
  <c r="K15" i="1"/>
  <c r="K32" i="1"/>
</calcChain>
</file>

<file path=xl/sharedStrings.xml><?xml version="1.0" encoding="utf-8"?>
<sst xmlns="http://schemas.openxmlformats.org/spreadsheetml/2006/main" count="717" uniqueCount="406">
  <si>
    <t>NETSIS</t>
  </si>
  <si>
    <t xml:space="preserve">Sevkiyat Tarihi </t>
  </si>
  <si>
    <t xml:space="preserve">Müşteri Adı </t>
  </si>
  <si>
    <t>Müşteri Sipariş Kodu</t>
  </si>
  <si>
    <t xml:space="preserve">Müşteri Kodu </t>
  </si>
  <si>
    <t xml:space="preserve">İSKA KODU </t>
  </si>
  <si>
    <t xml:space="preserve">ÜRÜN AÇILIMI </t>
  </si>
  <si>
    <t>ADET</t>
  </si>
  <si>
    <t>NOTLAR</t>
  </si>
  <si>
    <t>JAGER</t>
  </si>
  <si>
    <t>TESLİMAT ADRESİ:</t>
  </si>
  <si>
    <t>Jäger Gummi und Kunststoff GmbH Standort Hannover Hägenstr. 3a 30559 Hannover</t>
  </si>
  <si>
    <t>FİYAT</t>
  </si>
  <si>
    <t>Adetlerde %10 asla geçilmeyecek!</t>
  </si>
  <si>
    <t>TEMMUZ 2023 e kadar 3.500 € navlun ile</t>
  </si>
  <si>
    <t>Tedarikçi numaramız: 101485</t>
  </si>
  <si>
    <t>A-NR-45-WH-20x25-M6x10-M6x35</t>
  </si>
  <si>
    <t>T3782</t>
  </si>
  <si>
    <t>T3802</t>
  </si>
  <si>
    <t>Sevkiyat 3.500 € altında kalıyor ise 5 gün önceden haber verilecek (24.01.2023)</t>
  </si>
  <si>
    <t>D-NR-85-WH-20*13,5-M6*15</t>
  </si>
  <si>
    <t>D-NR-55-WH-20*15-M6*16</t>
  </si>
  <si>
    <t>T3881</t>
  </si>
  <si>
    <t>T3801 </t>
  </si>
  <si>
    <t>E-NR-57-WH-25*28-M6*6</t>
  </si>
  <si>
    <t>Emniyet Stoğu</t>
  </si>
  <si>
    <t>Hazır Olma Tarihi</t>
  </si>
  <si>
    <r>
      <t xml:space="preserve">                                                                                                                   </t>
    </r>
    <r>
      <rPr>
        <b/>
        <sz val="12"/>
        <color theme="1"/>
        <rFont val="Bookman Old Style"/>
        <family val="1"/>
        <charset val="162"/>
      </rPr>
      <t xml:space="preserve">  ÜRETİLECEK EMNİYET STOKLARI</t>
    </r>
  </si>
  <si>
    <r>
      <t xml:space="preserve">                                                                                                  </t>
    </r>
    <r>
      <rPr>
        <b/>
        <sz val="12"/>
        <color theme="1"/>
        <rFont val="Bookman Old Style"/>
        <family val="1"/>
        <charset val="162"/>
      </rPr>
      <t xml:space="preserve">  ANA SİPARİŞ (SATIŞ YAPILDIKÇA DÜŞÜŞ YAPILACAK) 2024</t>
    </r>
  </si>
  <si>
    <t>B-NR-60-WH-50*20-M10*20-M10*10</t>
  </si>
  <si>
    <t>T4296</t>
  </si>
  <si>
    <t>C-NR-45-WH-20*20-M6*6-M6*6-CLOSED</t>
  </si>
  <si>
    <t>T4308</t>
  </si>
  <si>
    <t>T3762</t>
  </si>
  <si>
    <t>B-NR-40-WH-25x15-M6x15-M6x6</t>
  </si>
  <si>
    <t>Ana Anlaşma NO</t>
  </si>
  <si>
    <t>T3904</t>
  </si>
  <si>
    <t>DIN ISO 3302-1 M3</t>
  </si>
  <si>
    <t>D-NR-57-WH-70*25-M12*25</t>
  </si>
  <si>
    <r>
      <rPr>
        <b/>
        <sz val="11"/>
        <color theme="1"/>
        <rFont val="Calibri"/>
        <family val="2"/>
        <charset val="162"/>
        <scheme val="minor"/>
      </rPr>
      <t>Tam adedinde ürün sevkedilecektir</t>
    </r>
    <r>
      <rPr>
        <sz val="11"/>
        <color theme="1"/>
        <rFont val="Calibri"/>
        <family val="2"/>
        <charset val="162"/>
        <scheme val="minor"/>
      </rPr>
      <t>. // DIN ISO 3302-1 Kl M3 C</t>
    </r>
  </si>
  <si>
    <t>T3967</t>
  </si>
  <si>
    <t>A-NR-68-WH-50*30-M10*18</t>
  </si>
  <si>
    <t>T3450</t>
  </si>
  <si>
    <t>A-NR-70-WH-40*30-M8*23-M8*23</t>
  </si>
  <si>
    <t>T3805</t>
  </si>
  <si>
    <t>D-NR-68-WH-18*7,5-M6*16</t>
  </si>
  <si>
    <t>DIN ISO 3302-1 M 3</t>
  </si>
  <si>
    <t>T3701</t>
  </si>
  <si>
    <t>D-NR-57-WH-25x8-M6x18</t>
  </si>
  <si>
    <t>T3695</t>
  </si>
  <si>
    <t>E-NR-57-WH-20x13,5-M6x6</t>
  </si>
  <si>
    <t>IHR-0918</t>
  </si>
  <si>
    <t>IHR-0917</t>
  </si>
  <si>
    <t xml:space="preserve">                                                                                                            ANA ANLAŞMA KAPSAMINDA BİTMİŞ SİPARİŞLER</t>
  </si>
  <si>
    <t>T3708</t>
  </si>
  <si>
    <t>A-NR-57-WH-30*15-M8*20-M8*20</t>
  </si>
  <si>
    <t>T3836</t>
  </si>
  <si>
    <t>DP-NR-57-WH-75x89-M12x37</t>
  </si>
  <si>
    <r>
      <rPr>
        <b/>
        <sz val="11"/>
        <color theme="1"/>
        <rFont val="Calibri"/>
        <family val="2"/>
        <charset val="162"/>
        <scheme val="minor"/>
      </rPr>
      <t>50 Adetlik paketler halinde</t>
    </r>
    <r>
      <rPr>
        <sz val="11"/>
        <color theme="1"/>
        <rFont val="Calibri"/>
        <family val="2"/>
        <charset val="162"/>
        <scheme val="minor"/>
      </rPr>
      <t xml:space="preserve"> / DIN ISO 3302-1 M3</t>
    </r>
  </si>
  <si>
    <t>T3966</t>
  </si>
  <si>
    <t>D-NR-68-WH-30*28-M8*20</t>
  </si>
  <si>
    <t>IHR-0982</t>
  </si>
  <si>
    <t>KD-NR-57-WH-75*45-M12*13</t>
  </si>
  <si>
    <t>T4429</t>
  </si>
  <si>
    <t>T4142</t>
  </si>
  <si>
    <t>C-NR-70-WH-75*50-M12*12</t>
  </si>
  <si>
    <t>--</t>
  </si>
  <si>
    <t>T3721</t>
  </si>
  <si>
    <t>D-NR-57-WH-18*7,5-M6*16</t>
  </si>
  <si>
    <t>AT-NR/SBR-65-WH-60*35*420-M12*30-M12*30</t>
  </si>
  <si>
    <t>T4582</t>
  </si>
  <si>
    <t xml:space="preserve">A-NR-45-WH-30*15-M8*20-M8*20 </t>
  </si>
  <si>
    <t>T4583</t>
  </si>
  <si>
    <t xml:space="preserve">SÜRECİ DEVAM EDEN KALIPLAR </t>
  </si>
  <si>
    <t>06.01.2026 SEVKİYATI</t>
  </si>
  <si>
    <t>GELİŞ TARİHİ</t>
  </si>
  <si>
    <t>BİTİŞ TARİHİ</t>
  </si>
  <si>
    <r>
      <rPr>
        <b/>
        <sz val="11"/>
        <color theme="1"/>
        <rFont val="Calibri"/>
        <family val="2"/>
        <charset val="162"/>
        <scheme val="minor"/>
      </rPr>
      <t>Tam adedinde ürün sevkedilecektir.</t>
    </r>
    <r>
      <rPr>
        <sz val="11"/>
        <color theme="1"/>
        <rFont val="Calibri"/>
        <family val="2"/>
        <charset val="162"/>
        <scheme val="minor"/>
      </rPr>
      <t xml:space="preserve"> // DIN ISO 3302-1 Kl M3 C</t>
    </r>
  </si>
  <si>
    <t>T3803</t>
  </si>
  <si>
    <t>KD-NR-55-WH-50*17-M10*28</t>
  </si>
  <si>
    <t>T3774</t>
  </si>
  <si>
    <t>A-NR-57-WH-18*8,5-M6*16-M6*16</t>
  </si>
  <si>
    <t xml:space="preserve">Galvanizli çelik/ROHS uyumlu/ DIN ISO 3302-1 M3 </t>
  </si>
  <si>
    <t>400100512780-1</t>
  </si>
  <si>
    <t xml:space="preserve">Mold for Dumping element Ø 64 x 24 mm high, NBR 60 </t>
  </si>
  <si>
    <t xml:space="preserve">Dumping element Ø 64 x 24 mm high, NBR 60 </t>
  </si>
  <si>
    <t>400100513206-1</t>
  </si>
  <si>
    <t>IHR-0593</t>
  </si>
  <si>
    <t>400100513984-1</t>
  </si>
  <si>
    <t>IHR-0670</t>
  </si>
  <si>
    <t>A-NR-43-WH-40*30-M8*23-M8*23</t>
  </si>
  <si>
    <t>T4933</t>
  </si>
  <si>
    <t xml:space="preserve">C-NR-68-WH-8*8-M3-M3-OPEN </t>
  </si>
  <si>
    <t>T4938</t>
  </si>
  <si>
    <t>400100514679-1</t>
  </si>
  <si>
    <t>400100514822-1</t>
  </si>
  <si>
    <t>C-NR-40-WH-50*45-M10*8,8-M10*8,8</t>
  </si>
  <si>
    <t>IHR-0757</t>
  </si>
  <si>
    <t>400100514970-1</t>
  </si>
  <si>
    <r>
      <rPr>
        <b/>
        <sz val="11"/>
        <color theme="1"/>
        <rFont val="Calibri"/>
        <family val="2"/>
        <charset val="162"/>
        <scheme val="minor"/>
      </rPr>
      <t>410100001470 nolu ana anlaşmanın 1. lotudur.</t>
    </r>
    <r>
      <rPr>
        <sz val="11"/>
        <color theme="1"/>
        <rFont val="Calibri"/>
        <family val="2"/>
        <charset val="162"/>
        <scheme val="minor"/>
      </rPr>
      <t xml:space="preserve"> / DIN ISO 3302-1 M3</t>
    </r>
  </si>
  <si>
    <t>T4955</t>
  </si>
  <si>
    <t>IHR-0774</t>
  </si>
  <si>
    <t>IHR-0777</t>
  </si>
  <si>
    <t>DIN ISO 3302-1 M3 / Sipariş miktarı 3200 adettir. 1600 tanesi 04.12'de gidecek</t>
  </si>
  <si>
    <t>R 2076</t>
  </si>
  <si>
    <t>400100515477-1</t>
  </si>
  <si>
    <r>
      <rPr>
        <b/>
        <sz val="11"/>
        <color theme="1"/>
        <rFont val="Calibri"/>
        <family val="2"/>
        <charset val="162"/>
        <scheme val="minor"/>
      </rPr>
      <t xml:space="preserve">PE torbada paketlenmiş 80 Adet / Tam adedinde ürün sevkedilecektir </t>
    </r>
    <r>
      <rPr>
        <sz val="11"/>
        <color theme="1"/>
        <rFont val="Calibri"/>
        <family val="2"/>
        <charset val="162"/>
        <scheme val="minor"/>
      </rPr>
      <t xml:space="preserve">/ DIN ISO 3302-1 Kl. M3 C              </t>
    </r>
  </si>
  <si>
    <t>IHR-0839</t>
  </si>
  <si>
    <t>400100515811-1</t>
  </si>
  <si>
    <t>Mold for NBR overflow seal Ø 483.5 mm NBR 45 ± 5 Shore</t>
  </si>
  <si>
    <t>NBR overflow seal Ø 483.5 mm NBR 45 ± 5 Shore</t>
  </si>
  <si>
    <t>2 adet numune gidecek teyit için. Birim fiyat 2,5822 €</t>
  </si>
  <si>
    <t>R 2088</t>
  </si>
  <si>
    <t>400100516207-1</t>
  </si>
  <si>
    <t>IHR-0889</t>
  </si>
  <si>
    <t>400100516394-1</t>
  </si>
  <si>
    <t>400100516397-1</t>
  </si>
  <si>
    <r>
      <rPr>
        <b/>
        <sz val="11"/>
        <color theme="1"/>
        <rFont val="Calibri"/>
        <family val="2"/>
        <charset val="162"/>
        <scheme val="minor"/>
      </rPr>
      <t>Tam adedinde üretilecek / 100 Adetlik Paketler Halinde</t>
    </r>
    <r>
      <rPr>
        <sz val="11"/>
        <color theme="1"/>
        <rFont val="Calibri"/>
        <family val="2"/>
        <charset val="162"/>
        <scheme val="minor"/>
      </rPr>
      <t xml:space="preserve"> / DIN ISO 3302-1 M3</t>
    </r>
  </si>
  <si>
    <t>400100516449-1</t>
  </si>
  <si>
    <t>400100516448-1</t>
  </si>
  <si>
    <t>IHR-0915</t>
  </si>
  <si>
    <t>400100516539-1</t>
  </si>
  <si>
    <t>IHR-0916</t>
  </si>
  <si>
    <t>IHR-0919</t>
  </si>
  <si>
    <t>400100516688-1</t>
  </si>
  <si>
    <r>
      <rPr>
        <b/>
        <sz val="11"/>
        <rFont val="Calibri"/>
        <family val="2"/>
        <charset val="162"/>
        <scheme val="minor"/>
      </rPr>
      <t xml:space="preserve">200 adetlik paketler halinde, 1 koli içinde 3 paket (600 adet bir koli içinde) </t>
    </r>
    <r>
      <rPr>
        <sz val="11"/>
        <rFont val="Calibri"/>
        <family val="2"/>
        <charset val="162"/>
        <scheme val="minor"/>
      </rPr>
      <t xml:space="preserve">/ </t>
    </r>
    <r>
      <rPr>
        <b/>
        <sz val="11"/>
        <rFont val="Calibri"/>
        <family val="2"/>
        <charset val="162"/>
        <scheme val="minor"/>
      </rPr>
      <t>410100001174 nolu ana siparişin 2. lotu</t>
    </r>
    <r>
      <rPr>
        <sz val="11"/>
        <rFont val="Calibri"/>
        <family val="2"/>
        <charset val="162"/>
        <scheme val="minor"/>
      </rPr>
      <t xml:space="preserve"> / DIN ISO 3302-1 M3</t>
    </r>
  </si>
  <si>
    <t>IHR-0937</t>
  </si>
  <si>
    <t>03.03.2026 SEVKİYATI</t>
  </si>
  <si>
    <t>03.02.2026 SEVKİYATI</t>
  </si>
  <si>
    <t>400100516833-1</t>
  </si>
  <si>
    <t>IHR-0948</t>
  </si>
  <si>
    <t>D-NR-55-WH-40*30-M8*50</t>
  </si>
  <si>
    <t>400100517074-1</t>
  </si>
  <si>
    <t>DIN ISO 3302-1 M 3 / Tekliften döndü (Our Inquiry Q023280)</t>
  </si>
  <si>
    <t>400100517161-1</t>
  </si>
  <si>
    <r>
      <rPr>
        <b/>
        <sz val="11"/>
        <rFont val="Calibri"/>
        <family val="2"/>
        <charset val="162"/>
        <scheme val="minor"/>
      </rPr>
      <t xml:space="preserve">Karton kutu başına 200 Adet / Tam adedinde üretilecek </t>
    </r>
    <r>
      <rPr>
        <sz val="11"/>
        <rFont val="Calibri"/>
        <family val="2"/>
        <charset val="162"/>
        <scheme val="minor"/>
      </rPr>
      <t>/ DIN ISO 3302-1 M3 // M10x18 +/- 1.00 mm her iki taraftan</t>
    </r>
  </si>
  <si>
    <t>400100517162-1</t>
  </si>
  <si>
    <r>
      <rPr>
        <b/>
        <sz val="11"/>
        <color theme="1"/>
        <rFont val="Calibri"/>
        <family val="2"/>
        <charset val="162"/>
        <scheme val="minor"/>
      </rPr>
      <t>410100001470 nolu ana anlaşmanın 2. , 3., 4.1/2. lotudur.</t>
    </r>
    <r>
      <rPr>
        <sz val="11"/>
        <color theme="1"/>
        <rFont val="Calibri"/>
        <family val="2"/>
        <charset val="162"/>
        <scheme val="minor"/>
      </rPr>
      <t xml:space="preserve"> / DIN ISO 3302-1 M3</t>
    </r>
  </si>
  <si>
    <t>IHR-0960</t>
  </si>
  <si>
    <t>T5050</t>
  </si>
  <si>
    <t>IHR-0961</t>
  </si>
  <si>
    <t>IHR-0964</t>
  </si>
  <si>
    <t>400100517279-1</t>
  </si>
  <si>
    <r>
      <rPr>
        <b/>
        <sz val="11"/>
        <color theme="1"/>
        <rFont val="Calibri"/>
        <family val="2"/>
        <charset val="162"/>
        <scheme val="minor"/>
      </rPr>
      <t>PE torbada paketlenmiş 250 Adet</t>
    </r>
    <r>
      <rPr>
        <sz val="11"/>
        <color theme="1"/>
        <rFont val="Calibri"/>
        <family val="2"/>
        <charset val="162"/>
        <scheme val="minor"/>
      </rPr>
      <t xml:space="preserve"> // DIN ISO 3302-1 M3</t>
    </r>
  </si>
  <si>
    <t>400100517314-1</t>
  </si>
  <si>
    <r>
      <rPr>
        <b/>
        <sz val="11"/>
        <rFont val="Calibri"/>
        <family val="2"/>
        <charset val="162"/>
        <scheme val="minor"/>
      </rPr>
      <t xml:space="preserve">200 adetlik paketler halinde, 1 koli içinde 3 paket (600 adet bir koli içinde) </t>
    </r>
    <r>
      <rPr>
        <sz val="11"/>
        <rFont val="Calibri"/>
        <family val="2"/>
        <charset val="162"/>
        <scheme val="minor"/>
      </rPr>
      <t xml:space="preserve">/ </t>
    </r>
    <r>
      <rPr>
        <b/>
        <sz val="11"/>
        <rFont val="Calibri"/>
        <family val="2"/>
        <charset val="162"/>
        <scheme val="minor"/>
      </rPr>
      <t>410100001174 nolu ana siparişin 3. son lotu</t>
    </r>
    <r>
      <rPr>
        <sz val="11"/>
        <rFont val="Calibri"/>
        <family val="2"/>
        <charset val="162"/>
        <scheme val="minor"/>
      </rPr>
      <t xml:space="preserve"> / DIN ISO 3302-1 M3</t>
    </r>
  </si>
  <si>
    <t>IHR-0969</t>
  </si>
  <si>
    <t>400100517478-1</t>
  </si>
  <si>
    <t>400100517479-1</t>
  </si>
  <si>
    <r>
      <rPr>
        <b/>
        <sz val="11"/>
        <rFont val="Calibri"/>
        <family val="2"/>
        <charset val="162"/>
        <scheme val="minor"/>
      </rPr>
      <t>410100001050 ana siparişinin 7. ve son lotu</t>
    </r>
    <r>
      <rPr>
        <sz val="11"/>
        <rFont val="Calibri"/>
        <family val="2"/>
        <charset val="162"/>
        <scheme val="minor"/>
      </rPr>
      <t xml:space="preserve"> / DIN ISO 3302-1 M3 </t>
    </r>
  </si>
  <si>
    <t>IHR-0975</t>
  </si>
  <si>
    <t>400100517552-1</t>
  </si>
  <si>
    <t>400100517560-1</t>
  </si>
  <si>
    <t>C-NR-57-WH-75*55-M12*12-M12*12</t>
  </si>
  <si>
    <t>T5055</t>
  </si>
  <si>
    <t>IHR-0978</t>
  </si>
  <si>
    <t>IHR-0979</t>
  </si>
  <si>
    <t>IHR-0985</t>
  </si>
  <si>
    <t>400100517681-1</t>
  </si>
  <si>
    <t>400100517772-1</t>
  </si>
  <si>
    <t>IHR-0996</t>
  </si>
  <si>
    <t>IHR-0997</t>
  </si>
  <si>
    <t>400100517953-1</t>
  </si>
  <si>
    <t>400100517955-1</t>
  </si>
  <si>
    <t>400100517587-1</t>
  </si>
  <si>
    <t>400100517958-1</t>
  </si>
  <si>
    <t>3. LOT</t>
  </si>
  <si>
    <r>
      <rPr>
        <b/>
        <sz val="11"/>
        <color theme="1"/>
        <rFont val="Calibri"/>
        <family val="2"/>
        <charset val="162"/>
        <scheme val="minor"/>
      </rPr>
      <t>Tam adadende üretilecek</t>
    </r>
    <r>
      <rPr>
        <sz val="11"/>
        <color theme="1"/>
        <rFont val="Calibri"/>
        <family val="2"/>
        <charset val="162"/>
        <scheme val="minor"/>
      </rPr>
      <t xml:space="preserve"> /</t>
    </r>
    <r>
      <rPr>
        <b/>
        <sz val="11"/>
        <color theme="1"/>
        <rFont val="Calibri"/>
        <family val="2"/>
        <charset val="162"/>
        <scheme val="minor"/>
      </rPr>
      <t xml:space="preserve"> 410100001428 nolu ana siparişin 2. lotu </t>
    </r>
    <r>
      <rPr>
        <sz val="11"/>
        <color theme="1"/>
        <rFont val="Calibri"/>
        <family val="2"/>
        <charset val="162"/>
        <scheme val="minor"/>
      </rPr>
      <t>/ DIN ISO 3302-1 Kl M3 C. İlk sevkiyat 250 fazla gittiği için 2250 istedi bu lotta</t>
    </r>
  </si>
  <si>
    <t>IHR-1006</t>
  </si>
  <si>
    <t>IHR-1005</t>
  </si>
  <si>
    <t>IHR-1009</t>
  </si>
  <si>
    <t>IHR-1014</t>
  </si>
  <si>
    <t>400100518094-1</t>
  </si>
  <si>
    <t>IHR-1016</t>
  </si>
  <si>
    <t>400100518026-1</t>
  </si>
  <si>
    <t>IHR-1018</t>
  </si>
  <si>
    <t>400100518179-1</t>
  </si>
  <si>
    <t>IHR-1019</t>
  </si>
  <si>
    <t>400100518327-1</t>
  </si>
  <si>
    <t>400100518333-1</t>
  </si>
  <si>
    <t>400100518334-1</t>
  </si>
  <si>
    <t>D-NR-57-WH-10*10-M4*10</t>
  </si>
  <si>
    <t>10.000 adetlik lotlar halinde. (1 lot emniyet stoğu bulundurulacak)</t>
  </si>
  <si>
    <t>T4242</t>
  </si>
  <si>
    <r>
      <t xml:space="preserve">6.000 adetlik lotlar halinde. (1 lot emniyet stoğu bulundurulacak) </t>
    </r>
    <r>
      <rPr>
        <b/>
        <sz val="11"/>
        <color theme="1"/>
        <rFont val="Calibri"/>
        <family val="2"/>
        <charset val="162"/>
        <scheme val="minor"/>
      </rPr>
      <t>Nokta markalama talep edilmiş</t>
    </r>
  </si>
  <si>
    <r>
      <rPr>
        <b/>
        <sz val="11"/>
        <color theme="1"/>
        <rFont val="Calibri"/>
        <family val="2"/>
        <charset val="162"/>
        <scheme val="minor"/>
      </rPr>
      <t xml:space="preserve">Koli içi 100 adet </t>
    </r>
    <r>
      <rPr>
        <sz val="11"/>
        <color theme="1"/>
        <rFont val="Calibri"/>
        <family val="2"/>
        <charset val="162"/>
        <scheme val="minor"/>
      </rPr>
      <t xml:space="preserve"> /  DIN ISO 3302-1 M 2/3 / Tekliften dönmüştür (Inquiry 460100014445 JGK HH Q021344)</t>
    </r>
  </si>
  <si>
    <t xml:space="preserve">1. lot  </t>
  </si>
  <si>
    <t>IHR-1041</t>
  </si>
  <si>
    <t>IHR-1042</t>
  </si>
  <si>
    <t>IHR-1043</t>
  </si>
  <si>
    <t>15.000 adetlik lotlar halinde (1 lot emniyet stoğu bulundurulacak) / kutu içi 100 adet</t>
  </si>
  <si>
    <t>T5074</t>
  </si>
  <si>
    <t>D-NR-70-WH-10*10-M4*10 with dot</t>
  </si>
  <si>
    <t>400100518561-1</t>
  </si>
  <si>
    <t>DS-NBR-80-WH-25*25-M6*18</t>
  </si>
  <si>
    <t>DIN ISO 3302-1 M3 / Tekliften döndü (460100015456 - Q022922)</t>
  </si>
  <si>
    <t>400100518633-1</t>
  </si>
  <si>
    <t>400100518638-1</t>
  </si>
  <si>
    <t>IHR-1054</t>
  </si>
  <si>
    <t>T5076</t>
  </si>
  <si>
    <t>IHR-1055</t>
  </si>
  <si>
    <t>IHR-1068</t>
  </si>
  <si>
    <t>400100518875-1</t>
  </si>
  <si>
    <t>T3788</t>
  </si>
  <si>
    <t>B-NR-68-WH-30*30-M8*20-M8</t>
  </si>
  <si>
    <t>02.04.2026 SEVKİYATI</t>
  </si>
  <si>
    <t>400100518880-1</t>
  </si>
  <si>
    <t>IHR-001</t>
  </si>
  <si>
    <t>IHR-002</t>
  </si>
  <si>
    <t>400100519024-1</t>
  </si>
  <si>
    <t>T4501</t>
  </si>
  <si>
    <t>D-NR-60-WH-70*55-M12*37</t>
  </si>
  <si>
    <t>T3852</t>
  </si>
  <si>
    <t>D-NR-57-WH-40*28-M8*23</t>
  </si>
  <si>
    <t>400100519084-1</t>
  </si>
  <si>
    <t>R 2048</t>
  </si>
  <si>
    <t>NBR 55 Plug-in seal 22,5 x Ø55 x Ø35 mm</t>
  </si>
  <si>
    <t xml:space="preserve">DIN ISO 3302-1 M3  </t>
  </si>
  <si>
    <r>
      <rPr>
        <b/>
        <sz val="11"/>
        <color rgb="FFFF0000"/>
        <rFont val="Calibri"/>
        <family val="2"/>
        <charset val="162"/>
        <scheme val="minor"/>
      </rPr>
      <t>(6000 + 6000 + 6000 + 6000 + 6000 + 6000 + 5557 adet gitti)</t>
    </r>
    <r>
      <rPr>
        <sz val="11"/>
        <color theme="1"/>
        <rFont val="Calibri"/>
        <family val="2"/>
        <charset val="162"/>
        <scheme val="minor"/>
      </rPr>
      <t xml:space="preserve"> 6000 adetlik lotlar halinde sevkedilecektir. ( 1 lot emniyet stoğu bulundurulacak)</t>
    </r>
  </si>
  <si>
    <t>BİTTİ</t>
  </si>
  <si>
    <r>
      <rPr>
        <b/>
        <sz val="11"/>
        <color rgb="FFFF0000"/>
        <rFont val="Calibri"/>
        <family val="2"/>
        <charset val="162"/>
        <scheme val="minor"/>
      </rPr>
      <t xml:space="preserve">(2.500 + 2500 adet gitti) </t>
    </r>
    <r>
      <rPr>
        <sz val="11"/>
        <color theme="1"/>
        <rFont val="Calibri"/>
        <family val="2"/>
        <charset val="162"/>
        <scheme val="minor"/>
      </rPr>
      <t>2500 adetlik lotlar halinde (1 lot emniyet stoğu bulundurulacak)</t>
    </r>
  </si>
  <si>
    <t>IHR-005</t>
  </si>
  <si>
    <t>400100519154-1</t>
  </si>
  <si>
    <r>
      <rPr>
        <b/>
        <sz val="11"/>
        <color theme="1"/>
        <rFont val="Calibri"/>
        <family val="2"/>
        <charset val="162"/>
        <scheme val="minor"/>
      </rPr>
      <t xml:space="preserve">410100001470 nolu ana anlaşmanın  4. 1/2. ve 5. son lotudur. </t>
    </r>
    <r>
      <rPr>
        <sz val="11"/>
        <color theme="1"/>
        <rFont val="Calibri"/>
        <family val="2"/>
        <charset val="162"/>
        <scheme val="minor"/>
      </rPr>
      <t xml:space="preserve"> / DIN ISO 3302-1 M3</t>
    </r>
  </si>
  <si>
    <t>IHR-010</t>
  </si>
  <si>
    <t>IHR-015</t>
  </si>
  <si>
    <t>400100519361-1</t>
  </si>
  <si>
    <t>T3707</t>
  </si>
  <si>
    <t>B-NR-57-WH-50*20-M10*28-M10</t>
  </si>
  <si>
    <t>T3722</t>
  </si>
  <si>
    <t>DS-NR-57-WH-50*28-M10*33</t>
  </si>
  <si>
    <t>400100519450-1</t>
  </si>
  <si>
    <t>T4273</t>
  </si>
  <si>
    <t>E-NR-60-WH-20*13,5-M6*6,5</t>
  </si>
  <si>
    <t>400100519451-1</t>
  </si>
  <si>
    <t>T3727</t>
  </si>
  <si>
    <t>E-NR-57-WH-30*20-M8</t>
  </si>
  <si>
    <t>IHR-020</t>
  </si>
  <si>
    <t>400100519529-1</t>
  </si>
  <si>
    <t>T3817</t>
  </si>
  <si>
    <t>D-NR-57-WH-20x13,5-M6x15</t>
  </si>
  <si>
    <r>
      <rPr>
        <b/>
        <sz val="11"/>
        <color theme="1"/>
        <rFont val="Calibri"/>
        <family val="2"/>
        <charset val="162"/>
        <scheme val="minor"/>
      </rPr>
      <t>200 adetlik paketler halinde</t>
    </r>
    <r>
      <rPr>
        <sz val="11"/>
        <color theme="1"/>
        <rFont val="Calibri"/>
        <family val="2"/>
        <charset val="162"/>
        <scheme val="minor"/>
      </rPr>
      <t xml:space="preserve">  / DIN ISO 3302-1 M3</t>
    </r>
  </si>
  <si>
    <t>IHR-035</t>
  </si>
  <si>
    <t>IHR-036</t>
  </si>
  <si>
    <t>IHR-037</t>
  </si>
  <si>
    <t>400100519535-1</t>
  </si>
  <si>
    <t>R 1859</t>
  </si>
  <si>
    <t>GUMMİ-ANSCHLAGPUFFER 40x45x125 NR/SBR 80 SH</t>
  </si>
  <si>
    <t>IHR-045</t>
  </si>
  <si>
    <t>400100519702-1</t>
  </si>
  <si>
    <r>
      <rPr>
        <b/>
        <sz val="11"/>
        <color theme="1"/>
        <rFont val="Calibri"/>
        <family val="2"/>
        <charset val="162"/>
        <scheme val="minor"/>
      </rPr>
      <t>PE torbada paketlenmiş 250 Adet</t>
    </r>
    <r>
      <rPr>
        <sz val="11"/>
        <color theme="1"/>
        <rFont val="Calibri"/>
        <family val="2"/>
        <charset val="162"/>
        <scheme val="minor"/>
      </rPr>
      <t xml:space="preserve"> // DIN ISO 3302-1 M3 / Tekliften döndü (Anfrage 460100016300 JGK HH)</t>
    </r>
  </si>
  <si>
    <t>400100519730-1</t>
  </si>
  <si>
    <t>IHR-059</t>
  </si>
  <si>
    <t>IHR-060</t>
  </si>
  <si>
    <t>400100519818-1</t>
  </si>
  <si>
    <t>A-EPDM-60-WH-75*55-M12*37-M12*37</t>
  </si>
  <si>
    <t>T4968</t>
  </si>
  <si>
    <t>A-NR-68-WH-50*30-M10*28-M10*28</t>
  </si>
  <si>
    <t>DIN ISO 3302-1 M 3 (Tekliften döndü 460100016408 - Q024345)</t>
  </si>
  <si>
    <t xml:space="preserve">DIN ISO 3302-1 M3 </t>
  </si>
  <si>
    <t>T5099</t>
  </si>
  <si>
    <t>İPTALLER</t>
  </si>
  <si>
    <t>400100519787-1</t>
  </si>
  <si>
    <t>400100519895-1</t>
  </si>
  <si>
    <t xml:space="preserve">NR coating 15mm Ø250 full, NR/SBR 80 </t>
  </si>
  <si>
    <t xml:space="preserve">Mold for NR coating 15mm Ø250 full, NR/SBR 80 </t>
  </si>
  <si>
    <t>400100519896-1</t>
  </si>
  <si>
    <t>12 adet numune gidecek teyit için / Tekliften döndü (Q021140)</t>
  </si>
  <si>
    <t>400100515808-1</t>
  </si>
  <si>
    <t>14.01. numune gitt</t>
  </si>
  <si>
    <t>400100519941-1</t>
  </si>
  <si>
    <t>T3728</t>
  </si>
  <si>
    <t xml:space="preserve">A-NR-68-WH-40x30-M8x16-M8x16 </t>
  </si>
  <si>
    <t>DIN ISO 3302 M3</t>
  </si>
  <si>
    <t>T5101</t>
  </si>
  <si>
    <t xml:space="preserve"> A-NR-45-WH-40*15-M8*15-M8*15-Fe/ZnNi8/An/T0</t>
  </si>
  <si>
    <t>IHR-062</t>
  </si>
  <si>
    <t>R 2114</t>
  </si>
  <si>
    <t>IHR-068</t>
  </si>
  <si>
    <t>400100520122-1</t>
  </si>
  <si>
    <t>05.05.2026 SEVKİYATI</t>
  </si>
  <si>
    <t>400100520232-1</t>
  </si>
  <si>
    <t>400100520235-1</t>
  </si>
  <si>
    <r>
      <rPr>
        <b/>
        <sz val="11"/>
        <color theme="1"/>
        <rFont val="Calibri"/>
        <family val="2"/>
        <charset val="162"/>
        <scheme val="minor"/>
      </rPr>
      <t>Karton kutu başına 200 Adet / Tam adedinde üretilecek</t>
    </r>
    <r>
      <rPr>
        <sz val="11"/>
        <color theme="1"/>
        <rFont val="Calibri"/>
        <family val="2"/>
        <charset val="162"/>
        <scheme val="minor"/>
      </rPr>
      <t xml:space="preserve"> / DIN ISO 3302-1 M3 // M10x18 +/- 1.00 mm her iki taraftan</t>
    </r>
  </si>
  <si>
    <t>IHR-075</t>
  </si>
  <si>
    <t>400100520297-1</t>
  </si>
  <si>
    <r>
      <rPr>
        <b/>
        <sz val="11"/>
        <rFont val="Calibri"/>
        <family val="2"/>
        <charset val="162"/>
        <scheme val="minor"/>
      </rPr>
      <t>Koli içi 128 adet</t>
    </r>
    <r>
      <rPr>
        <b/>
        <sz val="11"/>
        <color rgb="FFFF0000"/>
        <rFont val="Calibri"/>
        <family val="2"/>
        <charset val="162"/>
        <scheme val="minor"/>
      </rPr>
      <t xml:space="preserve"> / KAPLAMA : Fe/ZnNi8/An/T0 ---- 120HB/240HKP </t>
    </r>
    <r>
      <rPr>
        <sz val="11"/>
        <color theme="1"/>
        <rFont val="Calibri"/>
        <family val="2"/>
        <charset val="162"/>
        <scheme val="minor"/>
      </rPr>
      <t>/ Tekliften döndü (460100015562 - Q023094)</t>
    </r>
  </si>
  <si>
    <t>IHR-082</t>
  </si>
  <si>
    <t>IHR-083</t>
  </si>
  <si>
    <t>400100520426-1</t>
  </si>
  <si>
    <t>IHR-085</t>
  </si>
  <si>
    <t>IHR-088</t>
  </si>
  <si>
    <t>400100520560-1</t>
  </si>
  <si>
    <t>T3738</t>
  </si>
  <si>
    <t>D-NR-45-WH-18x7,5-M6x15</t>
  </si>
  <si>
    <t>IHR-092</t>
  </si>
  <si>
    <t>400100520635-1</t>
  </si>
  <si>
    <t>T4234</t>
  </si>
  <si>
    <t>B-NR-57-WH-10*10-M4*10-M4*4-CLOSED</t>
  </si>
  <si>
    <t>T3718</t>
  </si>
  <si>
    <t>B-NR-57-WH-20*15-M6*15-M6</t>
  </si>
  <si>
    <t xml:space="preserve">A-NR-55-WH-15*8-M4*10-M4*10 </t>
  </si>
  <si>
    <t>DIN ISO 3302-1 M3 / Tekliften döndü (Unsere Anfrage Q024776)</t>
  </si>
  <si>
    <t>T3453</t>
  </si>
  <si>
    <t>400100520663-1</t>
  </si>
  <si>
    <t>numune onaylandı</t>
  </si>
  <si>
    <r>
      <rPr>
        <b/>
        <sz val="11"/>
        <color rgb="FFFF0000"/>
        <rFont val="Calibri"/>
        <family val="2"/>
        <charset val="162"/>
        <scheme val="minor"/>
      </rPr>
      <t>(6000 + 6000 + 6000 adet gitti)</t>
    </r>
    <r>
      <rPr>
        <sz val="11"/>
        <color theme="1"/>
        <rFont val="Calibri"/>
        <family val="2"/>
        <charset val="162"/>
        <scheme val="minor"/>
      </rPr>
      <t xml:space="preserve"> 200 adetlik paketler halinde, 1 koli içinde 3 paket ( toplamda 600 adet bir koli içinde ) / DIN ISO 3302-1 M3/  6000 adetlik lotlar </t>
    </r>
  </si>
  <si>
    <t>400100516097-1</t>
  </si>
  <si>
    <r>
      <t>DIN ISO 3302-1 M3 /</t>
    </r>
    <r>
      <rPr>
        <b/>
        <sz val="11"/>
        <color theme="1"/>
        <rFont val="Calibri"/>
        <family val="2"/>
        <charset val="162"/>
        <scheme val="minor"/>
      </rPr>
      <t xml:space="preserve"> 410100001496 ana anlaşmasının 2. ve 3. lotu </t>
    </r>
    <r>
      <rPr>
        <sz val="11"/>
        <color theme="1"/>
        <rFont val="Calibri"/>
        <family val="2"/>
        <charset val="162"/>
        <scheme val="minor"/>
      </rPr>
      <t xml:space="preserve"> / Tekliften döndü (Q021506 Request for quotation)</t>
    </r>
  </si>
  <si>
    <r>
      <t>DIN ISO 3302-1 M3 /</t>
    </r>
    <r>
      <rPr>
        <b/>
        <sz val="11"/>
        <color theme="1"/>
        <rFont val="Calibri"/>
        <family val="2"/>
        <charset val="162"/>
        <scheme val="minor"/>
      </rPr>
      <t xml:space="preserve"> 410100001496 ana anlaşmasının 1. lotu</t>
    </r>
    <r>
      <rPr>
        <sz val="11"/>
        <color theme="1"/>
        <rFont val="Calibri"/>
        <family val="2"/>
        <charset val="162"/>
        <scheme val="minor"/>
      </rPr>
      <t xml:space="preserve"> / Tekliften döndü (Q021506 Request for quotation)</t>
    </r>
  </si>
  <si>
    <t>4. lot</t>
  </si>
  <si>
    <t>400100520761-1</t>
  </si>
  <si>
    <r>
      <rPr>
        <b/>
        <sz val="11"/>
        <color theme="1"/>
        <rFont val="Calibri"/>
        <family val="2"/>
        <charset val="162"/>
        <scheme val="minor"/>
      </rPr>
      <t xml:space="preserve">Tam adedinde ürün sevkedilecektir. </t>
    </r>
    <r>
      <rPr>
        <sz val="11"/>
        <color theme="1"/>
        <rFont val="Calibri"/>
        <family val="2"/>
        <charset val="162"/>
        <scheme val="minor"/>
      </rPr>
      <t>// DIN ISO 3302-1 Kl M3 C</t>
    </r>
  </si>
  <si>
    <t>IHR-099</t>
  </si>
  <si>
    <t>400100520856-1</t>
  </si>
  <si>
    <t>A-NR-35-WH-25*20-M6*15-M6*20</t>
  </si>
  <si>
    <t>DIN ISO 3302-1 M3 / Tekliften döndü (460100016735 - Staffelpreise)</t>
  </si>
  <si>
    <t>IHR-103</t>
  </si>
  <si>
    <t>T4929</t>
  </si>
  <si>
    <t>400100520862-1</t>
  </si>
  <si>
    <t>B-NR-70-WH-25*20-M6*12-M6*6</t>
  </si>
  <si>
    <t>DIN ISO 3302-1 M3 / Tekliften döndü (Anfrage Q024688)</t>
  </si>
  <si>
    <t>T5121</t>
  </si>
  <si>
    <t>400100520881-1</t>
  </si>
  <si>
    <t>400100520891-1</t>
  </si>
  <si>
    <r>
      <rPr>
        <b/>
        <sz val="11"/>
        <color theme="1"/>
        <rFont val="Calibri"/>
        <family val="2"/>
        <charset val="162"/>
        <scheme val="minor"/>
      </rPr>
      <t>PE torbada paketlenmiş 80 Adet / Tam adedinde ürün sevkedilecektir</t>
    </r>
    <r>
      <rPr>
        <sz val="11"/>
        <color theme="1"/>
        <rFont val="Calibri"/>
        <family val="2"/>
        <charset val="162"/>
        <scheme val="minor"/>
      </rPr>
      <t xml:space="preserve"> / DIN ISO 3302-1 Kl. M3 C              </t>
    </r>
  </si>
  <si>
    <t>IHR-121</t>
  </si>
  <si>
    <t>IHR-123</t>
  </si>
  <si>
    <t>IHR-122</t>
  </si>
  <si>
    <t>IHR-117</t>
  </si>
  <si>
    <t>400100520945-1</t>
  </si>
  <si>
    <t>IHR-125</t>
  </si>
  <si>
    <t>400100521034-1</t>
  </si>
  <si>
    <t>T3644</t>
  </si>
  <si>
    <t>D-NR-57-WH-30*17-M8*20</t>
  </si>
  <si>
    <t>DIN ISO 3302-1 M3 (Tekliften döndü 460100016735 - Staffelpreise)</t>
  </si>
  <si>
    <t>IHR-104</t>
  </si>
  <si>
    <t>paketleme bedeli 0,1185 €/adet. Torbalı olursa 2,7007 €/adet DAP fiyatı</t>
  </si>
  <si>
    <t>IHR-131</t>
  </si>
  <si>
    <t>400100521088-1</t>
  </si>
  <si>
    <t>R 2050</t>
  </si>
  <si>
    <t>Cover 101.9 x 61.9 x 10.2 mm EPDM 40 Shore</t>
  </si>
  <si>
    <t>ISO 3302-T1 M3</t>
  </si>
  <si>
    <t>IHR-141</t>
  </si>
  <si>
    <t>IHR-144</t>
  </si>
  <si>
    <t>IHR-150</t>
  </si>
  <si>
    <t>R 1852 VT</t>
  </si>
  <si>
    <t>FKM Ring 5,1x8,3/6 – BLACK FKM 65 SH.</t>
  </si>
  <si>
    <t>IHR-160</t>
  </si>
  <si>
    <t>17.02.2026 SEVKİYATI (PE torba yok) Torba olursa birim fiyat 2,7007 € olur. HAVA KARO EXW</t>
  </si>
  <si>
    <t>400100521289-1</t>
  </si>
  <si>
    <r>
      <t xml:space="preserve">DIN ISO 3302-1 M3 / </t>
    </r>
    <r>
      <rPr>
        <b/>
        <sz val="11"/>
        <color rgb="FFFF0000"/>
        <rFont val="Calibri"/>
        <family val="2"/>
        <charset val="162"/>
        <scheme val="minor"/>
      </rPr>
      <t>KAPLAMA : Fe/ZnNi8/An/T0 ---- 120HB/240HKP</t>
    </r>
  </si>
  <si>
    <t>400100521294-1</t>
  </si>
  <si>
    <t>400100521303-1</t>
  </si>
  <si>
    <r>
      <rPr>
        <b/>
        <sz val="11"/>
        <color theme="1"/>
        <rFont val="Calibri"/>
        <family val="2"/>
        <charset val="162"/>
        <scheme val="minor"/>
      </rPr>
      <t xml:space="preserve">410100001474 nolu ana anlaşmanın 2. lotudur. </t>
    </r>
    <r>
      <rPr>
        <sz val="11"/>
        <color theme="1"/>
        <rFont val="Calibri"/>
        <family val="2"/>
        <charset val="162"/>
        <scheme val="minor"/>
      </rPr>
      <t>/ DIN ISO 3302-1 M3</t>
    </r>
  </si>
  <si>
    <t xml:space="preserve">3. LOT </t>
  </si>
  <si>
    <t>400100521380-2</t>
  </si>
  <si>
    <t>T4294</t>
  </si>
  <si>
    <t>A-NR-70-WH-50*25-M10*15-M10*18</t>
  </si>
  <si>
    <t>IHR-172</t>
  </si>
  <si>
    <t>IHR-173</t>
  </si>
  <si>
    <t>IHR-174</t>
  </si>
  <si>
    <t>400100521474-1</t>
  </si>
  <si>
    <t>IHR-178</t>
  </si>
  <si>
    <t>400100521627-1</t>
  </si>
  <si>
    <t>D-NR-55-WH-50*10-M10*28</t>
  </si>
  <si>
    <t>IHR-185</t>
  </si>
  <si>
    <t>400100521715-1</t>
  </si>
  <si>
    <t>T3734</t>
  </si>
  <si>
    <t>D-NR-57-WH-20*15-M6*15</t>
  </si>
  <si>
    <t>IHR-189</t>
  </si>
  <si>
    <t>T5149</t>
  </si>
  <si>
    <t>IHR-192</t>
  </si>
  <si>
    <t>400100521777-1</t>
  </si>
  <si>
    <t>T4010</t>
  </si>
  <si>
    <t>A-NR-57-WH-40*20-M10*28-M10*12</t>
  </si>
  <si>
    <t>IHR-204</t>
  </si>
  <si>
    <t>400100522062-1</t>
  </si>
  <si>
    <t>T4332</t>
  </si>
  <si>
    <t xml:space="preserve">DS-NR-57-WH-30*25,5-M8*20 </t>
  </si>
  <si>
    <t>400100522065-1</t>
  </si>
  <si>
    <t>400100522149-1</t>
  </si>
  <si>
    <t>IHR-207</t>
  </si>
  <si>
    <t>IHR-208</t>
  </si>
  <si>
    <r>
      <rPr>
        <b/>
        <sz val="11"/>
        <color rgb="FFFF0000"/>
        <rFont val="Calibri"/>
        <family val="2"/>
        <charset val="162"/>
        <scheme val="minor"/>
      </rPr>
      <t>(2000 + 2000 + 2000 + 1000 +3208 adet gitti)</t>
    </r>
    <r>
      <rPr>
        <sz val="11"/>
        <color theme="1"/>
        <rFont val="Calibri"/>
        <family val="2"/>
        <charset val="162"/>
        <scheme val="minor"/>
      </rPr>
      <t xml:space="preserve"> 2000 adetlik lotlar halinde (1 lot emniyet stoğu bulundurulacak) </t>
    </r>
  </si>
  <si>
    <r>
      <rPr>
        <b/>
        <sz val="11"/>
        <color rgb="FFFF0000"/>
        <rFont val="Calibri"/>
        <family val="2"/>
        <charset val="162"/>
        <scheme val="minor"/>
      </rPr>
      <t>(600 +600 adet gitti)</t>
    </r>
    <r>
      <rPr>
        <sz val="11"/>
        <color theme="1"/>
        <rFont val="Calibri"/>
        <family val="2"/>
        <charset val="162"/>
        <scheme val="minor"/>
      </rPr>
      <t xml:space="preserve"> 600 adetlik lotlar halinde (1 lot emniyet stoğu bulundurulacak)</t>
    </r>
  </si>
  <si>
    <r>
      <rPr>
        <b/>
        <sz val="11"/>
        <color rgb="FFFF0000"/>
        <rFont val="Calibri"/>
        <family val="2"/>
        <charset val="162"/>
        <scheme val="minor"/>
      </rPr>
      <t>(500+1280 adet gitti)</t>
    </r>
    <r>
      <rPr>
        <sz val="11"/>
        <color theme="1"/>
        <rFont val="Calibri"/>
        <family val="2"/>
        <charset val="162"/>
        <scheme val="minor"/>
      </rPr>
      <t xml:space="preserve"> 2.400 adetlik lotlar halinde (1 lot emniyet stoğu bulundurulacak) </t>
    </r>
  </si>
  <si>
    <t>05.03.2026 SEVKİYATI (PE torba yok) (Q021506 Request for quotation) EXW</t>
  </si>
  <si>
    <r>
      <rPr>
        <b/>
        <sz val="11"/>
        <color theme="1"/>
        <rFont val="Calibri"/>
        <family val="2"/>
        <charset val="162"/>
        <scheme val="minor"/>
      </rPr>
      <t>PE torba yok</t>
    </r>
    <r>
      <rPr>
        <sz val="11"/>
        <color theme="1"/>
        <rFont val="Calibri"/>
        <family val="2"/>
        <charset val="162"/>
        <scheme val="minor"/>
      </rPr>
      <t xml:space="preserve"> / DIN ISO 3302-1 M3 /</t>
    </r>
    <r>
      <rPr>
        <b/>
        <sz val="11"/>
        <color theme="1"/>
        <rFont val="Calibri"/>
        <family val="2"/>
        <charset val="162"/>
        <scheme val="minor"/>
      </rPr>
      <t xml:space="preserve"> 410100001496 ana anlaşmasının 2. ve 3. lotu </t>
    </r>
    <r>
      <rPr>
        <sz val="11"/>
        <color theme="1"/>
        <rFont val="Calibri"/>
        <family val="2"/>
        <charset val="162"/>
        <scheme val="minor"/>
      </rPr>
      <t xml:space="preserve"> / Tekliften döndü (Q021506 Request for quotation)</t>
    </r>
  </si>
  <si>
    <t>IHR-211</t>
  </si>
  <si>
    <t>400100522361-1</t>
  </si>
  <si>
    <t>Tam adedinde üretilecek / 100 Adetlik Paketler Halinde / DIN ISO 3302-1 M3</t>
  </si>
  <si>
    <t>400100522447-1</t>
  </si>
  <si>
    <t>T3965</t>
  </si>
  <si>
    <t xml:space="preserve">E-EPDM-60-WH-60X31,5-M10X20-OPEN </t>
  </si>
  <si>
    <t>M20= M10 + 10 mm ek delik //  DIN ISO 3302-1 M3</t>
  </si>
  <si>
    <t>En sonda indirim uygulanacaktır ki bedelsiz olsun / şikayet no 001NCN000002497</t>
  </si>
  <si>
    <t>400100522498-1</t>
  </si>
  <si>
    <t>13.03.2026 SEVKİYATI (Hava kargo ile gidecek) EXW</t>
  </si>
  <si>
    <t>400100522520-1</t>
  </si>
  <si>
    <t>T3677</t>
  </si>
  <si>
    <t>D-NR-43-WH-18*7,5-M6*16</t>
  </si>
  <si>
    <t>IHR-241</t>
  </si>
  <si>
    <t>IHR-242</t>
  </si>
  <si>
    <t>400100522603-1</t>
  </si>
  <si>
    <t>IHR-244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</si>
</sst>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1]"/>
    <numFmt numFmtId="165" formatCode="#,##0.0000\ [$€-1]"/>
  </numFmts>
  <fonts count="1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002060"/>
      <name val="Calibri"/>
      <family val="2"/>
      <charset val="162"/>
      <scheme val="minor"/>
    </font>
    <font>
      <b/>
      <sz val="12"/>
      <color rgb="FFFF0000"/>
      <name val="Bookman Old Style"/>
      <family val="1"/>
      <charset val="162"/>
    </font>
    <font>
      <b/>
      <sz val="12"/>
      <color theme="1"/>
      <name val="Bookman Old Style"/>
      <family val="1"/>
      <charset val="162"/>
    </font>
    <font>
      <sz val="11"/>
      <color rgb="FF000000"/>
      <name val="Calibri"/>
      <family val="2"/>
      <charset val="162"/>
    </font>
    <font>
      <b/>
      <sz val="10"/>
      <color rgb="FFFF0000"/>
      <name val="Bookman Old Style"/>
      <family val="1"/>
      <charset val="162"/>
    </font>
    <font>
      <sz val="10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gradientFill>
        <stop position="0">
          <color rgb="FF800000"/>
        </stop>
        <stop position="1">
          <color theme="0"/>
        </stop>
      </gradient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165" fontId="0" fillId="0" borderId="1" xfId="0" applyNumberFormat="1" applyBorder="1" applyAlignment="1">
      <alignment horizontal="left" vertical="center"/>
    </xf>
    <xf numFmtId="0" fontId="0" fillId="4" borderId="1" xfId="0" applyFill="1" applyBorder="1" applyAlignment="1">
      <alignment horizontal="center"/>
    </xf>
    <xf numFmtId="3" fontId="0" fillId="4" borderId="1" xfId="0" applyNumberForma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17" fontId="8" fillId="0" borderId="3" xfId="0" applyNumberFormat="1" applyFont="1" applyBorder="1" applyAlignment="1">
      <alignment horizontal="left"/>
    </xf>
    <xf numFmtId="1" fontId="1" fillId="4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164" fontId="0" fillId="0" borderId="0" xfId="0" applyNumberFormat="1" applyAlignment="1">
      <alignment horizontal="right"/>
    </xf>
    <xf numFmtId="14" fontId="1" fillId="3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12" fillId="0" borderId="0" xfId="0" applyFont="1" applyAlignment="1">
      <alignment horizontal="center"/>
    </xf>
    <xf numFmtId="17" fontId="11" fillId="0" borderId="8" xfId="0" applyNumberFormat="1" applyFont="1" applyBorder="1" applyAlignment="1">
      <alignment horizontal="center"/>
    </xf>
    <xf numFmtId="17" fontId="11" fillId="0" borderId="9" xfId="0" applyNumberFormat="1" applyFont="1" applyBorder="1" applyAlignment="1">
      <alignment horizontal="center"/>
    </xf>
    <xf numFmtId="17" fontId="11" fillId="0" borderId="10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0" xfId="0" applyNumberFormat="1" applyAlignment="1">
      <alignment horizontal="center"/>
    </xf>
    <xf numFmtId="3" fontId="1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3" fontId="8" fillId="0" borderId="3" xfId="0" applyNumberFormat="1" applyFont="1" applyBorder="1" applyAlignment="1">
      <alignment horizontal="left"/>
    </xf>
    <xf numFmtId="3" fontId="11" fillId="0" borderId="9" xfId="0" applyNumberFormat="1" applyFont="1" applyBorder="1" applyAlignment="1">
      <alignment horizontal="center"/>
    </xf>
    <xf numFmtId="0" fontId="0" fillId="7" borderId="1" xfId="0" applyFill="1" applyBorder="1" applyAlignment="1">
      <alignment horizontal="left"/>
    </xf>
    <xf numFmtId="165" fontId="7" fillId="0" borderId="1" xfId="0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3" fontId="3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165" fontId="0" fillId="4" borderId="7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1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4" fontId="6" fillId="4" borderId="1" xfId="0" applyNumberFormat="1" applyFont="1" applyFill="1" applyBorder="1" applyAlignment="1">
      <alignment horizontal="center"/>
    </xf>
    <xf numFmtId="1" fontId="6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left" vertical="center"/>
    </xf>
    <xf numFmtId="0" fontId="0" fillId="4" borderId="1" xfId="0" quotePrefix="1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5" fontId="0" fillId="7" borderId="1" xfId="0" applyNumberForma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7" borderId="3" xfId="0" quotePrefix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/>
    </xf>
    <xf numFmtId="3" fontId="6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7" borderId="1" xfId="0" quotePrefix="1" applyFill="1" applyBorder="1" applyAlignment="1">
      <alignment horizontal="center"/>
    </xf>
    <xf numFmtId="165" fontId="6" fillId="7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17" fontId="9" fillId="5" borderId="4" xfId="0" applyNumberFormat="1" applyFont="1" applyFill="1" applyBorder="1" applyAlignment="1">
      <alignment horizontal="left"/>
    </xf>
    <xf numFmtId="17" fontId="9" fillId="5" borderId="5" xfId="0" applyNumberFormat="1" applyFont="1" applyFill="1" applyBorder="1" applyAlignment="1">
      <alignment horizontal="left"/>
    </xf>
    <xf numFmtId="17" fontId="9" fillId="5" borderId="6" xfId="0" applyNumberFormat="1" applyFont="1" applyFill="1" applyBorder="1" applyAlignment="1">
      <alignment horizontal="left"/>
    </xf>
    <xf numFmtId="17" fontId="5" fillId="6" borderId="1" xfId="0" applyNumberFormat="1" applyFont="1" applyFill="1" applyBorder="1" applyAlignment="1">
      <alignment horizontal="center"/>
    </xf>
    <xf numFmtId="17" fontId="5" fillId="2" borderId="1" xfId="0" applyNumberFormat="1" applyFont="1" applyFill="1" applyBorder="1" applyAlignment="1">
      <alignment horizontal="center"/>
    </xf>
    <xf numFmtId="17" fontId="8" fillId="5" borderId="4" xfId="0" applyNumberFormat="1" applyFont="1" applyFill="1" applyBorder="1" applyAlignment="1">
      <alignment horizontal="left"/>
    </xf>
    <xf numFmtId="17" fontId="8" fillId="5" borderId="5" xfId="0" applyNumberFormat="1" applyFont="1" applyFill="1" applyBorder="1" applyAlignment="1">
      <alignment horizontal="left"/>
    </xf>
    <xf numFmtId="17" fontId="8" fillId="5" borderId="6" xfId="0" applyNumberFormat="1" applyFont="1" applyFill="1" applyBorder="1" applyAlignment="1">
      <alignment horizontal="left"/>
    </xf>
    <xf numFmtId="165" fontId="6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271360</xdr:colOff>
      <xdr:row>3</xdr:row>
      <xdr:rowOff>118110</xdr:rowOff>
    </xdr:to>
    <xdr:pic>
      <xdr:nvPicPr>
        <xdr:cNvPr id="2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F497D51E-5D89-4D5E-BED7-4731DEFA50BB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050"/>
          <a:ext cx="121920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47"/>
  <sheetViews>
    <sheetView tabSelected="1" topLeftCell="A75" zoomScaleNormal="100" workbookViewId="0">
      <selection activeCell="F109" sqref="F109"/>
    </sheetView>
  </sheetViews>
  <sheetFormatPr defaultColWidth="8.85546875" defaultRowHeight="15" x14ac:dyDescent="0.25"/>
  <cols>
    <col min="1" max="1" width="14.140625" style="16" customWidth="1"/>
    <col min="2" max="2" width="18.7109375" style="16" customWidth="1"/>
    <col min="3" max="3" width="8" style="16" bestFit="1" customWidth="1"/>
    <col min="4" max="4" width="18.85546875" style="16" customWidth="1"/>
    <col min="5" max="5" width="13.5703125" style="16" bestFit="1" customWidth="1"/>
    <col min="6" max="6" width="15.85546875" style="16" bestFit="1" customWidth="1"/>
    <col min="7" max="7" width="58.140625" style="16" customWidth="1"/>
    <col min="8" max="8" width="12.5703125" style="16" customWidth="1"/>
    <col min="9" max="9" width="10.140625" style="46" bestFit="1" customWidth="1"/>
    <col min="10" max="10" width="117.42578125" style="18" customWidth="1"/>
    <col min="11" max="11" width="13.42578125" style="38" customWidth="1"/>
    <col min="12" max="12" width="12.7109375" style="16" bestFit="1" customWidth="1"/>
    <col min="13" max="16384" width="8.85546875" style="16"/>
  </cols>
  <sheetData>
    <row r="2" spans="1:11" x14ac:dyDescent="0.25">
      <c r="G2" s="16" t="s">
        <v>15</v>
      </c>
    </row>
    <row r="3" spans="1:11" x14ac:dyDescent="0.25">
      <c r="G3" s="17" t="s">
        <v>10</v>
      </c>
    </row>
    <row r="4" spans="1:11" ht="30" x14ac:dyDescent="0.25">
      <c r="G4" s="8" t="s">
        <v>11</v>
      </c>
    </row>
    <row r="5" spans="1:11" x14ac:dyDescent="0.25">
      <c r="G5" s="11" t="s">
        <v>14</v>
      </c>
    </row>
    <row r="6" spans="1:11" ht="30" x14ac:dyDescent="0.25">
      <c r="G6" s="11" t="s">
        <v>19</v>
      </c>
    </row>
    <row r="7" spans="1:11" x14ac:dyDescent="0.25">
      <c r="G7" s="17" t="s">
        <v>13</v>
      </c>
    </row>
    <row r="9" spans="1:11" ht="30" x14ac:dyDescent="0.25">
      <c r="A9" s="1" t="s">
        <v>0</v>
      </c>
      <c r="B9" s="2" t="s">
        <v>1</v>
      </c>
      <c r="C9" s="2" t="s">
        <v>2</v>
      </c>
      <c r="D9" s="1" t="s">
        <v>3</v>
      </c>
      <c r="E9" s="1" t="s">
        <v>4</v>
      </c>
      <c r="F9" s="3" t="s">
        <v>5</v>
      </c>
      <c r="G9" s="1" t="s">
        <v>6</v>
      </c>
      <c r="H9" s="4" t="s">
        <v>12</v>
      </c>
      <c r="I9" s="47" t="s">
        <v>7</v>
      </c>
      <c r="J9" s="19" t="s">
        <v>8</v>
      </c>
    </row>
    <row r="10" spans="1:11" x14ac:dyDescent="0.25">
      <c r="A10" s="101" t="s">
        <v>74</v>
      </c>
      <c r="B10" s="101"/>
      <c r="C10" s="101"/>
      <c r="D10" s="101"/>
      <c r="E10" s="101"/>
      <c r="F10" s="101"/>
      <c r="G10" s="101"/>
      <c r="H10" s="101"/>
      <c r="I10" s="101"/>
      <c r="J10" s="101"/>
    </row>
    <row r="11" spans="1:11" x14ac:dyDescent="0.25">
      <c r="A11" s="21" t="s">
        <v>87</v>
      </c>
      <c r="B11" s="36">
        <v>46028</v>
      </c>
      <c r="C11" s="21" t="s">
        <v>9</v>
      </c>
      <c r="D11" s="60" t="s">
        <v>86</v>
      </c>
      <c r="E11" s="61">
        <v>1000028646</v>
      </c>
      <c r="F11" s="61" t="s">
        <v>36</v>
      </c>
      <c r="G11" s="61" t="s">
        <v>38</v>
      </c>
      <c r="H11" s="62">
        <v>1.0883</v>
      </c>
      <c r="I11" s="22">
        <v>750</v>
      </c>
      <c r="J11" s="63" t="s">
        <v>37</v>
      </c>
      <c r="K11" s="38">
        <f t="shared" ref="K11:K83" si="0">H11*I11</f>
        <v>816.22500000000002</v>
      </c>
    </row>
    <row r="12" spans="1:11" x14ac:dyDescent="0.25">
      <c r="A12" s="21" t="s">
        <v>89</v>
      </c>
      <c r="B12" s="36">
        <v>46028</v>
      </c>
      <c r="C12" s="21" t="s">
        <v>9</v>
      </c>
      <c r="D12" s="60" t="s">
        <v>88</v>
      </c>
      <c r="E12" s="61">
        <v>1000018509</v>
      </c>
      <c r="F12" s="61" t="s">
        <v>44</v>
      </c>
      <c r="G12" s="61" t="s">
        <v>45</v>
      </c>
      <c r="H12" s="62">
        <v>0.3634</v>
      </c>
      <c r="I12" s="22">
        <v>50</v>
      </c>
      <c r="J12" s="63" t="s">
        <v>37</v>
      </c>
      <c r="K12" s="38">
        <f t="shared" si="0"/>
        <v>18.170000000000002</v>
      </c>
    </row>
    <row r="13" spans="1:11" x14ac:dyDescent="0.25">
      <c r="A13" s="21" t="s">
        <v>97</v>
      </c>
      <c r="B13" s="36">
        <v>46028</v>
      </c>
      <c r="C13" s="21" t="s">
        <v>9</v>
      </c>
      <c r="D13" s="60" t="s">
        <v>94</v>
      </c>
      <c r="E13" s="61">
        <v>1100047480</v>
      </c>
      <c r="F13" s="61" t="s">
        <v>72</v>
      </c>
      <c r="G13" s="61" t="s">
        <v>71</v>
      </c>
      <c r="H13" s="62">
        <v>0.37940000000000002</v>
      </c>
      <c r="I13" s="22">
        <v>200</v>
      </c>
      <c r="J13" s="63" t="s">
        <v>37</v>
      </c>
      <c r="K13" s="38">
        <f t="shared" si="0"/>
        <v>75.88000000000001</v>
      </c>
    </row>
    <row r="14" spans="1:11" x14ac:dyDescent="0.25">
      <c r="A14" s="21" t="s">
        <v>97</v>
      </c>
      <c r="B14" s="36">
        <v>46028</v>
      </c>
      <c r="C14" s="21" t="s">
        <v>9</v>
      </c>
      <c r="D14" s="60" t="s">
        <v>94</v>
      </c>
      <c r="E14" s="61">
        <v>1000028645</v>
      </c>
      <c r="F14" s="61" t="s">
        <v>22</v>
      </c>
      <c r="G14" s="61" t="s">
        <v>21</v>
      </c>
      <c r="H14" s="62">
        <v>0.1326</v>
      </c>
      <c r="I14" s="22">
        <v>3200</v>
      </c>
      <c r="J14" s="63" t="s">
        <v>39</v>
      </c>
      <c r="K14" s="38">
        <f t="shared" si="0"/>
        <v>424.32</v>
      </c>
    </row>
    <row r="15" spans="1:11" x14ac:dyDescent="0.25">
      <c r="A15" s="21" t="s">
        <v>102</v>
      </c>
      <c r="B15" s="36">
        <v>46028</v>
      </c>
      <c r="C15" s="21" t="s">
        <v>9</v>
      </c>
      <c r="D15" s="60" t="s">
        <v>98</v>
      </c>
      <c r="E15" s="61">
        <v>1000016160</v>
      </c>
      <c r="F15" s="61" t="s">
        <v>93</v>
      </c>
      <c r="G15" s="61" t="s">
        <v>92</v>
      </c>
      <c r="H15" s="62">
        <v>0.2409</v>
      </c>
      <c r="I15" s="22">
        <v>2000</v>
      </c>
      <c r="J15" s="63" t="s">
        <v>99</v>
      </c>
      <c r="K15" s="38">
        <f t="shared" si="0"/>
        <v>481.8</v>
      </c>
    </row>
    <row r="16" spans="1:11" x14ac:dyDescent="0.25">
      <c r="A16" s="21" t="s">
        <v>101</v>
      </c>
      <c r="B16" s="36">
        <v>46028</v>
      </c>
      <c r="C16" s="21" t="s">
        <v>9</v>
      </c>
      <c r="D16" s="60" t="s">
        <v>95</v>
      </c>
      <c r="E16" s="61">
        <v>1100130959</v>
      </c>
      <c r="F16" s="61" t="s">
        <v>100</v>
      </c>
      <c r="G16" s="61" t="s">
        <v>96</v>
      </c>
      <c r="H16" s="62">
        <v>0.78439999999999999</v>
      </c>
      <c r="I16" s="22">
        <v>1600</v>
      </c>
      <c r="J16" s="63" t="s">
        <v>103</v>
      </c>
      <c r="K16" s="38">
        <f t="shared" si="0"/>
        <v>1255.04</v>
      </c>
    </row>
    <row r="17" spans="1:11" x14ac:dyDescent="0.25">
      <c r="A17" s="21" t="s">
        <v>107</v>
      </c>
      <c r="B17" s="36">
        <v>46028</v>
      </c>
      <c r="C17" s="21" t="s">
        <v>9</v>
      </c>
      <c r="D17" s="21" t="s">
        <v>105</v>
      </c>
      <c r="E17" s="21">
        <v>1100023611</v>
      </c>
      <c r="F17" s="21" t="s">
        <v>64</v>
      </c>
      <c r="G17" s="21" t="s">
        <v>65</v>
      </c>
      <c r="H17" s="62">
        <v>1.4132</v>
      </c>
      <c r="I17" s="64">
        <v>5000</v>
      </c>
      <c r="J17" s="59" t="s">
        <v>37</v>
      </c>
      <c r="K17" s="38">
        <f t="shared" si="0"/>
        <v>7066</v>
      </c>
    </row>
    <row r="18" spans="1:11" x14ac:dyDescent="0.25">
      <c r="A18" s="65" t="s">
        <v>114</v>
      </c>
      <c r="B18" s="66">
        <v>46028</v>
      </c>
      <c r="C18" s="65" t="s">
        <v>9</v>
      </c>
      <c r="D18" s="67" t="s">
        <v>113</v>
      </c>
      <c r="E18" s="68">
        <v>1000024560</v>
      </c>
      <c r="F18" s="68" t="s">
        <v>49</v>
      </c>
      <c r="G18" s="68" t="s">
        <v>50</v>
      </c>
      <c r="H18" s="69">
        <v>0.23849999999999999</v>
      </c>
      <c r="I18" s="70">
        <v>300</v>
      </c>
      <c r="J18" s="71" t="s">
        <v>46</v>
      </c>
      <c r="K18" s="38">
        <f t="shared" si="0"/>
        <v>71.55</v>
      </c>
    </row>
    <row r="19" spans="1:11" x14ac:dyDescent="0.25">
      <c r="A19" s="65" t="s">
        <v>120</v>
      </c>
      <c r="B19" s="66">
        <v>46028</v>
      </c>
      <c r="C19" s="65" t="s">
        <v>9</v>
      </c>
      <c r="D19" s="67" t="s">
        <v>115</v>
      </c>
      <c r="E19" s="68">
        <v>1000016232</v>
      </c>
      <c r="F19" s="68" t="s">
        <v>54</v>
      </c>
      <c r="G19" s="68" t="s">
        <v>55</v>
      </c>
      <c r="H19" s="69">
        <v>0.37069999999999997</v>
      </c>
      <c r="I19" s="70">
        <v>110</v>
      </c>
      <c r="J19" s="71" t="s">
        <v>46</v>
      </c>
      <c r="K19" s="38">
        <f t="shared" si="0"/>
        <v>40.776999999999994</v>
      </c>
    </row>
    <row r="20" spans="1:11" x14ac:dyDescent="0.25">
      <c r="A20" s="65" t="s">
        <v>52</v>
      </c>
      <c r="B20" s="66">
        <v>46028</v>
      </c>
      <c r="C20" s="21" t="s">
        <v>9</v>
      </c>
      <c r="D20" s="60" t="s">
        <v>116</v>
      </c>
      <c r="E20" s="61">
        <v>1000024577</v>
      </c>
      <c r="F20" s="61" t="s">
        <v>59</v>
      </c>
      <c r="G20" s="61" t="s">
        <v>60</v>
      </c>
      <c r="H20" s="62">
        <v>0.23119999999999999</v>
      </c>
      <c r="I20" s="22">
        <v>2900</v>
      </c>
      <c r="J20" s="63" t="s">
        <v>117</v>
      </c>
      <c r="K20" s="38">
        <f t="shared" si="0"/>
        <v>670.48</v>
      </c>
    </row>
    <row r="21" spans="1:11" x14ac:dyDescent="0.25">
      <c r="A21" s="65" t="s">
        <v>51</v>
      </c>
      <c r="B21" s="66">
        <v>46028</v>
      </c>
      <c r="C21" s="65" t="s">
        <v>9</v>
      </c>
      <c r="D21" s="67" t="s">
        <v>118</v>
      </c>
      <c r="E21" s="68">
        <v>1000016259</v>
      </c>
      <c r="F21" s="68" t="s">
        <v>91</v>
      </c>
      <c r="G21" s="68" t="s">
        <v>90</v>
      </c>
      <c r="H21" s="69">
        <v>0.49</v>
      </c>
      <c r="I21" s="70">
        <v>100</v>
      </c>
      <c r="J21" s="71" t="s">
        <v>46</v>
      </c>
      <c r="K21" s="38">
        <f t="shared" si="0"/>
        <v>49</v>
      </c>
    </row>
    <row r="22" spans="1:11" x14ac:dyDescent="0.25">
      <c r="A22" s="65" t="s">
        <v>123</v>
      </c>
      <c r="B22" s="66">
        <v>46028</v>
      </c>
      <c r="C22" s="65" t="s">
        <v>9</v>
      </c>
      <c r="D22" s="67" t="s">
        <v>121</v>
      </c>
      <c r="E22" s="68">
        <v>1000016355</v>
      </c>
      <c r="F22" s="68" t="s">
        <v>78</v>
      </c>
      <c r="G22" s="68" t="s">
        <v>79</v>
      </c>
      <c r="H22" s="69">
        <v>0.54500000000000004</v>
      </c>
      <c r="I22" s="70">
        <v>300</v>
      </c>
      <c r="J22" s="71" t="s">
        <v>46</v>
      </c>
      <c r="K22" s="38">
        <f t="shared" si="0"/>
        <v>163.5</v>
      </c>
    </row>
    <row r="23" spans="1:11" x14ac:dyDescent="0.25">
      <c r="A23" s="65" t="s">
        <v>126</v>
      </c>
      <c r="B23" s="66">
        <v>46028</v>
      </c>
      <c r="C23" s="65" t="s">
        <v>9</v>
      </c>
      <c r="D23" s="67" t="s">
        <v>124</v>
      </c>
      <c r="E23" s="68">
        <v>1000016149</v>
      </c>
      <c r="F23" s="68" t="s">
        <v>17</v>
      </c>
      <c r="G23" s="68" t="s">
        <v>16</v>
      </c>
      <c r="H23" s="69">
        <v>0.2117</v>
      </c>
      <c r="I23" s="70">
        <v>6000</v>
      </c>
      <c r="J23" s="71" t="s">
        <v>125</v>
      </c>
      <c r="K23" s="38">
        <f t="shared" si="0"/>
        <v>1270.2</v>
      </c>
    </row>
    <row r="24" spans="1:11" x14ac:dyDescent="0.25">
      <c r="A24" s="65" t="s">
        <v>140</v>
      </c>
      <c r="B24" s="66">
        <v>46028</v>
      </c>
      <c r="C24" s="65" t="s">
        <v>9</v>
      </c>
      <c r="D24" s="67" t="s">
        <v>134</v>
      </c>
      <c r="E24" s="68">
        <v>1100022003</v>
      </c>
      <c r="F24" s="68" t="s">
        <v>40</v>
      </c>
      <c r="G24" s="68" t="s">
        <v>41</v>
      </c>
      <c r="H24" s="69">
        <v>0.69669999999999999</v>
      </c>
      <c r="I24" s="70">
        <v>600</v>
      </c>
      <c r="J24" s="71" t="s">
        <v>135</v>
      </c>
      <c r="K24" s="38">
        <f t="shared" si="0"/>
        <v>418.02</v>
      </c>
    </row>
    <row r="25" spans="1:11" x14ac:dyDescent="0.25">
      <c r="A25" s="65" t="s">
        <v>156</v>
      </c>
      <c r="B25" s="66">
        <v>46028</v>
      </c>
      <c r="C25" s="65" t="s">
        <v>9</v>
      </c>
      <c r="D25" s="67" t="s">
        <v>148</v>
      </c>
      <c r="E25" s="68">
        <v>1100044565</v>
      </c>
      <c r="F25" s="68" t="s">
        <v>32</v>
      </c>
      <c r="G25" s="68" t="s">
        <v>31</v>
      </c>
      <c r="H25" s="69">
        <v>0.20019999999999999</v>
      </c>
      <c r="I25" s="70">
        <v>5557</v>
      </c>
      <c r="J25" s="71" t="s">
        <v>149</v>
      </c>
      <c r="K25" s="38">
        <f t="shared" si="0"/>
        <v>1112.5113999999999</v>
      </c>
    </row>
    <row r="26" spans="1:11" x14ac:dyDescent="0.25">
      <c r="A26" s="65" t="s">
        <v>160</v>
      </c>
      <c r="B26" s="66">
        <v>46028</v>
      </c>
      <c r="C26" s="21" t="s">
        <v>9</v>
      </c>
      <c r="D26" s="21" t="s">
        <v>158</v>
      </c>
      <c r="E26" s="21">
        <v>1000016211</v>
      </c>
      <c r="F26" s="21" t="s">
        <v>47</v>
      </c>
      <c r="G26" s="21" t="s">
        <v>48</v>
      </c>
      <c r="H26" s="69">
        <v>0.1862</v>
      </c>
      <c r="I26" s="70">
        <v>2000</v>
      </c>
      <c r="J26" s="59" t="s">
        <v>46</v>
      </c>
      <c r="K26" s="38">
        <f t="shared" si="0"/>
        <v>372.40000000000003</v>
      </c>
    </row>
    <row r="27" spans="1:11" x14ac:dyDescent="0.25">
      <c r="A27" s="65" t="s">
        <v>161</v>
      </c>
      <c r="B27" s="66">
        <v>46028</v>
      </c>
      <c r="C27" s="21" t="s">
        <v>9</v>
      </c>
      <c r="D27" s="21" t="s">
        <v>159</v>
      </c>
      <c r="E27" s="21">
        <v>1100061531</v>
      </c>
      <c r="F27" s="21" t="s">
        <v>63</v>
      </c>
      <c r="G27" s="21" t="s">
        <v>62</v>
      </c>
      <c r="H27" s="69">
        <v>1.6396999999999999</v>
      </c>
      <c r="I27" s="70">
        <v>200</v>
      </c>
      <c r="J27" s="59" t="s">
        <v>82</v>
      </c>
      <c r="K27" s="38">
        <f t="shared" si="0"/>
        <v>327.94</v>
      </c>
    </row>
    <row r="28" spans="1:11" x14ac:dyDescent="0.25">
      <c r="A28" s="65" t="s">
        <v>170</v>
      </c>
      <c r="B28" s="66">
        <v>46028</v>
      </c>
      <c r="C28" s="21" t="s">
        <v>9</v>
      </c>
      <c r="D28" s="21" t="s">
        <v>165</v>
      </c>
      <c r="E28" s="21">
        <v>1000008737</v>
      </c>
      <c r="F28" s="21" t="s">
        <v>33</v>
      </c>
      <c r="G28" s="21" t="s">
        <v>34</v>
      </c>
      <c r="H28" s="69">
        <v>0.24990000000000001</v>
      </c>
      <c r="I28" s="70">
        <v>2250</v>
      </c>
      <c r="J28" s="59" t="s">
        <v>167</v>
      </c>
      <c r="K28" s="38">
        <f t="shared" si="0"/>
        <v>562.27499999999998</v>
      </c>
    </row>
    <row r="29" spans="1:11" x14ac:dyDescent="0.25">
      <c r="A29" s="65" t="s">
        <v>168</v>
      </c>
      <c r="B29" s="66">
        <v>46028</v>
      </c>
      <c r="C29" s="21" t="s">
        <v>9</v>
      </c>
      <c r="D29" s="21" t="s">
        <v>162</v>
      </c>
      <c r="E29" s="21">
        <v>1000016230</v>
      </c>
      <c r="F29" s="21" t="s">
        <v>23</v>
      </c>
      <c r="G29" s="21" t="s">
        <v>24</v>
      </c>
      <c r="H29" s="69">
        <v>0.43</v>
      </c>
      <c r="I29" s="70">
        <v>500</v>
      </c>
      <c r="J29" s="59" t="s">
        <v>37</v>
      </c>
      <c r="K29" s="38">
        <f t="shared" si="0"/>
        <v>215</v>
      </c>
    </row>
    <row r="30" spans="1:11" x14ac:dyDescent="0.25">
      <c r="A30" s="65" t="s">
        <v>187</v>
      </c>
      <c r="B30" s="66">
        <v>46028</v>
      </c>
      <c r="C30" s="21" t="s">
        <v>9</v>
      </c>
      <c r="D30" s="21" t="s">
        <v>178</v>
      </c>
      <c r="E30" s="21">
        <v>1000016188</v>
      </c>
      <c r="F30" s="72" t="s">
        <v>80</v>
      </c>
      <c r="G30" s="21" t="s">
        <v>81</v>
      </c>
      <c r="H30" s="62">
        <v>0.32900000000000001</v>
      </c>
      <c r="I30" s="64">
        <v>100</v>
      </c>
      <c r="J30" s="59" t="s">
        <v>46</v>
      </c>
      <c r="K30" s="38">
        <f t="shared" si="0"/>
        <v>32.9</v>
      </c>
    </row>
    <row r="31" spans="1:11" x14ac:dyDescent="0.25">
      <c r="A31" s="101" t="s">
        <v>128</v>
      </c>
      <c r="B31" s="101"/>
      <c r="C31" s="101"/>
      <c r="D31" s="101"/>
      <c r="E31" s="101"/>
      <c r="F31" s="101"/>
      <c r="G31" s="101"/>
      <c r="H31" s="101"/>
      <c r="I31" s="101"/>
      <c r="J31" s="101"/>
    </row>
    <row r="32" spans="1:11" x14ac:dyDescent="0.25">
      <c r="A32" s="21" t="s">
        <v>101</v>
      </c>
      <c r="B32" s="36">
        <v>46056</v>
      </c>
      <c r="C32" s="21" t="s">
        <v>9</v>
      </c>
      <c r="D32" s="60" t="s">
        <v>95</v>
      </c>
      <c r="E32" s="61">
        <v>1100130959</v>
      </c>
      <c r="F32" s="61" t="s">
        <v>100</v>
      </c>
      <c r="G32" s="61" t="s">
        <v>96</v>
      </c>
      <c r="H32" s="62">
        <v>0.78439999999999999</v>
      </c>
      <c r="I32" s="22">
        <v>1600</v>
      </c>
      <c r="J32" s="63" t="s">
        <v>37</v>
      </c>
      <c r="K32" s="38">
        <f t="shared" si="0"/>
        <v>1255.04</v>
      </c>
    </row>
    <row r="33" spans="1:11" x14ac:dyDescent="0.25">
      <c r="A33" s="21" t="s">
        <v>122</v>
      </c>
      <c r="B33" s="36">
        <v>46056</v>
      </c>
      <c r="C33" s="21" t="s">
        <v>9</v>
      </c>
      <c r="D33" s="60" t="s">
        <v>119</v>
      </c>
      <c r="E33" s="61">
        <v>1000016186</v>
      </c>
      <c r="F33" s="61" t="s">
        <v>67</v>
      </c>
      <c r="G33" s="61" t="s">
        <v>68</v>
      </c>
      <c r="H33" s="62">
        <v>0.29010000000000002</v>
      </c>
      <c r="I33" s="22">
        <v>100</v>
      </c>
      <c r="J33" s="63" t="s">
        <v>37</v>
      </c>
      <c r="K33" s="38">
        <f t="shared" si="0"/>
        <v>29.01</v>
      </c>
    </row>
    <row r="34" spans="1:11" x14ac:dyDescent="0.25">
      <c r="A34" s="65" t="s">
        <v>138</v>
      </c>
      <c r="B34" s="36">
        <v>46056</v>
      </c>
      <c r="C34" s="65" t="s">
        <v>9</v>
      </c>
      <c r="D34" s="67" t="s">
        <v>132</v>
      </c>
      <c r="E34" s="68">
        <v>1100133962</v>
      </c>
      <c r="F34" s="68" t="s">
        <v>139</v>
      </c>
      <c r="G34" s="68" t="s">
        <v>131</v>
      </c>
      <c r="H34" s="69">
        <v>0.49170000000000003</v>
      </c>
      <c r="I34" s="70">
        <v>450</v>
      </c>
      <c r="J34" s="71" t="s">
        <v>133</v>
      </c>
      <c r="K34" s="38">
        <f t="shared" si="0"/>
        <v>221.26500000000001</v>
      </c>
    </row>
    <row r="35" spans="1:11" x14ac:dyDescent="0.25">
      <c r="A35" s="65" t="s">
        <v>141</v>
      </c>
      <c r="B35" s="36">
        <v>46056</v>
      </c>
      <c r="C35" s="65" t="s">
        <v>9</v>
      </c>
      <c r="D35" s="67" t="s">
        <v>136</v>
      </c>
      <c r="E35" s="68">
        <v>1000016160</v>
      </c>
      <c r="F35" s="61" t="s">
        <v>93</v>
      </c>
      <c r="G35" s="61" t="s">
        <v>92</v>
      </c>
      <c r="H35" s="62">
        <v>0.2409</v>
      </c>
      <c r="I35" s="22">
        <v>5000</v>
      </c>
      <c r="J35" s="63" t="s">
        <v>137</v>
      </c>
      <c r="K35" s="38">
        <f t="shared" si="0"/>
        <v>1204.5</v>
      </c>
    </row>
    <row r="36" spans="1:11" x14ac:dyDescent="0.25">
      <c r="A36" s="65" t="s">
        <v>146</v>
      </c>
      <c r="B36" s="36">
        <v>46056</v>
      </c>
      <c r="C36" s="65" t="s">
        <v>9</v>
      </c>
      <c r="D36" s="67" t="s">
        <v>142</v>
      </c>
      <c r="E36" s="68">
        <v>1000016191</v>
      </c>
      <c r="F36" s="61" t="s">
        <v>18</v>
      </c>
      <c r="G36" s="61" t="s">
        <v>20</v>
      </c>
      <c r="H36" s="62">
        <v>0.1386</v>
      </c>
      <c r="I36" s="22">
        <v>1000</v>
      </c>
      <c r="J36" s="63" t="s">
        <v>143</v>
      </c>
      <c r="K36" s="38">
        <f t="shared" si="0"/>
        <v>138.6</v>
      </c>
    </row>
    <row r="37" spans="1:11" x14ac:dyDescent="0.25">
      <c r="A37" s="65" t="s">
        <v>150</v>
      </c>
      <c r="B37" s="36">
        <v>46056</v>
      </c>
      <c r="C37" s="65" t="s">
        <v>9</v>
      </c>
      <c r="D37" s="67" t="s">
        <v>144</v>
      </c>
      <c r="E37" s="68">
        <v>1000016149</v>
      </c>
      <c r="F37" s="68" t="s">
        <v>17</v>
      </c>
      <c r="G37" s="68" t="s">
        <v>16</v>
      </c>
      <c r="H37" s="69">
        <v>0.2117</v>
      </c>
      <c r="I37" s="70">
        <v>6000</v>
      </c>
      <c r="J37" s="71" t="s">
        <v>145</v>
      </c>
      <c r="K37" s="38">
        <f t="shared" si="0"/>
        <v>1270.2</v>
      </c>
    </row>
    <row r="38" spans="1:11" x14ac:dyDescent="0.25">
      <c r="A38" s="65" t="s">
        <v>155</v>
      </c>
      <c r="B38" s="36">
        <v>46056</v>
      </c>
      <c r="C38" s="65" t="s">
        <v>9</v>
      </c>
      <c r="D38" s="67" t="s">
        <v>147</v>
      </c>
      <c r="E38" s="68">
        <v>1100113473</v>
      </c>
      <c r="F38" s="68" t="s">
        <v>70</v>
      </c>
      <c r="G38" s="68" t="s">
        <v>69</v>
      </c>
      <c r="H38" s="69">
        <v>5.35</v>
      </c>
      <c r="I38" s="70">
        <v>30</v>
      </c>
      <c r="J38" s="71" t="s">
        <v>37</v>
      </c>
      <c r="K38" s="38">
        <f t="shared" si="0"/>
        <v>160.5</v>
      </c>
    </row>
    <row r="39" spans="1:11" x14ac:dyDescent="0.25">
      <c r="A39" s="65" t="s">
        <v>61</v>
      </c>
      <c r="B39" s="36">
        <v>46056</v>
      </c>
      <c r="C39" s="21" t="s">
        <v>9</v>
      </c>
      <c r="D39" s="21" t="s">
        <v>151</v>
      </c>
      <c r="E39" s="21">
        <v>1000016232</v>
      </c>
      <c r="F39" s="21" t="s">
        <v>54</v>
      </c>
      <c r="G39" s="21" t="s">
        <v>55</v>
      </c>
      <c r="H39" s="69">
        <v>0.37069999999999997</v>
      </c>
      <c r="I39" s="21">
        <v>150</v>
      </c>
      <c r="J39" s="59" t="s">
        <v>46</v>
      </c>
      <c r="K39" s="38">
        <f t="shared" si="0"/>
        <v>55.604999999999997</v>
      </c>
    </row>
    <row r="40" spans="1:11" x14ac:dyDescent="0.25">
      <c r="A40" s="65" t="s">
        <v>157</v>
      </c>
      <c r="B40" s="36">
        <v>46056</v>
      </c>
      <c r="C40" s="21" t="s">
        <v>9</v>
      </c>
      <c r="D40" s="21" t="s">
        <v>152</v>
      </c>
      <c r="E40" s="21">
        <v>1100019441</v>
      </c>
      <c r="F40" s="21" t="s">
        <v>154</v>
      </c>
      <c r="G40" s="21" t="s">
        <v>153</v>
      </c>
      <c r="H40" s="69">
        <v>1.4</v>
      </c>
      <c r="I40" s="21">
        <v>2000</v>
      </c>
      <c r="J40" s="59" t="s">
        <v>46</v>
      </c>
      <c r="K40" s="38">
        <f t="shared" si="0"/>
        <v>2800</v>
      </c>
    </row>
    <row r="41" spans="1:11" x14ac:dyDescent="0.25">
      <c r="A41" s="65" t="s">
        <v>169</v>
      </c>
      <c r="B41" s="36">
        <v>46056</v>
      </c>
      <c r="C41" s="21" t="s">
        <v>9</v>
      </c>
      <c r="D41" s="21" t="s">
        <v>163</v>
      </c>
      <c r="E41" s="21">
        <v>1000016232</v>
      </c>
      <c r="F41" s="21" t="s">
        <v>54</v>
      </c>
      <c r="G41" s="21" t="s">
        <v>55</v>
      </c>
      <c r="H41" s="69">
        <v>0.37069999999999997</v>
      </c>
      <c r="I41" s="21">
        <v>230</v>
      </c>
      <c r="J41" s="59" t="s">
        <v>46</v>
      </c>
      <c r="K41" s="38">
        <f t="shared" si="0"/>
        <v>85.260999999999996</v>
      </c>
    </row>
    <row r="42" spans="1:11" x14ac:dyDescent="0.25">
      <c r="A42" s="65" t="s">
        <v>171</v>
      </c>
      <c r="B42" s="36">
        <v>46056</v>
      </c>
      <c r="C42" s="21" t="s">
        <v>9</v>
      </c>
      <c r="D42" s="21" t="s">
        <v>164</v>
      </c>
      <c r="E42" s="21">
        <v>1100128638</v>
      </c>
      <c r="F42" s="21" t="s">
        <v>104</v>
      </c>
      <c r="G42" s="21" t="s">
        <v>85</v>
      </c>
      <c r="H42" s="69">
        <v>0.39029999999999998</v>
      </c>
      <c r="I42" s="70">
        <v>15000</v>
      </c>
      <c r="J42" s="59" t="s">
        <v>185</v>
      </c>
      <c r="K42" s="38">
        <f t="shared" si="0"/>
        <v>5854.5</v>
      </c>
    </row>
    <row r="43" spans="1:11" x14ac:dyDescent="0.25">
      <c r="A43" s="72" t="s">
        <v>66</v>
      </c>
      <c r="B43" s="21"/>
      <c r="C43" s="21" t="s">
        <v>9</v>
      </c>
      <c r="D43" s="21" t="s">
        <v>83</v>
      </c>
      <c r="E43" s="21">
        <v>1100128649</v>
      </c>
      <c r="F43" s="72" t="s">
        <v>66</v>
      </c>
      <c r="G43" s="21" t="s">
        <v>84</v>
      </c>
      <c r="H43" s="84">
        <v>4700</v>
      </c>
      <c r="I43" s="64">
        <v>1</v>
      </c>
      <c r="J43" s="59"/>
      <c r="K43" s="38">
        <f t="shared" si="0"/>
        <v>4700</v>
      </c>
    </row>
    <row r="44" spans="1:11" x14ac:dyDescent="0.25">
      <c r="A44" s="72" t="s">
        <v>175</v>
      </c>
      <c r="B44" s="36">
        <v>46056</v>
      </c>
      <c r="C44" s="21" t="s">
        <v>9</v>
      </c>
      <c r="D44" s="21" t="s">
        <v>172</v>
      </c>
      <c r="E44" s="21">
        <v>1000024577</v>
      </c>
      <c r="F44" s="72" t="s">
        <v>59</v>
      </c>
      <c r="G44" s="21" t="s">
        <v>60</v>
      </c>
      <c r="H44" s="62">
        <v>0.23119999999999999</v>
      </c>
      <c r="I44" s="64">
        <v>5500</v>
      </c>
      <c r="J44" s="59" t="s">
        <v>117</v>
      </c>
      <c r="K44" s="38">
        <f t="shared" si="0"/>
        <v>1271.5999999999999</v>
      </c>
    </row>
    <row r="45" spans="1:11" x14ac:dyDescent="0.25">
      <c r="A45" s="72" t="s">
        <v>188</v>
      </c>
      <c r="B45" s="36">
        <v>46056</v>
      </c>
      <c r="C45" s="21" t="s">
        <v>9</v>
      </c>
      <c r="D45" s="21" t="s">
        <v>179</v>
      </c>
      <c r="E45" s="21">
        <v>1000024560</v>
      </c>
      <c r="F45" s="72" t="s">
        <v>49</v>
      </c>
      <c r="G45" s="21" t="s">
        <v>50</v>
      </c>
      <c r="H45" s="62">
        <v>0.23849999999999999</v>
      </c>
      <c r="I45" s="85">
        <v>400</v>
      </c>
      <c r="J45" s="59" t="s">
        <v>46</v>
      </c>
      <c r="K45" s="38">
        <f t="shared" si="0"/>
        <v>95.399999999999991</v>
      </c>
    </row>
    <row r="46" spans="1:11" x14ac:dyDescent="0.25">
      <c r="A46" s="72" t="s">
        <v>189</v>
      </c>
      <c r="B46" s="36">
        <v>46056</v>
      </c>
      <c r="C46" s="21" t="s">
        <v>9</v>
      </c>
      <c r="D46" s="21" t="s">
        <v>180</v>
      </c>
      <c r="E46" s="21">
        <v>1000016186</v>
      </c>
      <c r="F46" s="72" t="s">
        <v>67</v>
      </c>
      <c r="G46" s="21" t="s">
        <v>68</v>
      </c>
      <c r="H46" s="62">
        <v>0.17599999999999999</v>
      </c>
      <c r="I46" s="64">
        <v>2000</v>
      </c>
      <c r="J46" s="59" t="s">
        <v>37</v>
      </c>
      <c r="K46" s="38">
        <f t="shared" si="0"/>
        <v>352</v>
      </c>
    </row>
    <row r="47" spans="1:11" x14ac:dyDescent="0.25">
      <c r="A47" s="72" t="s">
        <v>200</v>
      </c>
      <c r="B47" s="36">
        <v>46056</v>
      </c>
      <c r="C47" s="21" t="s">
        <v>9</v>
      </c>
      <c r="D47" s="21" t="s">
        <v>196</v>
      </c>
      <c r="E47" s="21">
        <v>1000016307</v>
      </c>
      <c r="F47" s="72" t="s">
        <v>56</v>
      </c>
      <c r="G47" s="21" t="s">
        <v>57</v>
      </c>
      <c r="H47" s="62">
        <v>1.8079000000000001</v>
      </c>
      <c r="I47" s="64">
        <v>700</v>
      </c>
      <c r="J47" s="59" t="s">
        <v>58</v>
      </c>
      <c r="K47" s="38">
        <f t="shared" si="0"/>
        <v>1265.53</v>
      </c>
    </row>
    <row r="48" spans="1:11" x14ac:dyDescent="0.25">
      <c r="A48" s="72" t="s">
        <v>201</v>
      </c>
      <c r="B48" s="36">
        <v>46056</v>
      </c>
      <c r="C48" s="21" t="s">
        <v>9</v>
      </c>
      <c r="D48" s="21" t="s">
        <v>197</v>
      </c>
      <c r="E48" s="21">
        <v>1000024576</v>
      </c>
      <c r="F48" s="72" t="s">
        <v>42</v>
      </c>
      <c r="G48" s="21" t="s">
        <v>43</v>
      </c>
      <c r="H48" s="62">
        <v>0.46510000000000001</v>
      </c>
      <c r="I48" s="64">
        <v>5120</v>
      </c>
      <c r="J48" s="59" t="s">
        <v>106</v>
      </c>
      <c r="K48" s="38">
        <f t="shared" si="0"/>
        <v>2381.3119999999999</v>
      </c>
    </row>
    <row r="49" spans="1:11" x14ac:dyDescent="0.25">
      <c r="A49" s="72" t="s">
        <v>208</v>
      </c>
      <c r="B49" s="36">
        <v>46056</v>
      </c>
      <c r="C49" s="21" t="s">
        <v>9</v>
      </c>
      <c r="D49" s="21" t="s">
        <v>202</v>
      </c>
      <c r="E49" s="21">
        <v>1000024524</v>
      </c>
      <c r="F49" s="72" t="s">
        <v>203</v>
      </c>
      <c r="G49" s="21" t="s">
        <v>204</v>
      </c>
      <c r="H49" s="62">
        <v>0.3614</v>
      </c>
      <c r="I49" s="64">
        <v>150</v>
      </c>
      <c r="J49" s="59" t="s">
        <v>37</v>
      </c>
      <c r="K49" s="38">
        <f t="shared" si="0"/>
        <v>54.21</v>
      </c>
    </row>
    <row r="50" spans="1:11" x14ac:dyDescent="0.25">
      <c r="A50" s="72" t="s">
        <v>221</v>
      </c>
      <c r="B50" s="36">
        <v>46056</v>
      </c>
      <c r="C50" s="21" t="s">
        <v>9</v>
      </c>
      <c r="D50" s="21" t="s">
        <v>209</v>
      </c>
      <c r="E50" s="21">
        <v>1100063534</v>
      </c>
      <c r="F50" s="72" t="s">
        <v>210</v>
      </c>
      <c r="G50" s="21" t="s">
        <v>211</v>
      </c>
      <c r="H50" s="62">
        <v>1.8597999999999999</v>
      </c>
      <c r="I50" s="64">
        <v>40</v>
      </c>
      <c r="J50" s="59" t="s">
        <v>37</v>
      </c>
      <c r="K50" s="38">
        <f t="shared" si="0"/>
        <v>74.391999999999996</v>
      </c>
    </row>
    <row r="51" spans="1:11" x14ac:dyDescent="0.25">
      <c r="A51" s="72" t="s">
        <v>221</v>
      </c>
      <c r="B51" s="36">
        <v>46056</v>
      </c>
      <c r="C51" s="21" t="s">
        <v>9</v>
      </c>
      <c r="D51" s="21" t="s">
        <v>209</v>
      </c>
      <c r="E51" s="21">
        <v>1000016256</v>
      </c>
      <c r="F51" s="72" t="s">
        <v>212</v>
      </c>
      <c r="G51" s="21" t="s">
        <v>213</v>
      </c>
      <c r="H51" s="62">
        <v>0.44690000000000002</v>
      </c>
      <c r="I51" s="64">
        <v>150</v>
      </c>
      <c r="J51" s="59" t="s">
        <v>37</v>
      </c>
      <c r="K51" s="38">
        <f t="shared" si="0"/>
        <v>67.034999999999997</v>
      </c>
    </row>
    <row r="52" spans="1:11" x14ac:dyDescent="0.25">
      <c r="A52" s="72" t="s">
        <v>237</v>
      </c>
      <c r="B52" s="36">
        <v>46056</v>
      </c>
      <c r="C52" s="21" t="s">
        <v>9</v>
      </c>
      <c r="D52" s="21" t="s">
        <v>226</v>
      </c>
      <c r="E52" s="21">
        <v>1000028679</v>
      </c>
      <c r="F52" s="21" t="s">
        <v>227</v>
      </c>
      <c r="G52" s="21" t="s">
        <v>228</v>
      </c>
      <c r="H52" s="62">
        <v>0.70630000000000004</v>
      </c>
      <c r="I52" s="64">
        <v>1000</v>
      </c>
      <c r="J52" s="59" t="s">
        <v>46</v>
      </c>
      <c r="K52" s="38">
        <f t="shared" si="0"/>
        <v>706.30000000000007</v>
      </c>
    </row>
    <row r="53" spans="1:11" x14ac:dyDescent="0.25">
      <c r="A53" s="72" t="s">
        <v>237</v>
      </c>
      <c r="B53" s="36">
        <v>46056</v>
      </c>
      <c r="C53" s="21" t="s">
        <v>9</v>
      </c>
      <c r="D53" s="21" t="s">
        <v>226</v>
      </c>
      <c r="E53" s="21">
        <v>1000016280</v>
      </c>
      <c r="F53" s="21" t="s">
        <v>229</v>
      </c>
      <c r="G53" s="21" t="s">
        <v>230</v>
      </c>
      <c r="H53" s="62">
        <v>0.62119999999999997</v>
      </c>
      <c r="I53" s="64">
        <v>360</v>
      </c>
      <c r="J53" s="59" t="s">
        <v>37</v>
      </c>
      <c r="K53" s="38">
        <f t="shared" si="0"/>
        <v>223.63200000000001</v>
      </c>
    </row>
    <row r="54" spans="1:11" x14ac:dyDescent="0.25">
      <c r="A54" s="72" t="s">
        <v>242</v>
      </c>
      <c r="B54" s="36">
        <v>46056</v>
      </c>
      <c r="C54" s="21" t="s">
        <v>9</v>
      </c>
      <c r="D54" s="21" t="s">
        <v>234</v>
      </c>
      <c r="E54" s="21">
        <v>1000016247</v>
      </c>
      <c r="F54" s="21" t="s">
        <v>235</v>
      </c>
      <c r="G54" s="21" t="s">
        <v>236</v>
      </c>
      <c r="H54" s="62">
        <v>0.14860000000000001</v>
      </c>
      <c r="I54" s="64">
        <v>500</v>
      </c>
      <c r="J54" s="59" t="s">
        <v>37</v>
      </c>
      <c r="K54" s="38">
        <f t="shared" si="0"/>
        <v>74.300000000000011</v>
      </c>
    </row>
    <row r="55" spans="1:11" x14ac:dyDescent="0.25">
      <c r="A55" s="72" t="s">
        <v>244</v>
      </c>
      <c r="B55" s="36">
        <v>46056</v>
      </c>
      <c r="C55" s="21" t="s">
        <v>9</v>
      </c>
      <c r="D55" s="21" t="s">
        <v>238</v>
      </c>
      <c r="E55" s="21">
        <v>1000016189</v>
      </c>
      <c r="F55" s="21" t="s">
        <v>239</v>
      </c>
      <c r="G55" s="21" t="s">
        <v>240</v>
      </c>
      <c r="H55" s="62">
        <v>0.1515</v>
      </c>
      <c r="I55" s="64">
        <v>1100</v>
      </c>
      <c r="J55" s="59" t="s">
        <v>241</v>
      </c>
      <c r="K55" s="38">
        <f t="shared" si="0"/>
        <v>166.65</v>
      </c>
    </row>
    <row r="56" spans="1:11" x14ac:dyDescent="0.25">
      <c r="A56" s="72" t="s">
        <v>252</v>
      </c>
      <c r="B56" s="36">
        <v>46056</v>
      </c>
      <c r="C56" s="21" t="s">
        <v>9</v>
      </c>
      <c r="D56" s="21" t="s">
        <v>251</v>
      </c>
      <c r="E56" s="21">
        <v>1000024560</v>
      </c>
      <c r="F56" s="21" t="s">
        <v>49</v>
      </c>
      <c r="G56" s="21" t="s">
        <v>50</v>
      </c>
      <c r="H56" s="62">
        <v>0.20039999999999999</v>
      </c>
      <c r="I56" s="64">
        <v>500</v>
      </c>
      <c r="J56" s="59" t="s">
        <v>46</v>
      </c>
      <c r="K56" s="38">
        <f t="shared" si="0"/>
        <v>100.2</v>
      </c>
    </row>
    <row r="57" spans="1:11" x14ac:dyDescent="0.25">
      <c r="A57" s="101" t="s">
        <v>349</v>
      </c>
      <c r="B57" s="101"/>
      <c r="C57" s="101"/>
      <c r="D57" s="101"/>
      <c r="E57" s="101"/>
      <c r="F57" s="101"/>
      <c r="G57" s="101"/>
      <c r="H57" s="101"/>
      <c r="I57" s="101"/>
      <c r="J57" s="101"/>
    </row>
    <row r="58" spans="1:11" x14ac:dyDescent="0.25">
      <c r="A58" s="21" t="s">
        <v>336</v>
      </c>
      <c r="B58" s="36">
        <v>46070</v>
      </c>
      <c r="C58" s="21" t="s">
        <v>9</v>
      </c>
      <c r="D58" s="21" t="s">
        <v>304</v>
      </c>
      <c r="E58" s="21">
        <v>1000027904</v>
      </c>
      <c r="F58" s="21" t="s">
        <v>112</v>
      </c>
      <c r="G58" s="21" t="s">
        <v>110</v>
      </c>
      <c r="H58" s="62">
        <v>2.5821999999999998</v>
      </c>
      <c r="I58" s="22">
        <v>500</v>
      </c>
      <c r="J58" s="59" t="s">
        <v>308</v>
      </c>
      <c r="K58" s="38">
        <f t="shared" si="0"/>
        <v>1291.0999999999999</v>
      </c>
    </row>
    <row r="59" spans="1:11" x14ac:dyDescent="0.25">
      <c r="A59" s="21"/>
      <c r="B59" s="36"/>
      <c r="C59" s="21"/>
      <c r="D59" s="21"/>
      <c r="E59" s="61">
        <v>1100131815</v>
      </c>
      <c r="F59" s="83" t="s">
        <v>66</v>
      </c>
      <c r="G59" s="61" t="s">
        <v>109</v>
      </c>
      <c r="H59" s="84">
        <v>4000</v>
      </c>
      <c r="I59" s="22">
        <v>1</v>
      </c>
      <c r="J59" s="59" t="s">
        <v>337</v>
      </c>
      <c r="K59" s="38">
        <f t="shared" si="0"/>
        <v>4000</v>
      </c>
    </row>
    <row r="60" spans="1:11" x14ac:dyDescent="0.25">
      <c r="A60" s="101" t="s">
        <v>127</v>
      </c>
      <c r="B60" s="101"/>
      <c r="C60" s="101"/>
      <c r="D60" s="101"/>
      <c r="E60" s="101"/>
      <c r="F60" s="101"/>
      <c r="G60" s="101"/>
      <c r="H60" s="101"/>
      <c r="I60" s="101"/>
      <c r="J60" s="101"/>
    </row>
    <row r="61" spans="1:11" x14ac:dyDescent="0.25">
      <c r="A61" s="21" t="s">
        <v>130</v>
      </c>
      <c r="B61" s="36">
        <v>46084</v>
      </c>
      <c r="C61" s="21" t="s">
        <v>9</v>
      </c>
      <c r="D61" s="60" t="s">
        <v>129</v>
      </c>
      <c r="E61" s="61">
        <v>1100047480</v>
      </c>
      <c r="F61" s="61" t="s">
        <v>72</v>
      </c>
      <c r="G61" s="61" t="s">
        <v>71</v>
      </c>
      <c r="H61" s="62">
        <v>0.37940000000000002</v>
      </c>
      <c r="I61" s="22">
        <v>200</v>
      </c>
      <c r="J61" s="63" t="s">
        <v>37</v>
      </c>
      <c r="K61" s="38">
        <f t="shared" si="0"/>
        <v>75.88000000000001</v>
      </c>
    </row>
    <row r="62" spans="1:11" x14ac:dyDescent="0.25">
      <c r="A62" s="21" t="s">
        <v>173</v>
      </c>
      <c r="B62" s="36">
        <v>46084</v>
      </c>
      <c r="C62" s="21" t="s">
        <v>9</v>
      </c>
      <c r="D62" s="60" t="s">
        <v>174</v>
      </c>
      <c r="E62" s="61">
        <v>1000016191</v>
      </c>
      <c r="F62" s="61" t="s">
        <v>18</v>
      </c>
      <c r="G62" s="61" t="s">
        <v>20</v>
      </c>
      <c r="H62" s="62">
        <v>0.1386</v>
      </c>
      <c r="I62" s="22">
        <v>2000</v>
      </c>
      <c r="J62" s="63" t="s">
        <v>143</v>
      </c>
      <c r="K62" s="38">
        <f t="shared" si="0"/>
        <v>277.2</v>
      </c>
    </row>
    <row r="63" spans="1:11" x14ac:dyDescent="0.25">
      <c r="A63" s="21" t="s">
        <v>177</v>
      </c>
      <c r="B63" s="36">
        <v>46084</v>
      </c>
      <c r="C63" s="21" t="s">
        <v>9</v>
      </c>
      <c r="D63" s="60" t="s">
        <v>176</v>
      </c>
      <c r="E63" s="61">
        <v>1000028645</v>
      </c>
      <c r="F63" s="61" t="s">
        <v>22</v>
      </c>
      <c r="G63" s="61" t="s">
        <v>21</v>
      </c>
      <c r="H63" s="62">
        <v>0.1326</v>
      </c>
      <c r="I63" s="22">
        <v>3208</v>
      </c>
      <c r="J63" s="63" t="s">
        <v>77</v>
      </c>
      <c r="K63" s="38">
        <f t="shared" si="0"/>
        <v>425.38079999999997</v>
      </c>
    </row>
    <row r="64" spans="1:11" x14ac:dyDescent="0.25">
      <c r="A64" s="21" t="s">
        <v>198</v>
      </c>
      <c r="B64" s="36">
        <v>46084</v>
      </c>
      <c r="C64" s="21" t="s">
        <v>9</v>
      </c>
      <c r="D64" s="21" t="s">
        <v>193</v>
      </c>
      <c r="E64" s="21">
        <v>1100137410</v>
      </c>
      <c r="F64" s="61" t="s">
        <v>199</v>
      </c>
      <c r="G64" s="21" t="s">
        <v>194</v>
      </c>
      <c r="H64" s="62">
        <v>0.25619999999999998</v>
      </c>
      <c r="I64" s="64">
        <v>2000</v>
      </c>
      <c r="J64" s="59" t="s">
        <v>195</v>
      </c>
      <c r="K64" s="38">
        <f>H64*I64</f>
        <v>512.4</v>
      </c>
    </row>
    <row r="65" spans="1:11" x14ac:dyDescent="0.25">
      <c r="A65" s="72" t="s">
        <v>225</v>
      </c>
      <c r="B65" s="36">
        <v>46084</v>
      </c>
      <c r="C65" s="21" t="s">
        <v>9</v>
      </c>
      <c r="D65" s="21" t="s">
        <v>222</v>
      </c>
      <c r="E65" s="21">
        <v>1000016160</v>
      </c>
      <c r="F65" s="61" t="s">
        <v>93</v>
      </c>
      <c r="G65" s="21" t="s">
        <v>92</v>
      </c>
      <c r="H65" s="62">
        <v>0.2409</v>
      </c>
      <c r="I65" s="64">
        <v>2964</v>
      </c>
      <c r="J65" s="59" t="s">
        <v>223</v>
      </c>
      <c r="K65" s="38">
        <f t="shared" ref="K65:K81" si="1">H65*I65</f>
        <v>714.02760000000001</v>
      </c>
    </row>
    <row r="66" spans="1:11" x14ac:dyDescent="0.25">
      <c r="A66" s="72" t="s">
        <v>224</v>
      </c>
      <c r="B66" s="36">
        <v>46084</v>
      </c>
      <c r="C66" s="21" t="s">
        <v>9</v>
      </c>
      <c r="D66" s="21" t="s">
        <v>214</v>
      </c>
      <c r="E66" s="21">
        <v>1100052560</v>
      </c>
      <c r="F66" s="72" t="s">
        <v>215</v>
      </c>
      <c r="G66" s="21" t="s">
        <v>216</v>
      </c>
      <c r="H66" s="62">
        <v>0.18140000000000001</v>
      </c>
      <c r="I66" s="64">
        <v>40000</v>
      </c>
      <c r="J66" s="59" t="s">
        <v>217</v>
      </c>
      <c r="K66" s="38">
        <f t="shared" si="1"/>
        <v>7256</v>
      </c>
    </row>
    <row r="67" spans="1:11" x14ac:dyDescent="0.25">
      <c r="A67" s="72" t="s">
        <v>243</v>
      </c>
      <c r="B67" s="36">
        <v>46084</v>
      </c>
      <c r="C67" s="21" t="s">
        <v>9</v>
      </c>
      <c r="D67" s="21" t="s">
        <v>231</v>
      </c>
      <c r="E67" s="21">
        <v>1100042524</v>
      </c>
      <c r="F67" s="21" t="s">
        <v>232</v>
      </c>
      <c r="G67" s="21" t="s">
        <v>233</v>
      </c>
      <c r="H67" s="62">
        <v>0.1905</v>
      </c>
      <c r="I67" s="64">
        <v>1750</v>
      </c>
      <c r="J67" s="59" t="s">
        <v>37</v>
      </c>
      <c r="K67" s="38">
        <f t="shared" si="1"/>
        <v>333.375</v>
      </c>
    </row>
    <row r="68" spans="1:11" x14ac:dyDescent="0.25">
      <c r="A68" s="72" t="s">
        <v>253</v>
      </c>
      <c r="B68" s="36">
        <v>46084</v>
      </c>
      <c r="C68" s="21" t="s">
        <v>9</v>
      </c>
      <c r="D68" s="21" t="s">
        <v>249</v>
      </c>
      <c r="E68" s="21">
        <v>1000016191</v>
      </c>
      <c r="F68" s="61" t="s">
        <v>18</v>
      </c>
      <c r="G68" s="61" t="s">
        <v>20</v>
      </c>
      <c r="H68" s="62">
        <v>0.1328</v>
      </c>
      <c r="I68" s="22">
        <v>10000</v>
      </c>
      <c r="J68" s="63" t="s">
        <v>250</v>
      </c>
      <c r="K68" s="38">
        <f t="shared" si="1"/>
        <v>1328</v>
      </c>
    </row>
    <row r="69" spans="1:11" x14ac:dyDescent="0.25">
      <c r="A69" s="72" t="s">
        <v>278</v>
      </c>
      <c r="B69" s="36">
        <v>46084</v>
      </c>
      <c r="C69" s="21" t="s">
        <v>9</v>
      </c>
      <c r="D69" s="21" t="s">
        <v>270</v>
      </c>
      <c r="E69" s="21">
        <v>1000008428</v>
      </c>
      <c r="F69" s="61" t="s">
        <v>271</v>
      </c>
      <c r="G69" s="61" t="s">
        <v>272</v>
      </c>
      <c r="H69" s="62">
        <v>0.49380000000000002</v>
      </c>
      <c r="I69" s="22">
        <v>500</v>
      </c>
      <c r="J69" s="63" t="s">
        <v>273</v>
      </c>
      <c r="K69" s="38">
        <f t="shared" si="1"/>
        <v>246.9</v>
      </c>
    </row>
    <row r="70" spans="1:11" x14ac:dyDescent="0.25">
      <c r="A70" s="72" t="s">
        <v>276</v>
      </c>
      <c r="B70" s="36">
        <v>46084</v>
      </c>
      <c r="C70" s="21" t="s">
        <v>9</v>
      </c>
      <c r="D70" s="21" t="s">
        <v>254</v>
      </c>
      <c r="E70" s="21">
        <v>1100140253</v>
      </c>
      <c r="F70" s="21" t="s">
        <v>260</v>
      </c>
      <c r="G70" s="21" t="s">
        <v>255</v>
      </c>
      <c r="H70" s="62">
        <v>1.9781</v>
      </c>
      <c r="I70" s="64">
        <v>100</v>
      </c>
      <c r="J70" s="59" t="s">
        <v>258</v>
      </c>
      <c r="K70" s="38">
        <f t="shared" si="1"/>
        <v>197.81</v>
      </c>
    </row>
    <row r="71" spans="1:11" x14ac:dyDescent="0.25">
      <c r="A71" s="72" t="s">
        <v>276</v>
      </c>
      <c r="B71" s="36">
        <v>46084</v>
      </c>
      <c r="C71" s="21" t="s">
        <v>9</v>
      </c>
      <c r="D71" s="21" t="s">
        <v>254</v>
      </c>
      <c r="E71" s="21">
        <v>1100131340</v>
      </c>
      <c r="F71" s="21" t="s">
        <v>256</v>
      </c>
      <c r="G71" s="21" t="s">
        <v>257</v>
      </c>
      <c r="H71" s="62">
        <v>0.79820000000000002</v>
      </c>
      <c r="I71" s="64">
        <v>200</v>
      </c>
      <c r="J71" s="59" t="s">
        <v>259</v>
      </c>
      <c r="K71" s="38">
        <f t="shared" si="1"/>
        <v>159.64000000000001</v>
      </c>
    </row>
    <row r="72" spans="1:11" x14ac:dyDescent="0.25">
      <c r="A72" s="72" t="s">
        <v>284</v>
      </c>
      <c r="B72" s="36">
        <v>46084</v>
      </c>
      <c r="C72" s="21" t="s">
        <v>9</v>
      </c>
      <c r="D72" s="21" t="s">
        <v>279</v>
      </c>
      <c r="E72" s="21">
        <v>1100061531</v>
      </c>
      <c r="F72" s="21" t="s">
        <v>63</v>
      </c>
      <c r="G72" s="21" t="s">
        <v>62</v>
      </c>
      <c r="H72" s="62">
        <v>1.6396999999999999</v>
      </c>
      <c r="I72" s="21">
        <v>100</v>
      </c>
      <c r="J72" s="59" t="s">
        <v>82</v>
      </c>
      <c r="K72" s="38">
        <f t="shared" si="1"/>
        <v>163.97</v>
      </c>
    </row>
    <row r="73" spans="1:11" x14ac:dyDescent="0.25">
      <c r="A73" s="72" t="s">
        <v>317</v>
      </c>
      <c r="B73" s="36">
        <v>46084</v>
      </c>
      <c r="C73" s="21" t="s">
        <v>9</v>
      </c>
      <c r="D73" s="21" t="s">
        <v>296</v>
      </c>
      <c r="E73" s="21">
        <v>1000016163</v>
      </c>
      <c r="F73" s="21" t="s">
        <v>297</v>
      </c>
      <c r="G73" s="21" t="s">
        <v>298</v>
      </c>
      <c r="H73" s="62">
        <v>0.2064</v>
      </c>
      <c r="I73" s="21">
        <v>500</v>
      </c>
      <c r="J73" s="59" t="s">
        <v>37</v>
      </c>
      <c r="K73" s="38">
        <f t="shared" si="1"/>
        <v>103.2</v>
      </c>
    </row>
    <row r="74" spans="1:11" x14ac:dyDescent="0.25">
      <c r="A74" s="72" t="s">
        <v>343</v>
      </c>
      <c r="B74" s="36">
        <v>46084</v>
      </c>
      <c r="C74" s="21" t="s">
        <v>9</v>
      </c>
      <c r="D74" s="21" t="s">
        <v>330</v>
      </c>
      <c r="E74" s="21">
        <v>1000016232</v>
      </c>
      <c r="F74" s="21" t="s">
        <v>54</v>
      </c>
      <c r="G74" s="21" t="s">
        <v>55</v>
      </c>
      <c r="H74" s="62">
        <v>0.37069999999999997</v>
      </c>
      <c r="I74" s="64">
        <v>300</v>
      </c>
      <c r="J74" s="59" t="s">
        <v>46</v>
      </c>
      <c r="K74" s="38">
        <f t="shared" si="1"/>
        <v>111.21</v>
      </c>
    </row>
    <row r="75" spans="1:11" x14ac:dyDescent="0.25">
      <c r="A75" s="72" t="s">
        <v>359</v>
      </c>
      <c r="B75" s="36">
        <v>46084</v>
      </c>
      <c r="C75" s="21" t="s">
        <v>9</v>
      </c>
      <c r="D75" s="21" t="s">
        <v>353</v>
      </c>
      <c r="E75" s="68">
        <v>1100041567</v>
      </c>
      <c r="F75" s="68" t="s">
        <v>30</v>
      </c>
      <c r="G75" s="68" t="s">
        <v>29</v>
      </c>
      <c r="H75" s="69">
        <v>0.64810000000000001</v>
      </c>
      <c r="I75" s="70">
        <v>600</v>
      </c>
      <c r="J75" s="59" t="s">
        <v>354</v>
      </c>
      <c r="K75" s="38">
        <f t="shared" si="1"/>
        <v>388.86</v>
      </c>
    </row>
    <row r="76" spans="1:11" x14ac:dyDescent="0.25">
      <c r="A76" s="72" t="s">
        <v>360</v>
      </c>
      <c r="B76" s="36">
        <v>46084</v>
      </c>
      <c r="C76" s="21" t="s">
        <v>9</v>
      </c>
      <c r="D76" s="21" t="s">
        <v>352</v>
      </c>
      <c r="E76" s="21">
        <v>1000028679</v>
      </c>
      <c r="F76" s="21" t="s">
        <v>227</v>
      </c>
      <c r="G76" s="21" t="s">
        <v>228</v>
      </c>
      <c r="H76" s="62">
        <v>0.70630000000000004</v>
      </c>
      <c r="I76" s="70">
        <v>1000</v>
      </c>
      <c r="J76" s="59" t="s">
        <v>46</v>
      </c>
      <c r="K76" s="38">
        <f t="shared" si="1"/>
        <v>706.30000000000007</v>
      </c>
    </row>
    <row r="77" spans="1:11" x14ac:dyDescent="0.25">
      <c r="A77" s="101" t="s">
        <v>387</v>
      </c>
      <c r="B77" s="101"/>
      <c r="C77" s="101"/>
      <c r="D77" s="101"/>
      <c r="E77" s="101"/>
      <c r="F77" s="101"/>
      <c r="G77" s="101"/>
      <c r="H77" s="101"/>
      <c r="I77" s="101"/>
      <c r="J77" s="101"/>
      <c r="K77" s="38">
        <f t="shared" si="1"/>
        <v>0</v>
      </c>
    </row>
    <row r="78" spans="1:11" x14ac:dyDescent="0.25">
      <c r="A78" s="21" t="s">
        <v>336</v>
      </c>
      <c r="B78" s="36">
        <v>46091</v>
      </c>
      <c r="C78" s="21" t="s">
        <v>9</v>
      </c>
      <c r="D78" s="21" t="s">
        <v>304</v>
      </c>
      <c r="E78" s="21">
        <v>1000027904</v>
      </c>
      <c r="F78" s="21" t="s">
        <v>112</v>
      </c>
      <c r="G78" s="21" t="s">
        <v>110</v>
      </c>
      <c r="H78" s="62">
        <v>2.5821999999999998</v>
      </c>
      <c r="I78" s="22">
        <v>1280</v>
      </c>
      <c r="J78" s="59" t="s">
        <v>308</v>
      </c>
      <c r="K78" s="38">
        <f t="shared" si="1"/>
        <v>3305.2159999999999</v>
      </c>
    </row>
    <row r="79" spans="1:11" x14ac:dyDescent="0.25">
      <c r="A79" s="101" t="s">
        <v>398</v>
      </c>
      <c r="B79" s="101"/>
      <c r="C79" s="101"/>
      <c r="D79" s="101"/>
      <c r="E79" s="101"/>
      <c r="F79" s="101"/>
      <c r="G79" s="101"/>
      <c r="H79" s="101"/>
      <c r="I79" s="101"/>
      <c r="J79" s="101"/>
      <c r="K79" s="38">
        <f t="shared" si="1"/>
        <v>0</v>
      </c>
    </row>
    <row r="80" spans="1:11" x14ac:dyDescent="0.25">
      <c r="A80" s="10" t="s">
        <v>290</v>
      </c>
      <c r="B80" s="9">
        <v>46114</v>
      </c>
      <c r="C80" s="10" t="s">
        <v>9</v>
      </c>
      <c r="D80" s="10" t="s">
        <v>262</v>
      </c>
      <c r="E80" s="10">
        <v>1100135001</v>
      </c>
      <c r="F80" s="5" t="s">
        <v>274</v>
      </c>
      <c r="G80" s="5" t="s">
        <v>275</v>
      </c>
      <c r="H80" s="6">
        <v>0.4662</v>
      </c>
      <c r="I80" s="82">
        <v>3840</v>
      </c>
      <c r="J80" s="20" t="s">
        <v>286</v>
      </c>
      <c r="K80" s="38">
        <f t="shared" si="1"/>
        <v>1790.2080000000001</v>
      </c>
    </row>
    <row r="81" spans="1:11" x14ac:dyDescent="0.25">
      <c r="A81" s="101" t="s">
        <v>205</v>
      </c>
      <c r="B81" s="101"/>
      <c r="C81" s="101"/>
      <c r="D81" s="101"/>
      <c r="E81" s="101"/>
      <c r="F81" s="101"/>
      <c r="G81" s="101"/>
      <c r="H81" s="101"/>
      <c r="I81" s="101"/>
      <c r="J81" s="101"/>
      <c r="K81" s="38">
        <f t="shared" si="1"/>
        <v>0</v>
      </c>
    </row>
    <row r="82" spans="1:11" x14ac:dyDescent="0.25">
      <c r="A82" s="10" t="s">
        <v>207</v>
      </c>
      <c r="B82" s="9">
        <v>46114</v>
      </c>
      <c r="C82" s="10" t="s">
        <v>9</v>
      </c>
      <c r="D82" s="10" t="s">
        <v>206</v>
      </c>
      <c r="E82" s="10">
        <v>1100047480</v>
      </c>
      <c r="F82" s="5" t="s">
        <v>72</v>
      </c>
      <c r="G82" s="10" t="s">
        <v>71</v>
      </c>
      <c r="H82" s="6">
        <v>0.37940000000000002</v>
      </c>
      <c r="I82" s="48">
        <v>300</v>
      </c>
      <c r="J82" s="45" t="s">
        <v>37</v>
      </c>
      <c r="K82" s="38">
        <f t="shared" si="0"/>
        <v>113.82000000000001</v>
      </c>
    </row>
    <row r="83" spans="1:11" x14ac:dyDescent="0.25">
      <c r="A83" s="53" t="s">
        <v>253</v>
      </c>
      <c r="B83" s="9">
        <v>46114</v>
      </c>
      <c r="C83" s="10" t="s">
        <v>9</v>
      </c>
      <c r="D83" s="10" t="s">
        <v>249</v>
      </c>
      <c r="E83" s="10">
        <v>1000016191</v>
      </c>
      <c r="F83" s="5" t="s">
        <v>18</v>
      </c>
      <c r="G83" s="5" t="s">
        <v>20</v>
      </c>
      <c r="H83" s="6">
        <v>0.1328</v>
      </c>
      <c r="I83" s="7">
        <f>40000-10000</f>
        <v>30000</v>
      </c>
      <c r="J83" s="20" t="s">
        <v>250</v>
      </c>
      <c r="K83" s="38">
        <f t="shared" si="0"/>
        <v>3984</v>
      </c>
    </row>
    <row r="84" spans="1:11" x14ac:dyDescent="0.25">
      <c r="A84" s="10" t="s">
        <v>295</v>
      </c>
      <c r="B84" s="9">
        <v>46114</v>
      </c>
      <c r="C84" s="10" t="s">
        <v>9</v>
      </c>
      <c r="D84" s="10" t="s">
        <v>289</v>
      </c>
      <c r="E84" s="10">
        <v>1000016280</v>
      </c>
      <c r="F84" s="10" t="s">
        <v>229</v>
      </c>
      <c r="G84" s="10" t="s">
        <v>230</v>
      </c>
      <c r="H84" s="6">
        <v>0.62119999999999997</v>
      </c>
      <c r="I84" s="10">
        <v>360</v>
      </c>
      <c r="J84" s="45" t="s">
        <v>37</v>
      </c>
      <c r="K84" s="38">
        <f t="shared" ref="K84:K104" si="2">H84*I84</f>
        <v>223.63200000000001</v>
      </c>
    </row>
    <row r="85" spans="1:11" x14ac:dyDescent="0.25">
      <c r="A85" s="10" t="s">
        <v>336</v>
      </c>
      <c r="B85" s="9">
        <v>46114</v>
      </c>
      <c r="C85" s="10" t="s">
        <v>9</v>
      </c>
      <c r="D85" s="10" t="s">
        <v>304</v>
      </c>
      <c r="E85" s="10">
        <v>1000027904</v>
      </c>
      <c r="F85" s="10" t="s">
        <v>112</v>
      </c>
      <c r="G85" s="10" t="s">
        <v>110</v>
      </c>
      <c r="H85" s="6">
        <v>2.5821999999999998</v>
      </c>
      <c r="I85" s="7">
        <f>4800-500-1280</f>
        <v>3020</v>
      </c>
      <c r="J85" s="45" t="s">
        <v>388</v>
      </c>
      <c r="K85" s="38">
        <f t="shared" si="2"/>
        <v>7798.2439999999997</v>
      </c>
    </row>
    <row r="86" spans="1:11" x14ac:dyDescent="0.25">
      <c r="A86" s="53" t="s">
        <v>313</v>
      </c>
      <c r="B86" s="9">
        <v>46114</v>
      </c>
      <c r="C86" s="10" t="s">
        <v>9</v>
      </c>
      <c r="D86" s="10" t="s">
        <v>292</v>
      </c>
      <c r="E86" s="10">
        <v>1000026127</v>
      </c>
      <c r="F86" s="10" t="s">
        <v>293</v>
      </c>
      <c r="G86" s="10" t="s">
        <v>294</v>
      </c>
      <c r="H86" s="6">
        <v>0.1575</v>
      </c>
      <c r="I86" s="10">
        <v>600</v>
      </c>
      <c r="J86" s="45" t="s">
        <v>37</v>
      </c>
      <c r="K86" s="38">
        <f t="shared" si="2"/>
        <v>94.5</v>
      </c>
    </row>
    <row r="87" spans="1:11" x14ac:dyDescent="0.25">
      <c r="A87" s="53" t="s">
        <v>329</v>
      </c>
      <c r="B87" s="9">
        <v>46114</v>
      </c>
      <c r="C87" s="10" t="s">
        <v>9</v>
      </c>
      <c r="D87" s="10" t="s">
        <v>314</v>
      </c>
      <c r="E87" s="10">
        <v>1000024582</v>
      </c>
      <c r="F87" s="10" t="s">
        <v>318</v>
      </c>
      <c r="G87" s="10" t="s">
        <v>315</v>
      </c>
      <c r="H87" s="6">
        <v>0.2278</v>
      </c>
      <c r="I87" s="7">
        <v>3000</v>
      </c>
      <c r="J87" s="45" t="s">
        <v>316</v>
      </c>
      <c r="K87" s="38">
        <f t="shared" si="2"/>
        <v>683.4</v>
      </c>
    </row>
    <row r="88" spans="1:11" x14ac:dyDescent="0.25">
      <c r="A88" s="53" t="s">
        <v>317</v>
      </c>
      <c r="B88" s="9">
        <v>46114</v>
      </c>
      <c r="C88" s="10" t="s">
        <v>9</v>
      </c>
      <c r="D88" s="10" t="s">
        <v>296</v>
      </c>
      <c r="E88" s="10">
        <v>1000016196</v>
      </c>
      <c r="F88" s="10" t="s">
        <v>299</v>
      </c>
      <c r="G88" s="10" t="s">
        <v>300</v>
      </c>
      <c r="H88" s="6">
        <v>0.18740000000000001</v>
      </c>
      <c r="I88" s="48">
        <v>6000</v>
      </c>
      <c r="J88" s="45" t="s">
        <v>46</v>
      </c>
      <c r="K88" s="38">
        <f t="shared" si="2"/>
        <v>1124.4000000000001</v>
      </c>
    </row>
    <row r="89" spans="1:11" x14ac:dyDescent="0.25">
      <c r="A89" s="53" t="s">
        <v>317</v>
      </c>
      <c r="B89" s="9">
        <v>46114</v>
      </c>
      <c r="C89" s="10" t="s">
        <v>9</v>
      </c>
      <c r="D89" s="10" t="s">
        <v>296</v>
      </c>
      <c r="E89" s="10">
        <v>1000016171</v>
      </c>
      <c r="F89" s="10" t="s">
        <v>303</v>
      </c>
      <c r="G89" s="10" t="s">
        <v>301</v>
      </c>
      <c r="H89" s="6">
        <v>0.13750000000000001</v>
      </c>
      <c r="I89" s="48">
        <v>2400</v>
      </c>
      <c r="J89" s="45" t="s">
        <v>302</v>
      </c>
      <c r="K89" s="38">
        <f t="shared" si="2"/>
        <v>330</v>
      </c>
    </row>
    <row r="90" spans="1:11" x14ac:dyDescent="0.25">
      <c r="A90" s="10" t="s">
        <v>328</v>
      </c>
      <c r="B90" s="9">
        <v>46114</v>
      </c>
      <c r="C90" s="10" t="s">
        <v>9</v>
      </c>
      <c r="D90" s="10" t="s">
        <v>319</v>
      </c>
      <c r="E90" s="10">
        <v>1100056520</v>
      </c>
      <c r="F90" s="10" t="s">
        <v>322</v>
      </c>
      <c r="G90" s="10" t="s">
        <v>320</v>
      </c>
      <c r="H90" s="6">
        <v>0.2442</v>
      </c>
      <c r="I90" s="48">
        <v>500</v>
      </c>
      <c r="J90" s="45" t="s">
        <v>321</v>
      </c>
      <c r="K90" s="38">
        <f t="shared" si="2"/>
        <v>122.1</v>
      </c>
    </row>
    <row r="91" spans="1:11" x14ac:dyDescent="0.25">
      <c r="A91" s="10" t="s">
        <v>327</v>
      </c>
      <c r="B91" s="9">
        <v>46114</v>
      </c>
      <c r="C91" s="10" t="s">
        <v>9</v>
      </c>
      <c r="D91" s="10" t="s">
        <v>324</v>
      </c>
      <c r="E91" s="10">
        <v>1000024576</v>
      </c>
      <c r="F91" s="10" t="s">
        <v>42</v>
      </c>
      <c r="G91" s="10" t="s">
        <v>43</v>
      </c>
      <c r="H91" s="6">
        <v>0.46510000000000001</v>
      </c>
      <c r="I91" s="7">
        <v>6640</v>
      </c>
      <c r="J91" s="45" t="s">
        <v>325</v>
      </c>
      <c r="K91" s="38">
        <f t="shared" si="2"/>
        <v>3088.2640000000001</v>
      </c>
    </row>
    <row r="92" spans="1:11" x14ac:dyDescent="0.25">
      <c r="A92" s="10" t="s">
        <v>331</v>
      </c>
      <c r="B92" s="9">
        <v>46114</v>
      </c>
      <c r="C92" s="10" t="s">
        <v>9</v>
      </c>
      <c r="D92" s="10" t="s">
        <v>323</v>
      </c>
      <c r="E92" s="10">
        <v>1100023611</v>
      </c>
      <c r="F92" s="10" t="s">
        <v>64</v>
      </c>
      <c r="G92" s="10" t="s">
        <v>65</v>
      </c>
      <c r="H92" s="6">
        <v>1.4132</v>
      </c>
      <c r="I92" s="82">
        <v>8500</v>
      </c>
      <c r="J92" s="45" t="s">
        <v>37</v>
      </c>
      <c r="K92" s="38">
        <f t="shared" si="2"/>
        <v>12012.2</v>
      </c>
    </row>
    <row r="93" spans="1:11" x14ac:dyDescent="0.25">
      <c r="A93" s="10" t="s">
        <v>344</v>
      </c>
      <c r="B93" s="9">
        <v>46114</v>
      </c>
      <c r="C93" s="10" t="s">
        <v>9</v>
      </c>
      <c r="D93" s="10" t="s">
        <v>332</v>
      </c>
      <c r="E93" s="10">
        <v>1000016239</v>
      </c>
      <c r="F93" s="10" t="s">
        <v>333</v>
      </c>
      <c r="G93" s="10" t="s">
        <v>334</v>
      </c>
      <c r="H93" s="6">
        <v>0.21240000000000001</v>
      </c>
      <c r="I93" s="86">
        <v>1800</v>
      </c>
      <c r="J93" s="45" t="s">
        <v>335</v>
      </c>
      <c r="K93" s="38">
        <f t="shared" si="2"/>
        <v>382.32</v>
      </c>
    </row>
    <row r="94" spans="1:11" x14ac:dyDescent="0.25">
      <c r="A94" s="10" t="s">
        <v>345</v>
      </c>
      <c r="B94" s="9">
        <v>46114</v>
      </c>
      <c r="C94" s="10" t="s">
        <v>9</v>
      </c>
      <c r="D94" s="10" t="s">
        <v>339</v>
      </c>
      <c r="E94" s="10">
        <v>1100058689</v>
      </c>
      <c r="F94" s="10" t="s">
        <v>340</v>
      </c>
      <c r="G94" s="10" t="s">
        <v>341</v>
      </c>
      <c r="H94" s="6">
        <v>1.0526</v>
      </c>
      <c r="I94" s="86">
        <v>1000</v>
      </c>
      <c r="J94" s="45" t="s">
        <v>342</v>
      </c>
      <c r="K94" s="38">
        <f t="shared" si="2"/>
        <v>1052.5999999999999</v>
      </c>
    </row>
    <row r="95" spans="1:11" x14ac:dyDescent="0.25">
      <c r="A95" s="10" t="s">
        <v>361</v>
      </c>
      <c r="B95" s="9">
        <v>46114</v>
      </c>
      <c r="C95" s="10" t="s">
        <v>9</v>
      </c>
      <c r="D95" s="10" t="s">
        <v>350</v>
      </c>
      <c r="E95" s="10">
        <v>1100135001</v>
      </c>
      <c r="F95" s="10" t="s">
        <v>274</v>
      </c>
      <c r="G95" s="10" t="s">
        <v>275</v>
      </c>
      <c r="H95" s="6">
        <v>0.4662</v>
      </c>
      <c r="I95" s="86">
        <v>3840</v>
      </c>
      <c r="J95" s="45" t="s">
        <v>351</v>
      </c>
      <c r="K95" s="38">
        <f t="shared" si="2"/>
        <v>1790.2080000000001</v>
      </c>
    </row>
    <row r="96" spans="1:11" x14ac:dyDescent="0.25">
      <c r="A96" s="10" t="s">
        <v>366</v>
      </c>
      <c r="B96" s="9">
        <v>46114</v>
      </c>
      <c r="C96" s="10" t="s">
        <v>9</v>
      </c>
      <c r="D96" s="10" t="s">
        <v>362</v>
      </c>
      <c r="E96" s="10">
        <v>1000016188</v>
      </c>
      <c r="F96" s="10" t="s">
        <v>80</v>
      </c>
      <c r="G96" s="10" t="s">
        <v>81</v>
      </c>
      <c r="H96" s="88">
        <v>0.22900000000000001</v>
      </c>
      <c r="I96" s="82">
        <v>300</v>
      </c>
      <c r="J96" s="45" t="s">
        <v>46</v>
      </c>
      <c r="K96" s="38">
        <f t="shared" si="2"/>
        <v>68.7</v>
      </c>
    </row>
    <row r="97" spans="1:11" x14ac:dyDescent="0.25">
      <c r="A97" s="10" t="s">
        <v>370</v>
      </c>
      <c r="B97" s="9">
        <v>46114</v>
      </c>
      <c r="C97" s="10" t="s">
        <v>9</v>
      </c>
      <c r="D97" s="10" t="s">
        <v>364</v>
      </c>
      <c r="E97" s="10">
        <v>1000016186</v>
      </c>
      <c r="F97" s="10" t="s">
        <v>67</v>
      </c>
      <c r="G97" s="10" t="s">
        <v>68</v>
      </c>
      <c r="H97" s="88">
        <v>0.19070000000000001</v>
      </c>
      <c r="I97" s="82">
        <v>500</v>
      </c>
      <c r="J97" s="45" t="s">
        <v>37</v>
      </c>
      <c r="K97" s="38">
        <f t="shared" si="2"/>
        <v>95.350000000000009</v>
      </c>
    </row>
    <row r="98" spans="1:11" x14ac:dyDescent="0.25">
      <c r="A98" s="10" t="s">
        <v>370</v>
      </c>
      <c r="B98" s="9">
        <v>46114</v>
      </c>
      <c r="C98" s="10" t="s">
        <v>9</v>
      </c>
      <c r="D98" s="10" t="s">
        <v>364</v>
      </c>
      <c r="E98" s="10">
        <v>1100056555</v>
      </c>
      <c r="F98" s="10" t="s">
        <v>371</v>
      </c>
      <c r="G98" s="10" t="s">
        <v>365</v>
      </c>
      <c r="H98" s="6">
        <v>0.49540000000000001</v>
      </c>
      <c r="I98" s="86">
        <v>150</v>
      </c>
      <c r="J98" s="45" t="s">
        <v>37</v>
      </c>
      <c r="K98" s="38">
        <f t="shared" si="2"/>
        <v>74.31</v>
      </c>
    </row>
    <row r="99" spans="1:11" x14ac:dyDescent="0.25">
      <c r="A99" s="10" t="s">
        <v>372</v>
      </c>
      <c r="B99" s="9">
        <v>46114</v>
      </c>
      <c r="C99" s="10" t="s">
        <v>9</v>
      </c>
      <c r="D99" s="10" t="s">
        <v>367</v>
      </c>
      <c r="E99" s="10">
        <v>1000016198</v>
      </c>
      <c r="F99" s="10" t="s">
        <v>368</v>
      </c>
      <c r="G99" s="10" t="s">
        <v>369</v>
      </c>
      <c r="H99" s="6">
        <v>0.1472</v>
      </c>
      <c r="I99" s="86">
        <v>500</v>
      </c>
      <c r="J99" s="45" t="s">
        <v>37</v>
      </c>
      <c r="K99" s="38">
        <f t="shared" si="2"/>
        <v>73.599999999999994</v>
      </c>
    </row>
    <row r="100" spans="1:11" x14ac:dyDescent="0.25">
      <c r="A100" s="10" t="s">
        <v>376</v>
      </c>
      <c r="B100" s="9">
        <v>46114</v>
      </c>
      <c r="C100" s="10" t="s">
        <v>9</v>
      </c>
      <c r="D100" s="10" t="s">
        <v>373</v>
      </c>
      <c r="E100" s="10">
        <v>1000028568</v>
      </c>
      <c r="F100" s="10" t="s">
        <v>374</v>
      </c>
      <c r="G100" s="10" t="s">
        <v>375</v>
      </c>
      <c r="H100" s="6">
        <v>0.52259999999999995</v>
      </c>
      <c r="I100" s="86">
        <v>1000</v>
      </c>
      <c r="J100" s="45" t="s">
        <v>37</v>
      </c>
      <c r="K100" s="38">
        <f t="shared" si="2"/>
        <v>522.59999999999991</v>
      </c>
    </row>
    <row r="101" spans="1:11" x14ac:dyDescent="0.25">
      <c r="A101" s="53" t="s">
        <v>287</v>
      </c>
      <c r="B101" s="87">
        <v>46114</v>
      </c>
      <c r="C101" s="10" t="s">
        <v>9</v>
      </c>
      <c r="D101" s="10" t="s">
        <v>281</v>
      </c>
      <c r="E101" s="10">
        <v>1000018509</v>
      </c>
      <c r="F101" s="5" t="s">
        <v>44</v>
      </c>
      <c r="G101" s="5" t="s">
        <v>45</v>
      </c>
      <c r="H101" s="6">
        <v>0.3634</v>
      </c>
      <c r="I101" s="82">
        <f>50+50</f>
        <v>100</v>
      </c>
      <c r="J101" s="20" t="s">
        <v>37</v>
      </c>
      <c r="K101" s="38">
        <f t="shared" si="2"/>
        <v>36.340000000000003</v>
      </c>
    </row>
    <row r="102" spans="1:11" x14ac:dyDescent="0.25">
      <c r="A102" s="53" t="s">
        <v>382</v>
      </c>
      <c r="B102" s="9">
        <v>46114</v>
      </c>
      <c r="C102" s="10" t="s">
        <v>9</v>
      </c>
      <c r="D102" s="10" t="s">
        <v>377</v>
      </c>
      <c r="E102" s="10">
        <v>1000025937</v>
      </c>
      <c r="F102" s="5" t="s">
        <v>378</v>
      </c>
      <c r="G102" s="5" t="s">
        <v>379</v>
      </c>
      <c r="H102" s="6">
        <v>0.31</v>
      </c>
      <c r="I102" s="86">
        <v>200</v>
      </c>
      <c r="J102" s="20" t="s">
        <v>37</v>
      </c>
      <c r="K102" s="38">
        <f t="shared" si="2"/>
        <v>62</v>
      </c>
    </row>
    <row r="103" spans="1:11" x14ac:dyDescent="0.25">
      <c r="A103" s="53" t="s">
        <v>389</v>
      </c>
      <c r="B103" s="9">
        <v>46114</v>
      </c>
      <c r="C103" s="10" t="s">
        <v>9</v>
      </c>
      <c r="D103" s="10" t="s">
        <v>381</v>
      </c>
      <c r="E103" s="10">
        <v>1000016355</v>
      </c>
      <c r="F103" s="5" t="s">
        <v>78</v>
      </c>
      <c r="G103" s="5" t="s">
        <v>79</v>
      </c>
      <c r="H103" s="6">
        <v>0.54500000000000004</v>
      </c>
      <c r="I103" s="86">
        <v>400</v>
      </c>
      <c r="J103" s="20" t="s">
        <v>46</v>
      </c>
      <c r="K103" s="38">
        <f t="shared" si="2"/>
        <v>218.00000000000003</v>
      </c>
    </row>
    <row r="104" spans="1:11" x14ac:dyDescent="0.25">
      <c r="A104" s="53" t="s">
        <v>348</v>
      </c>
      <c r="B104" s="9">
        <v>46084</v>
      </c>
      <c r="C104" s="10" t="s">
        <v>9</v>
      </c>
      <c r="D104" s="10" t="s">
        <v>397</v>
      </c>
      <c r="E104" s="90">
        <v>1100018207</v>
      </c>
      <c r="F104" s="90" t="s">
        <v>346</v>
      </c>
      <c r="G104" s="90" t="s">
        <v>347</v>
      </c>
      <c r="H104" s="91">
        <v>7.1599999999999997E-2</v>
      </c>
      <c r="I104" s="86">
        <v>20000</v>
      </c>
      <c r="J104" s="92" t="s">
        <v>396</v>
      </c>
      <c r="K104" s="38">
        <f t="shared" si="2"/>
        <v>1432</v>
      </c>
    </row>
    <row r="105" spans="1:11" x14ac:dyDescent="0.25">
      <c r="A105" s="101" t="s">
        <v>280</v>
      </c>
      <c r="B105" s="101"/>
      <c r="C105" s="101"/>
      <c r="D105" s="101"/>
      <c r="E105" s="101"/>
      <c r="F105" s="101"/>
      <c r="G105" s="101"/>
      <c r="H105" s="101"/>
      <c r="I105" s="101"/>
      <c r="J105" s="101"/>
    </row>
    <row r="106" spans="1:11" x14ac:dyDescent="0.25">
      <c r="A106" s="53" t="s">
        <v>288</v>
      </c>
      <c r="B106" s="9">
        <v>46147</v>
      </c>
      <c r="C106" s="10" t="s">
        <v>9</v>
      </c>
      <c r="D106" s="10" t="s">
        <v>282</v>
      </c>
      <c r="E106" s="10">
        <v>1100022003</v>
      </c>
      <c r="F106" s="5" t="s">
        <v>40</v>
      </c>
      <c r="G106" s="5" t="s">
        <v>41</v>
      </c>
      <c r="H106" s="6">
        <v>0.69669999999999999</v>
      </c>
      <c r="I106" s="7">
        <v>1000</v>
      </c>
      <c r="J106" s="20" t="s">
        <v>283</v>
      </c>
      <c r="K106" s="38">
        <f t="shared" ref="K106:K115" si="3">H106*I106</f>
        <v>696.69999999999993</v>
      </c>
    </row>
    <row r="107" spans="1:11" x14ac:dyDescent="0.25">
      <c r="A107" s="53" t="s">
        <v>326</v>
      </c>
      <c r="B107" s="9">
        <v>46147</v>
      </c>
      <c r="C107" s="10" t="s">
        <v>9</v>
      </c>
      <c r="D107" s="10" t="s">
        <v>311</v>
      </c>
      <c r="E107" s="10">
        <v>1000028645</v>
      </c>
      <c r="F107" s="5" t="s">
        <v>22</v>
      </c>
      <c r="G107" s="5" t="s">
        <v>21</v>
      </c>
      <c r="H107" s="6">
        <v>0.1326</v>
      </c>
      <c r="I107" s="7">
        <v>3200</v>
      </c>
      <c r="J107" s="20" t="s">
        <v>312</v>
      </c>
      <c r="K107" s="38">
        <f t="shared" si="3"/>
        <v>424.32</v>
      </c>
    </row>
    <row r="108" spans="1:11" x14ac:dyDescent="0.25">
      <c r="A108" s="53" t="s">
        <v>326</v>
      </c>
      <c r="B108" s="9">
        <v>46147</v>
      </c>
      <c r="C108" s="10" t="s">
        <v>9</v>
      </c>
      <c r="D108" s="10" t="s">
        <v>311</v>
      </c>
      <c r="E108" s="10">
        <v>1100047480</v>
      </c>
      <c r="F108" s="5" t="s">
        <v>72</v>
      </c>
      <c r="G108" s="5" t="s">
        <v>71</v>
      </c>
      <c r="H108" s="6">
        <v>0.37940000000000002</v>
      </c>
      <c r="I108" s="7">
        <v>200</v>
      </c>
      <c r="J108" s="20" t="s">
        <v>37</v>
      </c>
      <c r="K108" s="38">
        <f t="shared" si="3"/>
        <v>75.88000000000001</v>
      </c>
    </row>
    <row r="109" spans="1:11" x14ac:dyDescent="0.25">
      <c r="A109" s="53" t="s">
        <v>338</v>
      </c>
      <c r="B109" s="9">
        <v>46147</v>
      </c>
      <c r="C109" s="10" t="s">
        <v>9</v>
      </c>
      <c r="D109" s="10" t="s">
        <v>307</v>
      </c>
      <c r="E109" s="10">
        <v>1000027904</v>
      </c>
      <c r="F109" s="10" t="s">
        <v>112</v>
      </c>
      <c r="G109" s="10" t="s">
        <v>110</v>
      </c>
      <c r="H109" s="6">
        <v>2.5821999999999998</v>
      </c>
      <c r="I109" s="7">
        <v>2400</v>
      </c>
      <c r="J109" s="45" t="s">
        <v>309</v>
      </c>
      <c r="K109" s="38">
        <f t="shared" si="3"/>
        <v>6197.28</v>
      </c>
    </row>
    <row r="110" spans="1:11" x14ac:dyDescent="0.25">
      <c r="A110" s="53" t="s">
        <v>363</v>
      </c>
      <c r="B110" s="9">
        <v>46147</v>
      </c>
      <c r="C110" s="10" t="s">
        <v>9</v>
      </c>
      <c r="D110" s="10" t="s">
        <v>356</v>
      </c>
      <c r="E110" s="10">
        <v>1100043436</v>
      </c>
      <c r="F110" s="10" t="s">
        <v>357</v>
      </c>
      <c r="G110" s="10" t="s">
        <v>358</v>
      </c>
      <c r="H110" s="6">
        <v>0.70730000000000004</v>
      </c>
      <c r="I110" s="86">
        <v>5000</v>
      </c>
      <c r="J110" s="45" t="s">
        <v>37</v>
      </c>
      <c r="K110" s="38">
        <f t="shared" si="3"/>
        <v>3536.5</v>
      </c>
    </row>
    <row r="111" spans="1:11" x14ac:dyDescent="0.25">
      <c r="A111" s="53" t="s">
        <v>383</v>
      </c>
      <c r="B111" s="9">
        <v>46147</v>
      </c>
      <c r="C111" s="10" t="s">
        <v>9</v>
      </c>
      <c r="D111" s="10" t="s">
        <v>380</v>
      </c>
      <c r="E111" s="10">
        <v>1000016256</v>
      </c>
      <c r="F111" s="5" t="s">
        <v>212</v>
      </c>
      <c r="G111" s="5" t="s">
        <v>213</v>
      </c>
      <c r="H111" s="6">
        <v>0.44690000000000002</v>
      </c>
      <c r="I111" s="86">
        <v>150</v>
      </c>
      <c r="J111" s="20" t="s">
        <v>37</v>
      </c>
      <c r="K111" s="38">
        <f t="shared" si="3"/>
        <v>67.034999999999997</v>
      </c>
    </row>
    <row r="112" spans="1:11" x14ac:dyDescent="0.25">
      <c r="A112" s="53" t="s">
        <v>402</v>
      </c>
      <c r="B112" s="9">
        <v>46147</v>
      </c>
      <c r="C112" s="10" t="s">
        <v>9</v>
      </c>
      <c r="D112" s="10" t="s">
        <v>390</v>
      </c>
      <c r="E112" s="90">
        <v>1000024577</v>
      </c>
      <c r="F112" s="90" t="s">
        <v>59</v>
      </c>
      <c r="G112" s="90" t="s">
        <v>60</v>
      </c>
      <c r="H112" s="91">
        <v>0.23119999999999999</v>
      </c>
      <c r="I112" s="86">
        <v>2700</v>
      </c>
      <c r="J112" s="92" t="s">
        <v>391</v>
      </c>
      <c r="K112" s="38">
        <f t="shared" si="3"/>
        <v>624.24</v>
      </c>
    </row>
    <row r="113" spans="1:11" x14ac:dyDescent="0.25">
      <c r="A113" s="53" t="s">
        <v>403</v>
      </c>
      <c r="B113" s="9">
        <v>46147</v>
      </c>
      <c r="C113" s="10" t="s">
        <v>9</v>
      </c>
      <c r="D113" s="10" t="s">
        <v>399</v>
      </c>
      <c r="E113" s="90">
        <v>1000016185</v>
      </c>
      <c r="F113" s="90" t="s">
        <v>400</v>
      </c>
      <c r="G113" s="90" t="s">
        <v>401</v>
      </c>
      <c r="H113" s="91">
        <v>0.21149999999999999</v>
      </c>
      <c r="I113" s="86">
        <v>400</v>
      </c>
      <c r="J113" s="92" t="s">
        <v>37</v>
      </c>
      <c r="K113" s="38">
        <f t="shared" si="3"/>
        <v>84.6</v>
      </c>
    </row>
    <row r="114" spans="1:11" x14ac:dyDescent="0.25">
      <c r="A114" s="93"/>
      <c r="B114" s="73"/>
      <c r="C114" s="10" t="s">
        <v>9</v>
      </c>
      <c r="D114" s="10" t="s">
        <v>404</v>
      </c>
      <c r="E114" s="90">
        <v>1000016280</v>
      </c>
      <c r="F114" s="90" t="s">
        <v>229</v>
      </c>
      <c r="G114" s="90" t="s">
        <v>230</v>
      </c>
      <c r="H114" s="94">
        <v>0.62119999999999997</v>
      </c>
      <c r="I114" s="86">
        <v>360</v>
      </c>
      <c r="J114" s="92" t="s">
        <v>37</v>
      </c>
      <c r="K114" s="38">
        <f t="shared" si="3"/>
        <v>223.63200000000001</v>
      </c>
    </row>
    <row r="115" spans="1:11" x14ac:dyDescent="0.25">
      <c r="A115" s="53" t="s">
        <v>405</v>
      </c>
      <c r="B115" s="9">
        <v>46147</v>
      </c>
      <c r="C115" s="10" t="s">
        <v>9</v>
      </c>
      <c r="D115" s="10" t="s">
        <v>392</v>
      </c>
      <c r="E115" s="90">
        <v>1000028657</v>
      </c>
      <c r="F115" s="90" t="s">
        <v>393</v>
      </c>
      <c r="G115" s="90" t="s">
        <v>394</v>
      </c>
      <c r="H115" s="105">
        <v>0.7833</v>
      </c>
      <c r="I115" s="86">
        <v>6000</v>
      </c>
      <c r="J115" s="92" t="s">
        <v>395</v>
      </c>
      <c r="K115" s="38">
        <f t="shared" si="3"/>
        <v>4699.8</v>
      </c>
    </row>
    <row r="116" spans="1:11" x14ac:dyDescent="0.25">
      <c r="A116" s="100" t="s">
        <v>73</v>
      </c>
      <c r="B116" s="100"/>
      <c r="C116" s="100"/>
      <c r="D116" s="100"/>
      <c r="E116" s="100"/>
      <c r="F116" s="100"/>
      <c r="G116" s="100"/>
      <c r="H116" s="100"/>
      <c r="I116" s="100"/>
      <c r="J116" s="100"/>
    </row>
    <row r="117" spans="1:11" x14ac:dyDescent="0.25">
      <c r="A117" s="59" t="s">
        <v>269</v>
      </c>
      <c r="B117" s="36">
        <v>45958</v>
      </c>
      <c r="C117" s="21" t="s">
        <v>9</v>
      </c>
      <c r="D117" s="21" t="s">
        <v>108</v>
      </c>
      <c r="E117" s="61">
        <v>1100131815</v>
      </c>
      <c r="F117" s="83" t="s">
        <v>66</v>
      </c>
      <c r="G117" s="61" t="s">
        <v>109</v>
      </c>
      <c r="H117" s="84">
        <v>4000</v>
      </c>
      <c r="I117" s="22">
        <v>1</v>
      </c>
      <c r="J117" s="63"/>
      <c r="K117" s="38">
        <f t="shared" ref="K117:K137" si="4">H117*I117</f>
        <v>4000</v>
      </c>
    </row>
    <row r="118" spans="1:11" x14ac:dyDescent="0.25">
      <c r="A118" s="59" t="s">
        <v>305</v>
      </c>
      <c r="B118" s="36"/>
      <c r="C118" s="21" t="s">
        <v>9</v>
      </c>
      <c r="D118" s="21" t="s">
        <v>268</v>
      </c>
      <c r="E118" s="61">
        <v>1000027904</v>
      </c>
      <c r="F118" s="61" t="s">
        <v>112</v>
      </c>
      <c r="G118" s="61" t="s">
        <v>110</v>
      </c>
      <c r="H118" s="84"/>
      <c r="I118" s="22">
        <v>2</v>
      </c>
      <c r="J118" s="63" t="s">
        <v>111</v>
      </c>
      <c r="K118" s="38">
        <f t="shared" si="4"/>
        <v>0</v>
      </c>
    </row>
    <row r="119" spans="1:11" x14ac:dyDescent="0.25">
      <c r="A119" s="45"/>
      <c r="B119" s="9"/>
      <c r="C119" s="10"/>
      <c r="D119" s="10"/>
      <c r="E119" s="5"/>
      <c r="F119" s="5"/>
      <c r="G119" s="5"/>
      <c r="H119" s="40"/>
      <c r="I119" s="7"/>
      <c r="J119" s="20"/>
    </row>
    <row r="120" spans="1:11" x14ac:dyDescent="0.25">
      <c r="A120" s="45"/>
      <c r="B120" s="9">
        <v>46044</v>
      </c>
      <c r="C120" s="10" t="s">
        <v>9</v>
      </c>
      <c r="D120" s="10" t="s">
        <v>263</v>
      </c>
      <c r="E120" s="5">
        <v>1100140032</v>
      </c>
      <c r="F120" s="81" t="s">
        <v>66</v>
      </c>
      <c r="G120" s="5" t="s">
        <v>265</v>
      </c>
      <c r="H120" s="40">
        <v>2500</v>
      </c>
      <c r="I120" s="7">
        <v>1</v>
      </c>
      <c r="J120" s="20"/>
    </row>
    <row r="121" spans="1:11" x14ac:dyDescent="0.25">
      <c r="A121" s="45"/>
      <c r="B121" s="9"/>
      <c r="C121" s="10" t="s">
        <v>9</v>
      </c>
      <c r="D121" s="10" t="s">
        <v>266</v>
      </c>
      <c r="E121" s="5">
        <v>1100140016</v>
      </c>
      <c r="F121" s="5" t="s">
        <v>277</v>
      </c>
      <c r="G121" s="5" t="s">
        <v>264</v>
      </c>
      <c r="H121" s="40"/>
      <c r="I121" s="7">
        <v>12</v>
      </c>
      <c r="J121" s="20" t="s">
        <v>267</v>
      </c>
    </row>
    <row r="122" spans="1:11" ht="16.5" thickBot="1" x14ac:dyDescent="0.3">
      <c r="A122" s="102" t="s">
        <v>27</v>
      </c>
      <c r="B122" s="103"/>
      <c r="C122" s="103"/>
      <c r="D122" s="103"/>
      <c r="E122" s="103"/>
      <c r="F122" s="103"/>
      <c r="G122" s="103"/>
      <c r="H122" s="103"/>
      <c r="I122" s="103"/>
      <c r="J122" s="104"/>
    </row>
    <row r="123" spans="1:11" ht="15.75" x14ac:dyDescent="0.25">
      <c r="A123" s="37" t="s">
        <v>26</v>
      </c>
      <c r="B123" s="25"/>
      <c r="C123" s="25"/>
      <c r="D123" s="24" t="s">
        <v>35</v>
      </c>
      <c r="E123" s="25"/>
      <c r="F123" s="25"/>
      <c r="G123" s="25"/>
      <c r="H123" s="25"/>
      <c r="I123" s="49"/>
      <c r="J123" s="25"/>
    </row>
    <row r="124" spans="1:11" x14ac:dyDescent="0.25">
      <c r="A124" s="28">
        <v>46056</v>
      </c>
      <c r="B124" s="28" t="s">
        <v>25</v>
      </c>
      <c r="C124" s="29" t="s">
        <v>9</v>
      </c>
      <c r="D124" s="30">
        <v>410100001428</v>
      </c>
      <c r="E124" s="29">
        <v>1000008737</v>
      </c>
      <c r="F124" s="31" t="s">
        <v>33</v>
      </c>
      <c r="G124" s="31" t="s">
        <v>34</v>
      </c>
      <c r="H124" s="32">
        <v>0.24990000000000001</v>
      </c>
      <c r="I124" s="54">
        <f>2500+1500</f>
        <v>4000</v>
      </c>
      <c r="J124" s="34" t="s">
        <v>166</v>
      </c>
      <c r="K124" s="38">
        <f t="shared" si="4"/>
        <v>999.6</v>
      </c>
    </row>
    <row r="125" spans="1:11" x14ac:dyDescent="0.25">
      <c r="A125" s="28">
        <v>46056</v>
      </c>
      <c r="B125" s="28" t="s">
        <v>25</v>
      </c>
      <c r="C125" s="29" t="s">
        <v>9</v>
      </c>
      <c r="D125" s="30">
        <v>410100001534</v>
      </c>
      <c r="E125" s="29">
        <v>1100128638</v>
      </c>
      <c r="F125" s="31" t="s">
        <v>104</v>
      </c>
      <c r="G125" s="31" t="s">
        <v>85</v>
      </c>
      <c r="H125" s="32">
        <v>0.39029999999999998</v>
      </c>
      <c r="I125" s="33">
        <v>15000</v>
      </c>
      <c r="J125" s="34" t="s">
        <v>186</v>
      </c>
      <c r="K125" s="38">
        <f t="shared" si="4"/>
        <v>5854.5</v>
      </c>
    </row>
    <row r="126" spans="1:11" x14ac:dyDescent="0.25">
      <c r="A126" s="28">
        <v>46056</v>
      </c>
      <c r="B126" s="28" t="s">
        <v>25</v>
      </c>
      <c r="C126" s="29" t="s">
        <v>9</v>
      </c>
      <c r="D126" s="30">
        <v>410100001530</v>
      </c>
      <c r="E126" s="29">
        <v>1100034000</v>
      </c>
      <c r="F126" s="31" t="s">
        <v>183</v>
      </c>
      <c r="G126" s="31" t="s">
        <v>181</v>
      </c>
      <c r="H126" s="32">
        <v>0.1143</v>
      </c>
      <c r="I126" s="33">
        <v>10000</v>
      </c>
      <c r="J126" s="34" t="s">
        <v>186</v>
      </c>
      <c r="K126" s="38">
        <f t="shared" si="4"/>
        <v>1143</v>
      </c>
    </row>
    <row r="127" spans="1:11" x14ac:dyDescent="0.25">
      <c r="A127" s="28">
        <v>46056</v>
      </c>
      <c r="B127" s="28" t="s">
        <v>25</v>
      </c>
      <c r="C127" s="29" t="s">
        <v>9</v>
      </c>
      <c r="D127" s="30">
        <v>410100001531</v>
      </c>
      <c r="E127" s="29">
        <v>1100120741</v>
      </c>
      <c r="F127" s="31" t="s">
        <v>191</v>
      </c>
      <c r="G127" s="31" t="s">
        <v>192</v>
      </c>
      <c r="H127" s="52">
        <v>0.28999999999999998</v>
      </c>
      <c r="I127" s="33">
        <v>6000</v>
      </c>
      <c r="J127" s="34" t="s">
        <v>186</v>
      </c>
      <c r="K127" s="38">
        <f t="shared" si="4"/>
        <v>1739.9999999999998</v>
      </c>
    </row>
    <row r="128" spans="1:11" x14ac:dyDescent="0.25">
      <c r="A128" s="28">
        <v>46176</v>
      </c>
      <c r="B128" s="28" t="s">
        <v>25</v>
      </c>
      <c r="C128" s="29" t="s">
        <v>9</v>
      </c>
      <c r="D128" s="30">
        <v>410100001496</v>
      </c>
      <c r="E128" s="29">
        <v>1000027904</v>
      </c>
      <c r="F128" s="31" t="s">
        <v>112</v>
      </c>
      <c r="G128" s="31" t="s">
        <v>110</v>
      </c>
      <c r="H128" s="52">
        <v>2.5821999999999998</v>
      </c>
      <c r="I128" s="33">
        <v>2400</v>
      </c>
      <c r="J128" s="34" t="s">
        <v>310</v>
      </c>
    </row>
    <row r="129" spans="1:11" x14ac:dyDescent="0.25">
      <c r="A129" s="28">
        <v>46114</v>
      </c>
      <c r="B129" s="28" t="s">
        <v>25</v>
      </c>
      <c r="C129" s="29" t="s">
        <v>9</v>
      </c>
      <c r="D129" s="30">
        <v>410100001474</v>
      </c>
      <c r="E129" s="29">
        <v>1100041567</v>
      </c>
      <c r="F129" s="31" t="s">
        <v>30</v>
      </c>
      <c r="G129" s="31" t="s">
        <v>29</v>
      </c>
      <c r="H129" s="52">
        <v>0.64810000000000001</v>
      </c>
      <c r="I129" s="33">
        <v>600</v>
      </c>
      <c r="J129" s="34" t="s">
        <v>355</v>
      </c>
    </row>
    <row r="130" spans="1:11" ht="16.5" thickBot="1" x14ac:dyDescent="0.3">
      <c r="A130" s="102" t="s">
        <v>28</v>
      </c>
      <c r="B130" s="103"/>
      <c r="C130" s="103"/>
      <c r="D130" s="103"/>
      <c r="E130" s="103"/>
      <c r="F130" s="103"/>
      <c r="G130" s="103"/>
      <c r="H130" s="103"/>
      <c r="I130" s="103"/>
      <c r="J130" s="104"/>
    </row>
    <row r="131" spans="1:11" s="41" customFormat="1" x14ac:dyDescent="0.25">
      <c r="A131" s="42" t="s">
        <v>76</v>
      </c>
      <c r="B131" s="43" t="s">
        <v>75</v>
      </c>
      <c r="C131" s="43"/>
      <c r="D131" s="43"/>
      <c r="E131" s="43"/>
      <c r="F131" s="43"/>
      <c r="G131" s="43"/>
      <c r="H131" s="43"/>
      <c r="I131" s="50"/>
      <c r="J131" s="44"/>
      <c r="K131" s="38"/>
    </row>
    <row r="132" spans="1:11" x14ac:dyDescent="0.25">
      <c r="A132" s="39">
        <v>46325</v>
      </c>
      <c r="B132" s="13">
        <v>45896</v>
      </c>
      <c r="C132" s="12" t="s">
        <v>9</v>
      </c>
      <c r="D132" s="23">
        <v>410100001428</v>
      </c>
      <c r="E132" s="12">
        <v>1000008737</v>
      </c>
      <c r="F132" s="10" t="s">
        <v>33</v>
      </c>
      <c r="G132" s="35" t="s">
        <v>34</v>
      </c>
      <c r="H132" s="6">
        <v>0.24990000000000001</v>
      </c>
      <c r="I132" s="55">
        <f>10000+2000</f>
        <v>12000</v>
      </c>
      <c r="J132" s="27" t="s">
        <v>220</v>
      </c>
      <c r="K132" s="38">
        <f t="shared" si="4"/>
        <v>2998.8</v>
      </c>
    </row>
    <row r="133" spans="1:11" x14ac:dyDescent="0.25">
      <c r="A133" s="39">
        <v>46305</v>
      </c>
      <c r="B133" s="13">
        <v>45939</v>
      </c>
      <c r="C133" s="12" t="s">
        <v>9</v>
      </c>
      <c r="D133" s="23">
        <v>410100001474</v>
      </c>
      <c r="E133" s="12">
        <v>1100041567</v>
      </c>
      <c r="F133" s="5" t="s">
        <v>30</v>
      </c>
      <c r="G133" s="35" t="s">
        <v>29</v>
      </c>
      <c r="H133" s="6">
        <v>0.64810000000000001</v>
      </c>
      <c r="I133" s="14">
        <v>4200</v>
      </c>
      <c r="J133" s="27" t="s">
        <v>385</v>
      </c>
      <c r="K133" s="38">
        <f t="shared" si="4"/>
        <v>2722.02</v>
      </c>
    </row>
    <row r="134" spans="1:11" x14ac:dyDescent="0.25">
      <c r="A134" s="39">
        <v>46418</v>
      </c>
      <c r="B134" s="13">
        <v>46003</v>
      </c>
      <c r="C134" s="12" t="s">
        <v>9</v>
      </c>
      <c r="D134" s="23">
        <v>410100001530</v>
      </c>
      <c r="E134" s="12">
        <v>1100034000</v>
      </c>
      <c r="F134" s="5" t="s">
        <v>183</v>
      </c>
      <c r="G134" s="35" t="s">
        <v>181</v>
      </c>
      <c r="H134" s="6">
        <v>0.1143</v>
      </c>
      <c r="I134" s="14">
        <v>30000</v>
      </c>
      <c r="J134" s="27" t="s">
        <v>182</v>
      </c>
      <c r="K134" s="38">
        <f t="shared" si="4"/>
        <v>3429</v>
      </c>
    </row>
    <row r="135" spans="1:11" x14ac:dyDescent="0.25">
      <c r="A135" s="39">
        <v>46418</v>
      </c>
      <c r="B135" s="13">
        <v>46003</v>
      </c>
      <c r="C135" s="12" t="s">
        <v>9</v>
      </c>
      <c r="D135" s="23">
        <v>410100001531</v>
      </c>
      <c r="E135" s="12">
        <v>1100120741</v>
      </c>
      <c r="F135" s="5" t="s">
        <v>191</v>
      </c>
      <c r="G135" s="35" t="s">
        <v>192</v>
      </c>
      <c r="H135" s="6">
        <v>0.28999999999999998</v>
      </c>
      <c r="I135" s="14">
        <v>12000</v>
      </c>
      <c r="J135" s="27" t="s">
        <v>184</v>
      </c>
      <c r="K135" s="38">
        <f t="shared" si="4"/>
        <v>3479.9999999999995</v>
      </c>
    </row>
    <row r="136" spans="1:11" x14ac:dyDescent="0.25">
      <c r="A136" s="39">
        <v>46377</v>
      </c>
      <c r="B136" s="13">
        <v>46003</v>
      </c>
      <c r="C136" s="12" t="s">
        <v>9</v>
      </c>
      <c r="D136" s="23">
        <v>410100001534</v>
      </c>
      <c r="E136" s="12">
        <v>1100128638</v>
      </c>
      <c r="F136" s="5" t="s">
        <v>104</v>
      </c>
      <c r="G136" s="35" t="s">
        <v>85</v>
      </c>
      <c r="H136" s="6">
        <v>0.39029999999999998</v>
      </c>
      <c r="I136" s="14">
        <v>60000</v>
      </c>
      <c r="J136" s="27" t="s">
        <v>190</v>
      </c>
      <c r="K136" s="38">
        <f t="shared" si="4"/>
        <v>23418</v>
      </c>
    </row>
    <row r="137" spans="1:11" x14ac:dyDescent="0.25">
      <c r="A137" s="39">
        <v>46418</v>
      </c>
      <c r="B137" s="13">
        <v>46058</v>
      </c>
      <c r="C137" s="12" t="s">
        <v>9</v>
      </c>
      <c r="D137" s="23">
        <v>410100001496</v>
      </c>
      <c r="E137" s="12">
        <v>1000027904</v>
      </c>
      <c r="F137" s="5" t="s">
        <v>112</v>
      </c>
      <c r="G137" s="35" t="s">
        <v>110</v>
      </c>
      <c r="H137" s="6">
        <v>2.5821999999999998</v>
      </c>
      <c r="I137" s="14">
        <v>12000</v>
      </c>
      <c r="J137" s="27" t="s">
        <v>386</v>
      </c>
      <c r="K137" s="38">
        <f t="shared" si="4"/>
        <v>30986.399999999998</v>
      </c>
    </row>
    <row r="138" spans="1:11" ht="16.5" thickBot="1" x14ac:dyDescent="0.3">
      <c r="A138" s="97" t="s">
        <v>53</v>
      </c>
      <c r="B138" s="98"/>
      <c r="C138" s="98"/>
      <c r="D138" s="98"/>
      <c r="E138" s="98"/>
      <c r="F138" s="98"/>
      <c r="G138" s="98"/>
      <c r="H138" s="98"/>
      <c r="I138" s="98"/>
      <c r="J138" s="99"/>
    </row>
    <row r="139" spans="1:11" x14ac:dyDescent="0.25">
      <c r="A139" s="56" t="s">
        <v>219</v>
      </c>
      <c r="B139" s="36">
        <v>45509</v>
      </c>
      <c r="C139" s="21" t="s">
        <v>9</v>
      </c>
      <c r="D139" s="26">
        <v>410100001050</v>
      </c>
      <c r="E139" s="21">
        <v>1100044565</v>
      </c>
      <c r="F139" s="21" t="s">
        <v>32</v>
      </c>
      <c r="G139" s="57" t="s">
        <v>31</v>
      </c>
      <c r="H139" s="58">
        <v>0.20019999999999999</v>
      </c>
      <c r="I139" s="22">
        <v>42000</v>
      </c>
      <c r="J139" s="59" t="s">
        <v>218</v>
      </c>
    </row>
    <row r="140" spans="1:11" x14ac:dyDescent="0.25">
      <c r="A140" s="56" t="s">
        <v>219</v>
      </c>
      <c r="B140" s="36">
        <v>45625</v>
      </c>
      <c r="C140" s="21" t="s">
        <v>9</v>
      </c>
      <c r="D140" s="26">
        <v>410100001174</v>
      </c>
      <c r="E140" s="21">
        <v>1000016149</v>
      </c>
      <c r="F140" s="21" t="s">
        <v>17</v>
      </c>
      <c r="G140" s="57" t="s">
        <v>16</v>
      </c>
      <c r="H140" s="62">
        <v>0.2117</v>
      </c>
      <c r="I140" s="22">
        <v>18000</v>
      </c>
      <c r="J140" s="59" t="s">
        <v>306</v>
      </c>
    </row>
    <row r="141" spans="1:11" x14ac:dyDescent="0.25">
      <c r="A141" s="56" t="s">
        <v>219</v>
      </c>
      <c r="B141" s="36">
        <v>45932</v>
      </c>
      <c r="C141" s="21" t="s">
        <v>9</v>
      </c>
      <c r="D141" s="26">
        <v>410100001470</v>
      </c>
      <c r="E141" s="21">
        <v>1000016160</v>
      </c>
      <c r="F141" s="61" t="s">
        <v>93</v>
      </c>
      <c r="G141" s="57" t="s">
        <v>92</v>
      </c>
      <c r="H141" s="62">
        <v>0.2409</v>
      </c>
      <c r="I141" s="22">
        <v>10000</v>
      </c>
      <c r="J141" s="59" t="s">
        <v>384</v>
      </c>
    </row>
    <row r="142" spans="1:11" x14ac:dyDescent="0.25">
      <c r="A142" s="89"/>
      <c r="B142" s="36"/>
      <c r="C142" s="21"/>
      <c r="D142" s="26"/>
      <c r="E142" s="61"/>
      <c r="F142" s="61"/>
      <c r="G142" s="61"/>
      <c r="H142" s="62"/>
      <c r="I142" s="22"/>
      <c r="J142" s="63"/>
    </row>
    <row r="143" spans="1:11" ht="16.5" thickBot="1" x14ac:dyDescent="0.3">
      <c r="A143" s="97"/>
      <c r="B143" s="98"/>
      <c r="C143" s="98"/>
      <c r="D143" s="98"/>
      <c r="E143" s="98"/>
      <c r="F143" s="98"/>
      <c r="G143" s="98"/>
      <c r="H143" s="98"/>
      <c r="I143" s="98"/>
      <c r="J143" s="99"/>
    </row>
    <row r="144" spans="1:11" ht="15.75" thickBot="1" x14ac:dyDescent="0.3">
      <c r="A144" s="78"/>
      <c r="B144" s="9"/>
      <c r="C144" s="10"/>
      <c r="D144" s="15"/>
      <c r="E144" s="5"/>
      <c r="F144" s="5"/>
      <c r="G144" s="5"/>
      <c r="H144" s="6"/>
      <c r="I144" s="7"/>
      <c r="J144" s="20"/>
    </row>
    <row r="145" spans="1:10" ht="15.75" thickBot="1" x14ac:dyDescent="0.3">
      <c r="A145" s="80" t="s">
        <v>261</v>
      </c>
      <c r="B145" s="77"/>
      <c r="C145" s="10"/>
      <c r="D145" s="15"/>
      <c r="E145" s="5"/>
      <c r="F145" s="5"/>
      <c r="G145" s="5"/>
      <c r="H145" s="6"/>
      <c r="I145" s="7"/>
      <c r="J145" s="20"/>
    </row>
    <row r="146" spans="1:10" x14ac:dyDescent="0.25">
      <c r="A146" s="79" t="s">
        <v>248</v>
      </c>
      <c r="B146" s="73">
        <v>46056</v>
      </c>
      <c r="C146" s="74" t="s">
        <v>9</v>
      </c>
      <c r="D146" s="74" t="s">
        <v>245</v>
      </c>
      <c r="E146" s="74">
        <v>1000028696</v>
      </c>
      <c r="F146" s="74" t="s">
        <v>246</v>
      </c>
      <c r="G146" s="74" t="s">
        <v>247</v>
      </c>
      <c r="H146" s="75">
        <v>2.4807000000000001</v>
      </c>
      <c r="I146" s="76">
        <v>150</v>
      </c>
      <c r="J146" s="51" t="s">
        <v>37</v>
      </c>
    </row>
    <row r="147" spans="1:10" x14ac:dyDescent="0.25">
      <c r="A147" s="93" t="s">
        <v>291</v>
      </c>
      <c r="B147" s="73">
        <v>46114</v>
      </c>
      <c r="C147" s="74" t="s">
        <v>9</v>
      </c>
      <c r="D147" s="74" t="s">
        <v>285</v>
      </c>
      <c r="E147" s="74">
        <v>1100133962</v>
      </c>
      <c r="F147" s="95" t="s">
        <v>139</v>
      </c>
      <c r="G147" s="95" t="s">
        <v>131</v>
      </c>
      <c r="H147" s="75">
        <v>0.49170000000000003</v>
      </c>
      <c r="I147" s="96">
        <v>450</v>
      </c>
      <c r="J147" s="51" t="s">
        <v>37</v>
      </c>
    </row>
  </sheetData>
  <mergeCells count="13">
    <mergeCell ref="A138:J138"/>
    <mergeCell ref="A143:J143"/>
    <mergeCell ref="A116:J116"/>
    <mergeCell ref="A81:J81"/>
    <mergeCell ref="A10:J10"/>
    <mergeCell ref="A31:J31"/>
    <mergeCell ref="A60:J60"/>
    <mergeCell ref="A122:J122"/>
    <mergeCell ref="A130:J130"/>
    <mergeCell ref="A105:J105"/>
    <mergeCell ref="A57:J57"/>
    <mergeCell ref="A79:J79"/>
    <mergeCell ref="A77:J77"/>
  </mergeCells>
  <phoneticPr fontId="1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</dc:creator>
  <cp:lastModifiedBy>Sales .</cp:lastModifiedBy>
  <dcterms:created xsi:type="dcterms:W3CDTF">2022-02-16T11:23:49Z</dcterms:created>
  <dcterms:modified xsi:type="dcterms:W3CDTF">2026-03-12T12:19:38Z</dcterms:modified>
</cp:coreProperties>
</file>