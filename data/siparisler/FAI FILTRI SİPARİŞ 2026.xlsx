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120601E4-AB0B-4CBA-BED0-EB663B652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J28" i="2" l="1"/>
  <c r="J27" i="2"/>
  <c r="J23" i="2"/>
  <c r="J26" i="2"/>
  <c r="J25" i="2"/>
  <c r="J24" i="2" l="1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</calcChain>
</file>

<file path=xl/sharedStrings.xml><?xml version="1.0" encoding="utf-8"?>
<sst xmlns="http://schemas.openxmlformats.org/spreadsheetml/2006/main" count="196" uniqueCount="106">
  <si>
    <t>DESC. OF GOOD</t>
  </si>
  <si>
    <t>PRICE</t>
  </si>
  <si>
    <t>QUANTITIY</t>
  </si>
  <si>
    <t>NOTES</t>
  </si>
  <si>
    <t>NETSIS</t>
  </si>
  <si>
    <t>FAI FILTRI Order NO</t>
  </si>
  <si>
    <t>FAI FILTRI CODE</t>
  </si>
  <si>
    <t>004.1.5001</t>
  </si>
  <si>
    <t>ISKA CODE</t>
  </si>
  <si>
    <t>TÜRKİYE İŞ BANKASI</t>
  </si>
  <si>
    <t>R 1850</t>
  </si>
  <si>
    <t>004.1.5056</t>
  </si>
  <si>
    <t>R 1858</t>
  </si>
  <si>
    <t>004.1.0001</t>
  </si>
  <si>
    <t>R 1860/2</t>
  </si>
  <si>
    <t>004.1.5030</t>
  </si>
  <si>
    <t>GUARNIZIONE DI88,5 SP5 NBR</t>
  </si>
  <si>
    <t>DAP</t>
  </si>
  <si>
    <t>R 1869</t>
  </si>
  <si>
    <t>60 GÜN VADE AY SONU ÖDEME</t>
  </si>
  <si>
    <t>004.1.5097</t>
  </si>
  <si>
    <t>004.1.0010</t>
  </si>
  <si>
    <t>004.1.0082</t>
  </si>
  <si>
    <t>004.1.0090</t>
  </si>
  <si>
    <t>004.1.0141</t>
  </si>
  <si>
    <t>004.1.0402</t>
  </si>
  <si>
    <t>004.1.0438</t>
  </si>
  <si>
    <t>004.1.0780</t>
  </si>
  <si>
    <t>004.1.0567</t>
  </si>
  <si>
    <t>004.1.5111</t>
  </si>
  <si>
    <t>004.1.0434</t>
  </si>
  <si>
    <t>R 1899</t>
  </si>
  <si>
    <t>R 1901/3,5</t>
  </si>
  <si>
    <t>R 1904/2</t>
  </si>
  <si>
    <t>R 1902/6</t>
  </si>
  <si>
    <t>R 1902 C/6</t>
  </si>
  <si>
    <t>R 1907</t>
  </si>
  <si>
    <t>R 1906/7,5</t>
  </si>
  <si>
    <t>R 1906 A/7,5</t>
  </si>
  <si>
    <t>R 1900/2</t>
  </si>
  <si>
    <t>R 1901 C/8</t>
  </si>
  <si>
    <t>004.1.0003</t>
  </si>
  <si>
    <t>R 1917 VT</t>
  </si>
  <si>
    <t>R 1916 VT</t>
  </si>
  <si>
    <t>004.1.0355</t>
  </si>
  <si>
    <t>80x120 cm paletler</t>
  </si>
  <si>
    <t>004.1.0667</t>
  </si>
  <si>
    <t>R 1936/5</t>
  </si>
  <si>
    <t>004.1.0011</t>
  </si>
  <si>
    <t>R 1945/5</t>
  </si>
  <si>
    <t>%100 FAI</t>
  </si>
  <si>
    <t>R 1906 C/7,5</t>
  </si>
  <si>
    <t>004.1.0060</t>
  </si>
  <si>
    <t>004.1.0781</t>
  </si>
  <si>
    <t>R 1958/5</t>
  </si>
  <si>
    <t>R 1959/2</t>
  </si>
  <si>
    <t>YIL</t>
  </si>
  <si>
    <t>FAI FILTRI</t>
  </si>
  <si>
    <t>BAŞLANGIÇ</t>
  </si>
  <si>
    <t>TOPLAM</t>
  </si>
  <si>
    <t>ALMASI GEREKEN</t>
  </si>
  <si>
    <t>KALAN</t>
  </si>
  <si>
    <t>STOK_KODU</t>
  </si>
  <si>
    <t>CODE</t>
  </si>
  <si>
    <t>YILI</t>
  </si>
  <si>
    <t>MİKTAR</t>
  </si>
  <si>
    <t>Genel Toplam</t>
  </si>
  <si>
    <t>004.1.5104</t>
  </si>
  <si>
    <t>004.1.5105</t>
  </si>
  <si>
    <t>R 1965 VT</t>
  </si>
  <si>
    <t>R 1966 VT</t>
  </si>
  <si>
    <t>%50 FAI</t>
  </si>
  <si>
    <t>GUARNIZIONE 37.2X28X2 NBR</t>
  </si>
  <si>
    <t>GUARNIZIONE 128X114X5 NBR</t>
  </si>
  <si>
    <t>004.1.0025</t>
  </si>
  <si>
    <t>R 1905/6,5</t>
  </si>
  <si>
    <t>GUARN. 106,5X96,7X6,5 NBR</t>
  </si>
  <si>
    <t>GUARNIZIONE 130X120X5 NBR</t>
  </si>
  <si>
    <t>GUARNIZIONE 71X62X6 VITON</t>
  </si>
  <si>
    <t>GUARNIZIONE 71X62X6 NBR F700</t>
  </si>
  <si>
    <t>004.1.0564</t>
  </si>
  <si>
    <t>R 1902 A/6</t>
  </si>
  <si>
    <t>GUARNIZIONE 71X62X6 AEM</t>
  </si>
  <si>
    <t>GUARNIZIONE 40X32X2 NBR</t>
  </si>
  <si>
    <t>19.03.2026 SHIPMENT - 02.04.2026 DELIVERY</t>
  </si>
  <si>
    <t>GUARNIZIONE 124.8X114.2X6 NBR</t>
  </si>
  <si>
    <t>GUARN. DI.62,5 SEZ.4,5 BUNA-N</t>
  </si>
  <si>
    <t>IHR-533</t>
  </si>
  <si>
    <t>IHR-789</t>
  </si>
  <si>
    <t>19.02.2026 SHIPMENT - MARCH DELIVERY</t>
  </si>
  <si>
    <t>21.05.2026 SHIPMENT - JUNE DELIVERY</t>
  </si>
  <si>
    <t>18.06.2026 SHIPMENT - 03.07.2026 DELIVERY</t>
  </si>
  <si>
    <t>IHR-927</t>
  </si>
  <si>
    <t>22.01.2026 SHIPMENT - 02.02.2026 DELIVERY</t>
  </si>
  <si>
    <t>TOPLAM SİPARİŞ 60.000 ADET</t>
  </si>
  <si>
    <t>TOPLAM SİPARİŞ 5.000 ADET</t>
  </si>
  <si>
    <t>TOPLAM SİPARİŞ 3000 ADET</t>
  </si>
  <si>
    <t>TOPLAM SİPARİŞ 5.000 ADET / 2.425 ADET 22.01'DE SEVK EDİLDİ</t>
  </si>
  <si>
    <t>TOPLAM SİPARİŞ 3000 ADET / 2.900 ADET 22.01'DE SEVK EDİLDİ</t>
  </si>
  <si>
    <t>TOPLAM SİPARİŞ 60.000 ADET / 57.750 ADET 22.01'DE SEVK EDİLDİ</t>
  </si>
  <si>
    <t>TOPLAM SİPARİŞ 5.000 ADET / 2.425 ADET 22.01'DE SEVK EDİLDİ / 2.505 ADET 19.02'DE SEVK EDİLDİ</t>
  </si>
  <si>
    <t>GUARNIZ. 109.5X100.5X7.5 AEM</t>
  </si>
  <si>
    <t>24.12.2026 SHIPMENT - 10.01.2027 DELIVERY</t>
  </si>
  <si>
    <t>GUARNIZ.DI62,5 SEZ.4,5 SP8 F70</t>
  </si>
  <si>
    <t>16.04.2026 SHIPMENT - 04.05.2026 DELIVERY</t>
  </si>
  <si>
    <t>GUARNIZIONE 36X28 VITON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</si>
</sst>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  <numFmt numFmtId="167" formatCode="#,##0.00\ [$€-1];[Red]\-#,##0.00\ [$€-1]"/>
  </numFmts>
  <fonts count="21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charset val="162"/>
      <scheme val="minor"/>
    </font>
    <font>
      <b/>
      <sz val="10"/>
      <name val="Arial"/>
      <family val="2"/>
      <charset val="16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35" borderId="14" xfId="0" applyFont="1" applyFill="1" applyBorder="1" applyAlignment="1">
      <alignment horizontal="center"/>
    </xf>
    <xf numFmtId="0" fontId="20" fillId="36" borderId="14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 wrapText="1"/>
    </xf>
    <xf numFmtId="3" fontId="20" fillId="35" borderId="14" xfId="0" applyNumberFormat="1" applyFont="1" applyFill="1" applyBorder="1" applyAlignment="1">
      <alignment horizontal="center"/>
    </xf>
    <xf numFmtId="3" fontId="0" fillId="35" borderId="14" xfId="0" applyNumberFormat="1" applyFill="1" applyBorder="1" applyAlignment="1">
      <alignment horizontal="center"/>
    </xf>
    <xf numFmtId="3" fontId="0" fillId="36" borderId="14" xfId="0" applyNumberFormat="1" applyFill="1" applyBorder="1" applyAlignment="1">
      <alignment horizontal="center"/>
    </xf>
    <xf numFmtId="3" fontId="20" fillId="34" borderId="14" xfId="0" applyNumberFormat="1" applyFont="1" applyFill="1" applyBorder="1" applyAlignment="1">
      <alignment horizontal="center"/>
    </xf>
    <xf numFmtId="0" fontId="20" fillId="37" borderId="14" xfId="0" applyFont="1" applyFill="1" applyBorder="1" applyAlignment="1">
      <alignment horizontal="center"/>
    </xf>
    <xf numFmtId="3" fontId="0" fillId="37" borderId="14" xfId="0" applyNumberFormat="1" applyFill="1" applyBorder="1" applyAlignment="1">
      <alignment horizontal="center"/>
    </xf>
    <xf numFmtId="3" fontId="20" fillId="37" borderId="14" xfId="0" applyNumberFormat="1" applyFont="1" applyFill="1" applyBorder="1" applyAlignment="1">
      <alignment horizontal="center"/>
    </xf>
    <xf numFmtId="3" fontId="20" fillId="36" borderId="14" xfId="0" applyNumberFormat="1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3" fontId="0" fillId="2" borderId="14" xfId="0" applyNumberFormat="1" applyFill="1" applyBorder="1" applyAlignment="1">
      <alignment horizontal="center"/>
    </xf>
    <xf numFmtId="3" fontId="20" fillId="2" borderId="14" xfId="0" applyNumberFormat="1" applyFont="1" applyFill="1" applyBorder="1" applyAlignment="1">
      <alignment horizontal="center"/>
    </xf>
    <xf numFmtId="167" fontId="0" fillId="0" borderId="0" xfId="0" applyNumberFormat="1"/>
    <xf numFmtId="17" fontId="1" fillId="2" borderId="11" xfId="0" applyNumberFormat="1" applyFont="1" applyFill="1" applyBorder="1" applyAlignment="1">
      <alignment horizontal="center"/>
    </xf>
    <xf numFmtId="17" fontId="1" fillId="2" borderId="12" xfId="0" applyNumberFormat="1" applyFont="1" applyFill="1" applyBorder="1" applyAlignment="1">
      <alignment horizontal="center"/>
    </xf>
    <xf numFmtId="17" fontId="1" fillId="2" borderId="13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257736</xdr:colOff>
      <xdr:row>2</xdr:row>
      <xdr:rowOff>112059</xdr:rowOff>
    </xdr:from>
    <xdr:to>
      <xdr:col>4</xdr:col>
      <xdr:colOff>800100</xdr:colOff>
      <xdr:row>6</xdr:row>
      <xdr:rowOff>26334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3942" y="493059"/>
          <a:ext cx="1214717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5:M78"/>
  <sheetViews>
    <sheetView tabSelected="1" topLeftCell="A31" zoomScale="85" zoomScaleNormal="85" workbookViewId="0">
      <selection activeCell="H56" sqref="H56"/>
    </sheetView>
  </sheetViews>
  <sheetFormatPr defaultRowHeight="15" x14ac:dyDescent="0.25"/>
  <cols>
    <col min="1" max="2" width="9.140625" style="2"/>
    <col min="3" max="3" width="10.5703125" style="2" bestFit="1" customWidth="1"/>
    <col min="4" max="4" width="10.140625" style="2" bestFit="1" customWidth="1"/>
    <col min="5" max="5" width="19.28515625" style="2" bestFit="1" customWidth="1"/>
    <col min="6" max="6" width="23.140625" style="2" bestFit="1" customWidth="1"/>
    <col min="7" max="7" width="11.85546875" style="2" bestFit="1" customWidth="1"/>
    <col min="8" max="8" width="58.42578125" style="2" bestFit="1" customWidth="1"/>
    <col min="9" max="9" width="12.5703125" style="2" customWidth="1"/>
    <col min="10" max="10" width="14.28515625" style="2" bestFit="1" customWidth="1"/>
    <col min="11" max="11" width="63" bestFit="1" customWidth="1"/>
    <col min="12" max="12" width="31.85546875" style="2" bestFit="1" customWidth="1"/>
    <col min="13" max="14" width="11.7109375" style="2" bestFit="1" customWidth="1"/>
    <col min="15" max="16384" width="9.140625" style="2"/>
  </cols>
  <sheetData>
    <row r="5" spans="4:13" x14ac:dyDescent="0.25">
      <c r="H5" s="2" t="s">
        <v>19</v>
      </c>
      <c r="J5" s="2" t="s">
        <v>45</v>
      </c>
    </row>
    <row r="6" spans="4:13" x14ac:dyDescent="0.25">
      <c r="H6" s="2" t="s">
        <v>9</v>
      </c>
    </row>
    <row r="7" spans="4:13" x14ac:dyDescent="0.25">
      <c r="H7" s="2" t="s">
        <v>17</v>
      </c>
    </row>
    <row r="9" spans="4:13" x14ac:dyDescent="0.25">
      <c r="D9" s="1" t="s">
        <v>4</v>
      </c>
      <c r="E9" s="1" t="s">
        <v>5</v>
      </c>
      <c r="F9" s="1" t="s">
        <v>6</v>
      </c>
      <c r="G9" s="3" t="s">
        <v>8</v>
      </c>
      <c r="H9" s="1" t="s">
        <v>0</v>
      </c>
      <c r="I9" s="4" t="s">
        <v>1</v>
      </c>
      <c r="J9" s="1" t="s">
        <v>2</v>
      </c>
      <c r="K9" s="7" t="s">
        <v>3</v>
      </c>
    </row>
    <row r="10" spans="4:13" x14ac:dyDescent="0.25">
      <c r="D10" s="28" t="s">
        <v>93</v>
      </c>
      <c r="E10" s="29"/>
      <c r="F10" s="29"/>
      <c r="G10" s="29"/>
      <c r="H10" s="29"/>
      <c r="I10" s="29"/>
      <c r="J10" s="29"/>
      <c r="K10" s="30"/>
      <c r="L10" s="5"/>
      <c r="M10" s="5"/>
    </row>
    <row r="11" spans="4:13" x14ac:dyDescent="0.25">
      <c r="D11" s="11" t="s">
        <v>87</v>
      </c>
      <c r="E11" s="11">
        <v>252699</v>
      </c>
      <c r="F11" s="10" t="s">
        <v>74</v>
      </c>
      <c r="G11" s="10" t="s">
        <v>75</v>
      </c>
      <c r="H11" s="11" t="s">
        <v>76</v>
      </c>
      <c r="I11" s="8">
        <v>0.1033</v>
      </c>
      <c r="J11" s="9">
        <v>57750</v>
      </c>
      <c r="K11" s="6" t="s">
        <v>94</v>
      </c>
      <c r="L11" s="5"/>
      <c r="M11" s="5"/>
    </row>
    <row r="12" spans="4:13" x14ac:dyDescent="0.25">
      <c r="D12" s="11" t="s">
        <v>87</v>
      </c>
      <c r="E12" s="11">
        <v>252702</v>
      </c>
      <c r="F12" s="10" t="s">
        <v>22</v>
      </c>
      <c r="G12" s="10" t="s">
        <v>43</v>
      </c>
      <c r="H12" s="11" t="s">
        <v>78</v>
      </c>
      <c r="I12" s="8">
        <v>0.72119999999999995</v>
      </c>
      <c r="J12" s="9">
        <v>2425</v>
      </c>
      <c r="K12" s="6" t="s">
        <v>95</v>
      </c>
      <c r="L12" s="5"/>
      <c r="M12" s="5"/>
    </row>
    <row r="13" spans="4:13" x14ac:dyDescent="0.25">
      <c r="D13" s="11" t="s">
        <v>87</v>
      </c>
      <c r="E13" s="11">
        <v>252708</v>
      </c>
      <c r="F13" s="10" t="s">
        <v>29</v>
      </c>
      <c r="G13" s="10" t="s">
        <v>36</v>
      </c>
      <c r="H13" s="11" t="s">
        <v>85</v>
      </c>
      <c r="I13" s="8">
        <v>0.1739</v>
      </c>
      <c r="J13" s="9">
        <v>2900</v>
      </c>
      <c r="K13" s="6" t="s">
        <v>96</v>
      </c>
      <c r="L13" s="5"/>
      <c r="M13" s="5"/>
    </row>
    <row r="14" spans="4:13" x14ac:dyDescent="0.25">
      <c r="D14" s="11" t="s">
        <v>88</v>
      </c>
      <c r="E14" s="11">
        <v>253314</v>
      </c>
      <c r="F14" s="10" t="s">
        <v>80</v>
      </c>
      <c r="G14" s="10" t="s">
        <v>81</v>
      </c>
      <c r="H14" s="10" t="s">
        <v>82</v>
      </c>
      <c r="I14" s="8">
        <v>0.1953</v>
      </c>
      <c r="J14" s="9">
        <v>5000</v>
      </c>
      <c r="K14" s="6"/>
      <c r="L14" s="5"/>
      <c r="M14" s="5"/>
    </row>
    <row r="15" spans="4:13" x14ac:dyDescent="0.25">
      <c r="D15" s="28" t="s">
        <v>89</v>
      </c>
      <c r="E15" s="29"/>
      <c r="F15" s="29"/>
      <c r="G15" s="29"/>
      <c r="H15" s="29"/>
      <c r="I15" s="29"/>
      <c r="J15" s="29"/>
      <c r="K15" s="30"/>
      <c r="L15" s="5"/>
      <c r="M15" s="5"/>
    </row>
    <row r="16" spans="4:13" x14ac:dyDescent="0.25">
      <c r="D16" s="11" t="s">
        <v>87</v>
      </c>
      <c r="E16" s="11">
        <v>252699</v>
      </c>
      <c r="F16" s="10" t="s">
        <v>74</v>
      </c>
      <c r="G16" s="10" t="s">
        <v>75</v>
      </c>
      <c r="H16" s="11" t="s">
        <v>76</v>
      </c>
      <c r="I16" s="8">
        <v>0.1033</v>
      </c>
      <c r="J16" s="9">
        <v>2250</v>
      </c>
      <c r="K16" s="6" t="s">
        <v>99</v>
      </c>
      <c r="L16" s="5"/>
      <c r="M16" s="5"/>
    </row>
    <row r="17" spans="4:13" x14ac:dyDescent="0.25">
      <c r="D17" s="11" t="s">
        <v>87</v>
      </c>
      <c r="E17" s="11">
        <v>252702</v>
      </c>
      <c r="F17" s="10" t="s">
        <v>22</v>
      </c>
      <c r="G17" s="10" t="s">
        <v>43</v>
      </c>
      <c r="H17" s="11" t="s">
        <v>78</v>
      </c>
      <c r="I17" s="8">
        <v>0.72119999999999995</v>
      </c>
      <c r="J17" s="9">
        <v>2505</v>
      </c>
      <c r="K17" s="6" t="s">
        <v>97</v>
      </c>
      <c r="L17" s="5"/>
      <c r="M17" s="5"/>
    </row>
    <row r="18" spans="4:13" x14ac:dyDescent="0.25">
      <c r="D18" s="11" t="s">
        <v>87</v>
      </c>
      <c r="E18" s="11">
        <v>252708</v>
      </c>
      <c r="F18" s="10" t="s">
        <v>29</v>
      </c>
      <c r="G18" s="10" t="s">
        <v>36</v>
      </c>
      <c r="H18" s="11" t="s">
        <v>85</v>
      </c>
      <c r="I18" s="8">
        <v>0.1739</v>
      </c>
      <c r="J18" s="9">
        <v>100</v>
      </c>
      <c r="K18" s="6" t="s">
        <v>98</v>
      </c>
      <c r="L18" s="5"/>
      <c r="M18" s="5"/>
    </row>
    <row r="19" spans="4:13" x14ac:dyDescent="0.25">
      <c r="D19" s="11" t="s">
        <v>87</v>
      </c>
      <c r="E19" s="11">
        <v>252695</v>
      </c>
      <c r="F19" s="10" t="s">
        <v>41</v>
      </c>
      <c r="G19" s="10" t="s">
        <v>39</v>
      </c>
      <c r="H19" s="11" t="s">
        <v>83</v>
      </c>
      <c r="I19" s="8">
        <v>1.37E-2</v>
      </c>
      <c r="J19" s="9">
        <v>20000</v>
      </c>
      <c r="K19" s="6"/>
      <c r="L19" s="5"/>
      <c r="M19" s="5"/>
    </row>
    <row r="20" spans="4:13" x14ac:dyDescent="0.25">
      <c r="D20" s="11" t="s">
        <v>87</v>
      </c>
      <c r="E20" s="11">
        <v>252696</v>
      </c>
      <c r="F20" s="10" t="s">
        <v>21</v>
      </c>
      <c r="G20" s="10" t="s">
        <v>32</v>
      </c>
      <c r="H20" s="11" t="s">
        <v>86</v>
      </c>
      <c r="I20" s="8">
        <v>3.1699999999999999E-2</v>
      </c>
      <c r="J20" s="9">
        <v>20000</v>
      </c>
      <c r="K20" s="6"/>
      <c r="L20" s="5"/>
      <c r="M20" s="5"/>
    </row>
    <row r="21" spans="4:13" x14ac:dyDescent="0.25">
      <c r="D21" s="11"/>
      <c r="E21" s="11"/>
      <c r="F21" s="10"/>
      <c r="G21" s="10"/>
      <c r="H21" s="10"/>
      <c r="I21" s="8"/>
      <c r="J21" s="9"/>
      <c r="K21" s="6"/>
      <c r="L21" s="5"/>
      <c r="M21" s="5"/>
    </row>
    <row r="22" spans="4:13" x14ac:dyDescent="0.25">
      <c r="D22" s="28" t="s">
        <v>84</v>
      </c>
      <c r="E22" s="29"/>
      <c r="F22" s="29"/>
      <c r="G22" s="29"/>
      <c r="H22" s="29"/>
      <c r="I22" s="29"/>
      <c r="J22" s="29"/>
      <c r="K22" s="30"/>
      <c r="L22" s="5"/>
      <c r="M22" s="5"/>
    </row>
    <row r="23" spans="4:13" x14ac:dyDescent="0.25">
      <c r="D23" s="11" t="s">
        <v>87</v>
      </c>
      <c r="E23" s="11">
        <v>252702</v>
      </c>
      <c r="F23" s="10" t="s">
        <v>22</v>
      </c>
      <c r="G23" s="10" t="s">
        <v>43</v>
      </c>
      <c r="H23" s="11" t="s">
        <v>78</v>
      </c>
      <c r="I23" s="8">
        <v>0.72119999999999995</v>
      </c>
      <c r="J23" s="9">
        <v>70</v>
      </c>
      <c r="K23" s="6" t="s">
        <v>100</v>
      </c>
      <c r="L23" s="5"/>
      <c r="M23" s="5"/>
    </row>
    <row r="24" spans="4:13" x14ac:dyDescent="0.25">
      <c r="D24" s="11" t="s">
        <v>87</v>
      </c>
      <c r="E24" s="11">
        <v>252694</v>
      </c>
      <c r="F24" s="10" t="s">
        <v>13</v>
      </c>
      <c r="G24" s="10" t="s">
        <v>14</v>
      </c>
      <c r="H24" s="10" t="s">
        <v>72</v>
      </c>
      <c r="I24" s="8">
        <v>1.7500000000000002E-2</v>
      </c>
      <c r="J24" s="9">
        <v>70000</v>
      </c>
      <c r="K24" s="6"/>
      <c r="L24" s="5"/>
      <c r="M24" s="5"/>
    </row>
    <row r="25" spans="4:13" x14ac:dyDescent="0.25">
      <c r="D25" s="11" t="s">
        <v>87</v>
      </c>
      <c r="E25" s="11">
        <v>252697</v>
      </c>
      <c r="F25" s="10" t="s">
        <v>48</v>
      </c>
      <c r="G25" s="10" t="s">
        <v>49</v>
      </c>
      <c r="H25" s="10" t="s">
        <v>73</v>
      </c>
      <c r="I25" s="8">
        <v>0.17630000000000001</v>
      </c>
      <c r="J25" s="9">
        <v>5000</v>
      </c>
      <c r="K25" s="6"/>
      <c r="L25" s="5"/>
      <c r="M25" s="5"/>
    </row>
    <row r="26" spans="4:13" x14ac:dyDescent="0.25">
      <c r="D26" s="11" t="s">
        <v>87</v>
      </c>
      <c r="E26" s="11">
        <v>252699</v>
      </c>
      <c r="F26" s="10" t="s">
        <v>74</v>
      </c>
      <c r="G26" s="10" t="s">
        <v>75</v>
      </c>
      <c r="H26" s="11" t="s">
        <v>76</v>
      </c>
      <c r="I26" s="8">
        <v>0.1033</v>
      </c>
      <c r="J26" s="9">
        <v>60000</v>
      </c>
      <c r="K26" s="6"/>
      <c r="L26" s="5"/>
      <c r="M26" s="5"/>
    </row>
    <row r="27" spans="4:13" x14ac:dyDescent="0.25">
      <c r="D27" s="11" t="s">
        <v>87</v>
      </c>
      <c r="E27" s="11">
        <v>252700</v>
      </c>
      <c r="F27" s="10" t="s">
        <v>52</v>
      </c>
      <c r="G27" s="10" t="s">
        <v>54</v>
      </c>
      <c r="H27" s="10" t="s">
        <v>77</v>
      </c>
      <c r="I27" s="8">
        <v>0.14899999999999999</v>
      </c>
      <c r="J27" s="9">
        <v>4000</v>
      </c>
      <c r="K27" s="6"/>
      <c r="L27" s="5"/>
      <c r="M27" s="5"/>
    </row>
    <row r="28" spans="4:13" x14ac:dyDescent="0.25">
      <c r="D28" s="11" t="s">
        <v>87</v>
      </c>
      <c r="E28" s="11">
        <v>252704</v>
      </c>
      <c r="F28" s="10" t="s">
        <v>25</v>
      </c>
      <c r="G28" s="10" t="s">
        <v>35</v>
      </c>
      <c r="H28" s="10" t="s">
        <v>79</v>
      </c>
      <c r="I28" s="8">
        <v>5.6500000000000002E-2</v>
      </c>
      <c r="J28" s="9">
        <v>60000</v>
      </c>
      <c r="K28" s="6"/>
      <c r="L28" s="5"/>
      <c r="M28" s="5"/>
    </row>
    <row r="29" spans="4:13" x14ac:dyDescent="0.25">
      <c r="D29" s="11" t="s">
        <v>92</v>
      </c>
      <c r="E29" s="11">
        <v>253833</v>
      </c>
      <c r="F29" s="10" t="s">
        <v>15</v>
      </c>
      <c r="G29" s="10" t="s">
        <v>18</v>
      </c>
      <c r="H29" s="10" t="s">
        <v>16</v>
      </c>
      <c r="I29" s="8">
        <v>9.8000000000000004E-2</v>
      </c>
      <c r="J29" s="9">
        <v>30000</v>
      </c>
      <c r="K29" s="6"/>
      <c r="L29" s="5"/>
      <c r="M29" s="5"/>
    </row>
    <row r="30" spans="4:13" x14ac:dyDescent="0.25">
      <c r="D30" s="11"/>
      <c r="E30" s="11"/>
      <c r="F30" s="10"/>
      <c r="G30" s="10"/>
      <c r="H30" s="10"/>
      <c r="I30" s="8"/>
      <c r="J30" s="9"/>
      <c r="K30" s="6"/>
      <c r="L30" s="5"/>
      <c r="M30" s="5"/>
    </row>
    <row r="31" spans="4:13" x14ac:dyDescent="0.25">
      <c r="D31" s="28" t="s">
        <v>104</v>
      </c>
      <c r="E31" s="29"/>
      <c r="F31" s="29"/>
      <c r="G31" s="29"/>
      <c r="H31" s="29"/>
      <c r="I31" s="29"/>
      <c r="J31" s="29"/>
      <c r="K31" s="30"/>
      <c r="L31" s="5"/>
      <c r="M31" s="5"/>
    </row>
    <row r="32" spans="4:13" x14ac:dyDescent="0.25">
      <c r="D32" s="11"/>
      <c r="E32" s="11">
        <v>260780</v>
      </c>
      <c r="F32" s="10" t="s">
        <v>28</v>
      </c>
      <c r="G32" s="10" t="s">
        <v>38</v>
      </c>
      <c r="H32" s="10" t="s">
        <v>101</v>
      </c>
      <c r="I32" s="8">
        <v>0.2465</v>
      </c>
      <c r="J32" s="9">
        <v>3000</v>
      </c>
      <c r="K32" s="6"/>
      <c r="L32" s="5"/>
      <c r="M32" s="5"/>
    </row>
    <row r="33" spans="4:13" x14ac:dyDescent="0.25">
      <c r="D33" s="11"/>
      <c r="E33" s="11">
        <v>260892</v>
      </c>
      <c r="F33" s="10" t="s">
        <v>26</v>
      </c>
      <c r="G33" s="10" t="s">
        <v>40</v>
      </c>
      <c r="H33" s="11" t="s">
        <v>103</v>
      </c>
      <c r="I33" s="8">
        <v>7.8299999999999995E-2</v>
      </c>
      <c r="J33" s="9">
        <v>2000</v>
      </c>
      <c r="K33" s="6"/>
      <c r="L33" s="5"/>
      <c r="M33" s="5"/>
    </row>
    <row r="34" spans="4:13" x14ac:dyDescent="0.25">
      <c r="D34" s="11"/>
      <c r="E34" s="11"/>
      <c r="F34" s="10"/>
      <c r="G34" s="10"/>
      <c r="H34" s="10"/>
      <c r="I34" s="8"/>
      <c r="J34" s="9"/>
      <c r="K34" s="6"/>
      <c r="L34" s="5"/>
      <c r="M34" s="5"/>
    </row>
    <row r="35" spans="4:13" x14ac:dyDescent="0.25">
      <c r="D35" s="11"/>
      <c r="E35" s="11"/>
      <c r="F35" s="10"/>
      <c r="G35" s="10"/>
      <c r="H35" s="10"/>
      <c r="I35" s="8"/>
      <c r="J35" s="9"/>
      <c r="K35" s="6"/>
      <c r="L35" s="5"/>
      <c r="M35" s="5"/>
    </row>
    <row r="36" spans="4:13" x14ac:dyDescent="0.25">
      <c r="D36" s="11"/>
      <c r="E36" s="11"/>
      <c r="F36" s="10"/>
      <c r="G36" s="10"/>
      <c r="H36" s="10"/>
      <c r="I36" s="8"/>
      <c r="J36" s="9"/>
      <c r="K36" s="6"/>
      <c r="L36" s="5"/>
      <c r="M36" s="5"/>
    </row>
    <row r="37" spans="4:13" x14ac:dyDescent="0.25">
      <c r="D37" s="11"/>
      <c r="E37" s="11"/>
      <c r="F37" s="10"/>
      <c r="G37" s="10"/>
      <c r="H37" s="10"/>
      <c r="I37" s="8"/>
      <c r="J37" s="9"/>
      <c r="K37" s="6"/>
      <c r="L37" s="5"/>
      <c r="M37" s="5"/>
    </row>
    <row r="38" spans="4:13" x14ac:dyDescent="0.25">
      <c r="D38" s="28" t="s">
        <v>90</v>
      </c>
      <c r="E38" s="29"/>
      <c r="F38" s="29"/>
      <c r="G38" s="29"/>
      <c r="H38" s="29"/>
      <c r="I38" s="29"/>
      <c r="J38" s="29"/>
      <c r="K38" s="30"/>
      <c r="L38" s="5"/>
      <c r="M38" s="5"/>
    </row>
    <row r="39" spans="4:13" x14ac:dyDescent="0.25">
      <c r="D39" s="11" t="s">
        <v>87</v>
      </c>
      <c r="E39" s="11">
        <v>252696</v>
      </c>
      <c r="F39" s="10" t="s">
        <v>21</v>
      </c>
      <c r="G39" s="10" t="s">
        <v>32</v>
      </c>
      <c r="H39" s="11" t="s">
        <v>86</v>
      </c>
      <c r="I39" s="8">
        <v>3.1699999999999999E-2</v>
      </c>
      <c r="J39" s="9">
        <v>20000</v>
      </c>
      <c r="K39" s="6"/>
      <c r="L39" s="5"/>
      <c r="M39" s="5"/>
    </row>
    <row r="40" spans="4:13" x14ac:dyDescent="0.25">
      <c r="D40" s="11"/>
      <c r="E40" s="11">
        <v>260891</v>
      </c>
      <c r="F40" s="10" t="s">
        <v>80</v>
      </c>
      <c r="G40" s="10" t="s">
        <v>81</v>
      </c>
      <c r="H40" s="10" t="s">
        <v>82</v>
      </c>
      <c r="I40" s="8">
        <v>0.1953</v>
      </c>
      <c r="J40" s="9">
        <v>5000</v>
      </c>
      <c r="K40" s="6"/>
      <c r="L40" s="5"/>
      <c r="M40" s="5"/>
    </row>
    <row r="41" spans="4:13" x14ac:dyDescent="0.25">
      <c r="D41" s="11"/>
      <c r="E41" s="11">
        <v>260894</v>
      </c>
      <c r="F41" s="10" t="s">
        <v>74</v>
      </c>
      <c r="G41" s="10" t="s">
        <v>75</v>
      </c>
      <c r="H41" s="11" t="s">
        <v>76</v>
      </c>
      <c r="I41" s="8">
        <v>0.1033</v>
      </c>
      <c r="J41" s="9">
        <v>60000</v>
      </c>
      <c r="K41" s="6"/>
      <c r="L41" s="5"/>
      <c r="M41" s="5"/>
    </row>
    <row r="42" spans="4:13" x14ac:dyDescent="0.25">
      <c r="D42" s="11"/>
      <c r="E42" s="11"/>
      <c r="F42" s="11"/>
      <c r="G42" s="11"/>
      <c r="H42" s="11"/>
      <c r="I42" s="11"/>
      <c r="J42" s="11"/>
      <c r="K42" s="6"/>
      <c r="L42" s="5"/>
      <c r="M42" s="5"/>
    </row>
    <row r="43" spans="4:13" x14ac:dyDescent="0.25">
      <c r="D43" s="28" t="s">
        <v>91</v>
      </c>
      <c r="E43" s="29"/>
      <c r="F43" s="29"/>
      <c r="G43" s="29"/>
      <c r="H43" s="29"/>
      <c r="I43" s="29"/>
      <c r="J43" s="29"/>
      <c r="K43" s="30"/>
      <c r="L43" s="5"/>
      <c r="M43" s="5"/>
    </row>
    <row r="44" spans="4:13" x14ac:dyDescent="0.25">
      <c r="D44" s="11" t="s">
        <v>92</v>
      </c>
      <c r="E44" s="11">
        <v>253833</v>
      </c>
      <c r="F44" s="10" t="s">
        <v>15</v>
      </c>
      <c r="G44" s="10" t="s">
        <v>18</v>
      </c>
      <c r="H44" s="10" t="s">
        <v>16</v>
      </c>
      <c r="I44" s="8">
        <v>9.8000000000000004E-2</v>
      </c>
      <c r="J44" s="9">
        <v>30000</v>
      </c>
      <c r="K44" s="6"/>
      <c r="L44" s="5"/>
      <c r="M44" s="5"/>
    </row>
    <row r="45" spans="4:13" x14ac:dyDescent="0.25">
      <c r="D45" s="11"/>
      <c r="E45" s="11">
        <v>260893</v>
      </c>
      <c r="F45" s="10" t="s">
        <v>23</v>
      </c>
      <c r="G45" s="10" t="s">
        <v>42</v>
      </c>
      <c r="H45" s="11" t="s">
        <v>105</v>
      </c>
      <c r="I45" s="8">
        <v>0.19750000000000001</v>
      </c>
      <c r="J45" s="9">
        <v>4400</v>
      </c>
      <c r="K45" s="6"/>
      <c r="L45" s="5"/>
      <c r="M45" s="5"/>
    </row>
    <row r="46" spans="4:13" x14ac:dyDescent="0.25">
      <c r="D46" s="11"/>
      <c r="E46" s="11">
        <v>260895</v>
      </c>
      <c r="F46" s="10" t="s">
        <v>48</v>
      </c>
      <c r="G46" s="10" t="s">
        <v>49</v>
      </c>
      <c r="H46" s="10" t="s">
        <v>73</v>
      </c>
      <c r="I46" s="8">
        <v>0.17630000000000001</v>
      </c>
      <c r="J46" s="9">
        <v>5000</v>
      </c>
      <c r="K46" s="6"/>
      <c r="L46" s="5"/>
      <c r="M46" s="5"/>
    </row>
    <row r="47" spans="4:13" x14ac:dyDescent="0.25">
      <c r="D47" s="11"/>
      <c r="E47" s="11">
        <v>260896</v>
      </c>
      <c r="F47" s="11" t="s">
        <v>13</v>
      </c>
      <c r="G47" s="10" t="s">
        <v>14</v>
      </c>
      <c r="H47" s="10" t="s">
        <v>72</v>
      </c>
      <c r="I47" s="8">
        <v>1.7500000000000002E-2</v>
      </c>
      <c r="J47" s="9">
        <v>70000</v>
      </c>
      <c r="K47" s="6"/>
      <c r="L47" s="5"/>
      <c r="M47" s="5"/>
    </row>
    <row r="48" spans="4:13" x14ac:dyDescent="0.25">
      <c r="D48" s="11"/>
      <c r="E48" s="11"/>
      <c r="F48" s="10"/>
      <c r="G48" s="10"/>
      <c r="H48" s="10"/>
      <c r="I48" s="8"/>
      <c r="J48" s="9"/>
      <c r="K48" s="6"/>
      <c r="L48" s="5"/>
      <c r="M48" s="5"/>
    </row>
    <row r="49" spans="4:13" x14ac:dyDescent="0.25">
      <c r="D49" s="28" t="s">
        <v>102</v>
      </c>
      <c r="E49" s="29"/>
      <c r="F49" s="29"/>
      <c r="G49" s="29"/>
      <c r="H49" s="29"/>
      <c r="I49" s="29"/>
      <c r="J49" s="29"/>
      <c r="K49" s="30"/>
      <c r="L49" s="5"/>
      <c r="M49" s="5"/>
    </row>
    <row r="50" spans="4:13" x14ac:dyDescent="0.25">
      <c r="D50" s="11"/>
      <c r="E50" s="11">
        <v>260896</v>
      </c>
      <c r="F50" s="11" t="s">
        <v>13</v>
      </c>
      <c r="G50" s="10" t="s">
        <v>14</v>
      </c>
      <c r="H50" s="10" t="s">
        <v>72</v>
      </c>
      <c r="I50" s="8">
        <v>1.7500000000000002E-2</v>
      </c>
      <c r="J50" s="9">
        <v>70000</v>
      </c>
      <c r="K50" s="6"/>
      <c r="L50" s="5"/>
      <c r="M50" s="5"/>
    </row>
    <row r="51" spans="4:13" x14ac:dyDescent="0.25">
      <c r="D51" s="11"/>
      <c r="E51" s="11">
        <v>260895</v>
      </c>
      <c r="F51" s="10" t="s">
        <v>48</v>
      </c>
      <c r="G51" s="10" t="s">
        <v>49</v>
      </c>
      <c r="H51" s="10" t="s">
        <v>73</v>
      </c>
      <c r="I51" s="8">
        <v>0.17630000000000001</v>
      </c>
      <c r="J51" s="9">
        <v>5000</v>
      </c>
      <c r="K51" s="6"/>
      <c r="L51" s="5"/>
      <c r="M51" s="5"/>
    </row>
    <row r="52" spans="4:13" x14ac:dyDescent="0.25">
      <c r="D52" s="11"/>
      <c r="E52" s="11">
        <v>260894</v>
      </c>
      <c r="F52" s="10" t="s">
        <v>74</v>
      </c>
      <c r="G52" s="10" t="s">
        <v>75</v>
      </c>
      <c r="H52" s="11" t="s">
        <v>76</v>
      </c>
      <c r="I52" s="8">
        <v>0.1033</v>
      </c>
      <c r="J52" s="9">
        <v>60000</v>
      </c>
      <c r="K52" s="6"/>
      <c r="L52" s="5"/>
      <c r="M52" s="5"/>
    </row>
    <row r="53" spans="4:13" x14ac:dyDescent="0.25">
      <c r="D53" s="11"/>
      <c r="E53" s="11"/>
      <c r="F53" s="10"/>
      <c r="G53" s="10"/>
      <c r="H53" s="10"/>
      <c r="I53" s="8"/>
      <c r="J53" s="9"/>
      <c r="K53" s="6"/>
      <c r="L53" s="5"/>
      <c r="M53" s="5"/>
    </row>
    <row r="54" spans="4:13" x14ac:dyDescent="0.25">
      <c r="D54" s="11"/>
      <c r="E54" s="11"/>
      <c r="F54" s="10"/>
      <c r="G54" s="10"/>
      <c r="H54" s="10"/>
      <c r="I54" s="8"/>
      <c r="J54" s="9"/>
      <c r="K54" s="6"/>
      <c r="L54" s="5"/>
      <c r="M54" s="5"/>
    </row>
    <row r="55" spans="4:13" x14ac:dyDescent="0.25">
      <c r="D55" s="11"/>
      <c r="E55" s="11"/>
      <c r="F55" s="10"/>
      <c r="G55" s="10"/>
      <c r="H55" s="10"/>
      <c r="I55" s="8"/>
      <c r="J55" s="9"/>
      <c r="K55" s="6"/>
      <c r="L55" s="5"/>
      <c r="M55" s="5"/>
    </row>
    <row r="56" spans="4:13" x14ac:dyDescent="0.25">
      <c r="D56" s="11"/>
      <c r="E56" s="11"/>
      <c r="F56" s="10"/>
      <c r="G56" s="10"/>
      <c r="H56" s="10"/>
      <c r="I56" s="8"/>
      <c r="J56" s="9"/>
      <c r="K56" s="6"/>
      <c r="L56" s="5"/>
      <c r="M56" s="5"/>
    </row>
    <row r="57" spans="4:13" x14ac:dyDescent="0.25">
      <c r="D57" s="11"/>
      <c r="E57" s="11"/>
      <c r="F57" s="10"/>
      <c r="G57" s="10"/>
      <c r="H57" s="10"/>
      <c r="I57" s="8"/>
      <c r="J57" s="9"/>
      <c r="K57" s="6"/>
      <c r="L57" s="5"/>
      <c r="M57" s="5"/>
    </row>
    <row r="58" spans="4:13" x14ac:dyDescent="0.25">
      <c r="D58" s="11"/>
      <c r="E58" s="11"/>
      <c r="F58" s="10"/>
      <c r="G58" s="10"/>
      <c r="H58" s="10"/>
      <c r="I58" s="8"/>
      <c r="J58" s="9"/>
      <c r="K58" s="6"/>
      <c r="L58" s="5"/>
      <c r="M58" s="5"/>
    </row>
    <row r="59" spans="4:13" x14ac:dyDescent="0.25">
      <c r="D59" s="11"/>
      <c r="E59" s="11"/>
      <c r="F59" s="10"/>
      <c r="G59" s="10"/>
      <c r="H59" s="10"/>
      <c r="I59" s="8"/>
      <c r="J59" s="9"/>
      <c r="K59" s="6"/>
      <c r="L59" s="5"/>
      <c r="M59" s="5"/>
    </row>
    <row r="60" spans="4:13" x14ac:dyDescent="0.25">
      <c r="D60" s="11"/>
      <c r="E60" s="11"/>
      <c r="F60" s="10"/>
      <c r="G60" s="10"/>
      <c r="H60" s="10"/>
      <c r="I60" s="8"/>
      <c r="J60" s="9"/>
      <c r="K60" s="6"/>
      <c r="L60" s="5"/>
      <c r="M60" s="5"/>
    </row>
    <row r="61" spans="4:13" x14ac:dyDescent="0.25">
      <c r="D61" s="11"/>
      <c r="E61" s="11"/>
      <c r="F61" s="10"/>
      <c r="G61" s="10"/>
      <c r="H61" s="10"/>
      <c r="I61" s="8"/>
      <c r="J61" s="9"/>
      <c r="K61" s="6"/>
      <c r="L61" s="5"/>
      <c r="M61" s="5"/>
    </row>
    <row r="62" spans="4:13" x14ac:dyDescent="0.25">
      <c r="D62" s="11"/>
      <c r="E62" s="11"/>
      <c r="F62" s="10"/>
      <c r="G62" s="10"/>
      <c r="H62" s="10"/>
      <c r="I62" s="8"/>
      <c r="J62" s="9"/>
      <c r="K62" s="6"/>
      <c r="L62" s="5"/>
      <c r="M62" s="5"/>
    </row>
    <row r="63" spans="4:13" x14ac:dyDescent="0.25">
      <c r="D63" s="11"/>
      <c r="E63" s="11"/>
      <c r="F63" s="10"/>
      <c r="G63" s="10"/>
      <c r="H63" s="10"/>
      <c r="I63" s="8"/>
      <c r="J63" s="9"/>
      <c r="K63" s="6"/>
      <c r="L63" s="5"/>
      <c r="M63" s="5"/>
    </row>
    <row r="64" spans="4:13" x14ac:dyDescent="0.25">
      <c r="D64" s="11"/>
      <c r="E64" s="11"/>
      <c r="F64" s="10"/>
      <c r="G64" s="10"/>
      <c r="H64" s="10"/>
      <c r="I64" s="8"/>
      <c r="J64" s="9"/>
      <c r="K64" s="6"/>
      <c r="L64" s="5"/>
      <c r="M64" s="5"/>
    </row>
    <row r="65" spans="4:13" x14ac:dyDescent="0.25">
      <c r="D65" s="11"/>
      <c r="E65" s="11"/>
      <c r="F65" s="10"/>
      <c r="G65" s="10"/>
      <c r="H65" s="10"/>
      <c r="I65" s="8"/>
      <c r="J65" s="9"/>
      <c r="K65" s="6"/>
      <c r="L65" s="5"/>
      <c r="M65" s="5"/>
    </row>
    <row r="66" spans="4:13" x14ac:dyDescent="0.25">
      <c r="D66" s="11"/>
      <c r="E66" s="11"/>
      <c r="F66" s="10"/>
      <c r="G66" s="10"/>
      <c r="H66" s="10"/>
      <c r="I66" s="8"/>
      <c r="J66" s="9"/>
      <c r="K66" s="6"/>
      <c r="L66" s="5"/>
      <c r="M66" s="5"/>
    </row>
    <row r="67" spans="4:13" x14ac:dyDescent="0.25">
      <c r="D67" s="11"/>
      <c r="E67" s="11"/>
      <c r="F67" s="10"/>
      <c r="G67" s="10"/>
      <c r="H67" s="10"/>
      <c r="I67" s="8"/>
      <c r="J67" s="9"/>
      <c r="K67" s="6"/>
      <c r="L67" s="5"/>
      <c r="M67" s="5"/>
    </row>
    <row r="68" spans="4:13" x14ac:dyDescent="0.25">
      <c r="D68" s="11"/>
      <c r="E68" s="11"/>
      <c r="F68" s="10"/>
      <c r="G68" s="10"/>
      <c r="H68" s="10"/>
      <c r="I68" s="8"/>
      <c r="J68" s="9"/>
      <c r="K68" s="6"/>
      <c r="L68" s="5"/>
      <c r="M68" s="5"/>
    </row>
    <row r="69" spans="4:13" x14ac:dyDescent="0.25">
      <c r="D69" s="11"/>
      <c r="E69" s="11"/>
      <c r="F69" s="10"/>
      <c r="G69" s="10"/>
      <c r="H69" s="10"/>
      <c r="I69" s="8"/>
      <c r="J69" s="9"/>
      <c r="K69" s="6"/>
      <c r="L69" s="5"/>
      <c r="M69" s="5"/>
    </row>
    <row r="70" spans="4:13" x14ac:dyDescent="0.25">
      <c r="D70" s="11"/>
      <c r="E70" s="11"/>
      <c r="F70" s="10"/>
      <c r="G70" s="10"/>
      <c r="H70" s="10"/>
      <c r="I70" s="8"/>
      <c r="J70" s="9"/>
      <c r="K70" s="6"/>
      <c r="L70" s="5"/>
      <c r="M70" s="5"/>
    </row>
    <row r="71" spans="4:13" x14ac:dyDescent="0.25">
      <c r="D71" s="11"/>
      <c r="E71" s="11"/>
      <c r="F71" s="10"/>
      <c r="G71" s="10"/>
      <c r="H71" s="10"/>
      <c r="I71" s="8"/>
      <c r="J71" s="9"/>
      <c r="K71" s="6"/>
      <c r="L71" s="5"/>
      <c r="M71" s="5"/>
    </row>
    <row r="72" spans="4:13" x14ac:dyDescent="0.25">
      <c r="D72" s="11"/>
      <c r="E72" s="11"/>
      <c r="F72" s="10"/>
      <c r="G72" s="10"/>
      <c r="H72" s="10"/>
      <c r="I72" s="8"/>
      <c r="J72" s="9"/>
      <c r="K72" s="6"/>
      <c r="L72" s="5"/>
      <c r="M72" s="5"/>
    </row>
    <row r="73" spans="4:13" x14ac:dyDescent="0.25">
      <c r="D73" s="11"/>
      <c r="E73" s="11"/>
      <c r="F73" s="10"/>
      <c r="G73" s="10"/>
      <c r="H73" s="10"/>
      <c r="I73" s="8"/>
      <c r="J73" s="9"/>
      <c r="K73" s="6"/>
      <c r="L73" s="5"/>
      <c r="M73" s="5"/>
    </row>
    <row r="74" spans="4:13" x14ac:dyDescent="0.25">
      <c r="D74" s="11"/>
      <c r="E74" s="11"/>
      <c r="F74" s="10"/>
      <c r="G74" s="10"/>
      <c r="H74" s="10"/>
      <c r="I74" s="8"/>
      <c r="J74" s="9"/>
      <c r="K74" s="6"/>
      <c r="L74" s="5"/>
      <c r="M74" s="5"/>
    </row>
    <row r="75" spans="4:13" x14ac:dyDescent="0.25">
      <c r="D75" s="11"/>
      <c r="E75" s="11"/>
      <c r="F75" s="10"/>
      <c r="G75" s="10"/>
      <c r="H75" s="10"/>
      <c r="I75" s="8"/>
      <c r="J75" s="9"/>
      <c r="K75" s="6"/>
      <c r="L75" s="5"/>
      <c r="M75" s="5"/>
    </row>
    <row r="76" spans="4:13" x14ac:dyDescent="0.25">
      <c r="D76" s="11"/>
      <c r="E76" s="11"/>
      <c r="F76" s="10"/>
      <c r="G76" s="10"/>
      <c r="H76" s="10"/>
      <c r="I76" s="8"/>
      <c r="J76" s="9"/>
      <c r="K76" s="6"/>
      <c r="L76" s="5"/>
      <c r="M76" s="5"/>
    </row>
    <row r="77" spans="4:13" x14ac:dyDescent="0.25">
      <c r="D77" s="11"/>
      <c r="E77" s="11"/>
      <c r="F77" s="10"/>
      <c r="G77" s="10"/>
      <c r="H77" s="10"/>
      <c r="I77" s="8"/>
      <c r="J77" s="9"/>
      <c r="K77" s="6"/>
      <c r="L77" s="5"/>
      <c r="M77" s="5"/>
    </row>
    <row r="78" spans="4:13" x14ac:dyDescent="0.25">
      <c r="D78" s="11"/>
      <c r="E78" s="11"/>
      <c r="F78" s="10"/>
      <c r="G78" s="10"/>
      <c r="H78" s="10"/>
      <c r="I78" s="8"/>
      <c r="J78" s="9"/>
      <c r="K78" s="6"/>
      <c r="L78" s="5"/>
      <c r="M78" s="5"/>
    </row>
  </sheetData>
  <mergeCells count="7">
    <mergeCell ref="D49:K49"/>
    <mergeCell ref="D15:K15"/>
    <mergeCell ref="D43:K43"/>
    <mergeCell ref="D38:K38"/>
    <mergeCell ref="D22:K22"/>
    <mergeCell ref="D10:K10"/>
    <mergeCell ref="D31:K31"/>
  </mergeCells>
  <pageMargins left="0.7" right="0.7" top="0.75" bottom="0.75" header="0.3" footer="0.3"/>
  <pageSetup paperSize="9" scale="2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29"/>
  <sheetViews>
    <sheetView workbookViewId="0">
      <selection activeCell="B12" sqref="B12"/>
    </sheetView>
  </sheetViews>
  <sheetFormatPr defaultRowHeight="15" x14ac:dyDescent="0.25"/>
  <cols>
    <col min="2" max="2" width="14" bestFit="1" customWidth="1"/>
    <col min="3" max="3" width="10.42578125" bestFit="1" customWidth="1"/>
    <col min="4" max="4" width="11.85546875" bestFit="1" customWidth="1"/>
    <col min="5" max="6" width="8.140625" bestFit="1" customWidth="1"/>
    <col min="7" max="7" width="8.140625" customWidth="1"/>
    <col min="8" max="8" width="8.85546875" bestFit="1" customWidth="1"/>
    <col min="9" max="9" width="10.42578125" customWidth="1"/>
    <col min="10" max="10" width="8.140625" bestFit="1" customWidth="1"/>
    <col min="12" max="12" width="9.5703125" bestFit="1" customWidth="1"/>
  </cols>
  <sheetData>
    <row r="4" spans="2:10" ht="26.25" x14ac:dyDescent="0.25">
      <c r="B4" s="12" t="s">
        <v>56</v>
      </c>
      <c r="C4" s="12" t="s">
        <v>57</v>
      </c>
      <c r="D4" s="12" t="s">
        <v>58</v>
      </c>
      <c r="E4" s="13">
        <v>2022</v>
      </c>
      <c r="F4" s="14">
        <v>2023</v>
      </c>
      <c r="G4" s="14">
        <v>2024</v>
      </c>
      <c r="H4" s="12" t="s">
        <v>59</v>
      </c>
      <c r="I4" s="15" t="s">
        <v>60</v>
      </c>
      <c r="J4" s="15" t="s">
        <v>61</v>
      </c>
    </row>
    <row r="5" spans="2:10" x14ac:dyDescent="0.25">
      <c r="B5" s="12" t="s">
        <v>62</v>
      </c>
      <c r="C5" s="12" t="s">
        <v>63</v>
      </c>
      <c r="D5" s="12" t="s">
        <v>64</v>
      </c>
      <c r="E5" s="16" t="s">
        <v>65</v>
      </c>
      <c r="F5" s="14" t="s">
        <v>65</v>
      </c>
      <c r="G5" s="14" t="s">
        <v>65</v>
      </c>
      <c r="H5" s="12" t="s">
        <v>65</v>
      </c>
      <c r="I5" s="12" t="s">
        <v>65</v>
      </c>
      <c r="J5" s="12" t="s">
        <v>65</v>
      </c>
    </row>
    <row r="6" spans="2:10" x14ac:dyDescent="0.25">
      <c r="B6" s="24" t="s">
        <v>10</v>
      </c>
      <c r="C6" s="24" t="s">
        <v>7</v>
      </c>
      <c r="D6" s="24">
        <v>2022</v>
      </c>
      <c r="E6" s="25">
        <v>20280</v>
      </c>
      <c r="F6" s="25">
        <v>0</v>
      </c>
      <c r="G6" s="25"/>
      <c r="H6" s="26">
        <f>E6+F6+G6</f>
        <v>20280</v>
      </c>
      <c r="I6" s="26">
        <v>20000</v>
      </c>
      <c r="J6" s="26">
        <f>I6-H6</f>
        <v>-280</v>
      </c>
    </row>
    <row r="7" spans="2:10" x14ac:dyDescent="0.25">
      <c r="B7" s="24" t="s">
        <v>12</v>
      </c>
      <c r="C7" s="24" t="s">
        <v>11</v>
      </c>
      <c r="D7" s="24">
        <v>2022</v>
      </c>
      <c r="E7" s="25">
        <v>100200</v>
      </c>
      <c r="F7" s="25">
        <v>0</v>
      </c>
      <c r="G7" s="25"/>
      <c r="H7" s="26">
        <f t="shared" ref="H7:H16" si="0">E7+F7+G7</f>
        <v>100200</v>
      </c>
      <c r="I7" s="26">
        <v>100000</v>
      </c>
      <c r="J7" s="26">
        <f t="shared" ref="J7:J28" si="1">I7-H7</f>
        <v>-200</v>
      </c>
    </row>
    <row r="8" spans="2:10" x14ac:dyDescent="0.25">
      <c r="B8" s="24" t="s">
        <v>14</v>
      </c>
      <c r="C8" s="24" t="s">
        <v>13</v>
      </c>
      <c r="D8" s="24">
        <v>2022</v>
      </c>
      <c r="E8" s="25">
        <v>216120</v>
      </c>
      <c r="F8" s="25">
        <v>142240</v>
      </c>
      <c r="G8" s="25"/>
      <c r="H8" s="26">
        <f t="shared" si="0"/>
        <v>358360</v>
      </c>
      <c r="I8" s="26">
        <v>350000</v>
      </c>
      <c r="J8" s="26">
        <f t="shared" si="1"/>
        <v>-8360</v>
      </c>
    </row>
    <row r="9" spans="2:10" x14ac:dyDescent="0.25">
      <c r="B9" s="24" t="s">
        <v>18</v>
      </c>
      <c r="C9" s="24" t="s">
        <v>15</v>
      </c>
      <c r="D9" s="24">
        <v>2022</v>
      </c>
      <c r="E9" s="25">
        <v>63560</v>
      </c>
      <c r="F9" s="25">
        <v>60605</v>
      </c>
      <c r="G9" s="25"/>
      <c r="H9" s="26">
        <f t="shared" si="0"/>
        <v>124165</v>
      </c>
      <c r="I9" s="26">
        <v>96000</v>
      </c>
      <c r="J9" s="26">
        <f t="shared" si="1"/>
        <v>-28165</v>
      </c>
    </row>
    <row r="10" spans="2:10" x14ac:dyDescent="0.25">
      <c r="B10" s="24" t="s">
        <v>31</v>
      </c>
      <c r="C10" s="24" t="s">
        <v>20</v>
      </c>
      <c r="D10" s="24">
        <v>2023</v>
      </c>
      <c r="E10" s="25">
        <v>0</v>
      </c>
      <c r="F10" s="25">
        <v>32480</v>
      </c>
      <c r="G10" s="25"/>
      <c r="H10" s="26">
        <f t="shared" si="0"/>
        <v>32480</v>
      </c>
      <c r="I10" s="26">
        <v>30000</v>
      </c>
      <c r="J10" s="26">
        <f t="shared" si="1"/>
        <v>-2480</v>
      </c>
    </row>
    <row r="11" spans="2:10" x14ac:dyDescent="0.25">
      <c r="B11" s="24" t="s">
        <v>40</v>
      </c>
      <c r="C11" s="24" t="s">
        <v>26</v>
      </c>
      <c r="D11" s="24">
        <v>2022</v>
      </c>
      <c r="E11" s="25">
        <v>2000</v>
      </c>
      <c r="F11" s="25">
        <v>4020</v>
      </c>
      <c r="G11" s="25"/>
      <c r="H11" s="26">
        <f t="shared" si="0"/>
        <v>6020</v>
      </c>
      <c r="I11" s="26">
        <v>6000</v>
      </c>
      <c r="J11" s="26">
        <f t="shared" si="1"/>
        <v>-20</v>
      </c>
    </row>
    <row r="12" spans="2:10" x14ac:dyDescent="0.25">
      <c r="B12" s="24" t="s">
        <v>32</v>
      </c>
      <c r="C12" s="24" t="s">
        <v>21</v>
      </c>
      <c r="D12" s="24">
        <v>2023</v>
      </c>
      <c r="E12" s="25">
        <v>0</v>
      </c>
      <c r="F12" s="25">
        <v>40000</v>
      </c>
      <c r="G12" s="25"/>
      <c r="H12" s="26">
        <f t="shared" si="0"/>
        <v>40000</v>
      </c>
      <c r="I12" s="26">
        <v>40000</v>
      </c>
      <c r="J12" s="26">
        <f t="shared" si="1"/>
        <v>0</v>
      </c>
    </row>
    <row r="13" spans="2:10" x14ac:dyDescent="0.25">
      <c r="B13" s="24" t="s">
        <v>35</v>
      </c>
      <c r="C13" s="24" t="s">
        <v>25</v>
      </c>
      <c r="D13" s="24">
        <v>2023</v>
      </c>
      <c r="E13" s="25">
        <v>0</v>
      </c>
      <c r="F13" s="25">
        <v>80015</v>
      </c>
      <c r="G13" s="25"/>
      <c r="H13" s="26">
        <f t="shared" si="0"/>
        <v>80015</v>
      </c>
      <c r="I13" s="26">
        <v>80000</v>
      </c>
      <c r="J13" s="26">
        <f t="shared" si="1"/>
        <v>-15</v>
      </c>
    </row>
    <row r="14" spans="2:10" x14ac:dyDescent="0.25">
      <c r="B14" s="24" t="s">
        <v>34</v>
      </c>
      <c r="C14" s="24" t="s">
        <v>24</v>
      </c>
      <c r="D14" s="24">
        <v>2023</v>
      </c>
      <c r="E14" s="25">
        <v>0</v>
      </c>
      <c r="F14" s="25">
        <v>300000</v>
      </c>
      <c r="G14" s="25"/>
      <c r="H14" s="26">
        <f t="shared" si="0"/>
        <v>300000</v>
      </c>
      <c r="I14" s="26">
        <v>300000</v>
      </c>
      <c r="J14" s="26">
        <f t="shared" si="1"/>
        <v>0</v>
      </c>
    </row>
    <row r="15" spans="2:10" x14ac:dyDescent="0.25">
      <c r="B15" s="24" t="s">
        <v>33</v>
      </c>
      <c r="C15" s="24" t="s">
        <v>27</v>
      </c>
      <c r="D15" s="24">
        <v>2022</v>
      </c>
      <c r="E15" s="25">
        <v>5035</v>
      </c>
      <c r="F15" s="25">
        <v>15000</v>
      </c>
      <c r="G15" s="25"/>
      <c r="H15" s="26">
        <f t="shared" si="0"/>
        <v>20035</v>
      </c>
      <c r="I15" s="26">
        <v>10000</v>
      </c>
      <c r="J15" s="26">
        <f t="shared" si="1"/>
        <v>-10035</v>
      </c>
    </row>
    <row r="16" spans="2:10" x14ac:dyDescent="0.25">
      <c r="B16" s="24" t="s">
        <v>38</v>
      </c>
      <c r="C16" s="24" t="s">
        <v>28</v>
      </c>
      <c r="D16" s="24">
        <v>2023</v>
      </c>
      <c r="E16" s="25">
        <v>0</v>
      </c>
      <c r="F16" s="25">
        <v>2000</v>
      </c>
      <c r="G16" s="25"/>
      <c r="H16" s="26">
        <f t="shared" si="0"/>
        <v>2000</v>
      </c>
      <c r="I16" s="26">
        <v>2000</v>
      </c>
      <c r="J16" s="26">
        <f t="shared" si="1"/>
        <v>0</v>
      </c>
    </row>
    <row r="17" spans="2:12" x14ac:dyDescent="0.25">
      <c r="B17" s="24" t="s">
        <v>51</v>
      </c>
      <c r="C17" s="24" t="s">
        <v>30</v>
      </c>
      <c r="D17" s="24">
        <v>2023</v>
      </c>
      <c r="E17" s="25">
        <v>0</v>
      </c>
      <c r="F17" s="25">
        <v>18010</v>
      </c>
      <c r="G17" s="25">
        <v>12600</v>
      </c>
      <c r="H17" s="26">
        <f>E17+F17+G17</f>
        <v>30610</v>
      </c>
      <c r="I17" s="26">
        <v>25000</v>
      </c>
      <c r="J17" s="26">
        <f t="shared" si="1"/>
        <v>-5610</v>
      </c>
    </row>
    <row r="18" spans="2:12" x14ac:dyDescent="0.25">
      <c r="B18" s="24" t="s">
        <v>37</v>
      </c>
      <c r="C18" s="24" t="s">
        <v>44</v>
      </c>
      <c r="D18" s="24">
        <v>2023</v>
      </c>
      <c r="E18" s="25">
        <v>0</v>
      </c>
      <c r="F18" s="25">
        <v>6000</v>
      </c>
      <c r="G18" s="25">
        <v>6015</v>
      </c>
      <c r="H18" s="26">
        <f>E18+F18+G18</f>
        <v>12015</v>
      </c>
      <c r="I18" s="26">
        <v>12000</v>
      </c>
      <c r="J18" s="26">
        <f t="shared" si="1"/>
        <v>-15</v>
      </c>
    </row>
    <row r="19" spans="2:12" x14ac:dyDescent="0.25">
      <c r="B19" s="24" t="s">
        <v>36</v>
      </c>
      <c r="C19" s="24" t="s">
        <v>29</v>
      </c>
      <c r="D19" s="24">
        <v>2023</v>
      </c>
      <c r="E19" s="25">
        <v>0</v>
      </c>
      <c r="F19" s="25">
        <v>6340</v>
      </c>
      <c r="G19" s="25"/>
      <c r="H19" s="26">
        <f t="shared" ref="H19:H28" si="2">E19+F19+G19</f>
        <v>6340</v>
      </c>
      <c r="I19" s="26">
        <v>6000</v>
      </c>
      <c r="J19" s="26">
        <f t="shared" si="1"/>
        <v>-340</v>
      </c>
    </row>
    <row r="20" spans="2:12" x14ac:dyDescent="0.25">
      <c r="B20" s="24" t="s">
        <v>43</v>
      </c>
      <c r="C20" s="24" t="s">
        <v>22</v>
      </c>
      <c r="D20" s="24">
        <v>2022</v>
      </c>
      <c r="E20" s="25">
        <v>8250</v>
      </c>
      <c r="F20" s="25">
        <v>15470</v>
      </c>
      <c r="G20" s="25"/>
      <c r="H20" s="26">
        <f t="shared" si="2"/>
        <v>23720</v>
      </c>
      <c r="I20" s="26">
        <v>15000</v>
      </c>
      <c r="J20" s="26">
        <f t="shared" si="1"/>
        <v>-8720</v>
      </c>
    </row>
    <row r="21" spans="2:12" x14ac:dyDescent="0.25">
      <c r="B21" s="24" t="s">
        <v>42</v>
      </c>
      <c r="C21" s="24" t="s">
        <v>23</v>
      </c>
      <c r="D21" s="24">
        <v>2022</v>
      </c>
      <c r="E21" s="25">
        <v>4250</v>
      </c>
      <c r="F21" s="25">
        <v>8860</v>
      </c>
      <c r="G21" s="25"/>
      <c r="H21" s="26">
        <f t="shared" si="2"/>
        <v>13110</v>
      </c>
      <c r="I21" s="26">
        <v>8000</v>
      </c>
      <c r="J21" s="26">
        <f t="shared" si="1"/>
        <v>-5110</v>
      </c>
    </row>
    <row r="22" spans="2:12" x14ac:dyDescent="0.25">
      <c r="B22" s="24" t="s">
        <v>47</v>
      </c>
      <c r="C22" s="24" t="s">
        <v>46</v>
      </c>
      <c r="D22" s="24">
        <v>2023</v>
      </c>
      <c r="E22" s="25">
        <v>0</v>
      </c>
      <c r="F22" s="25">
        <v>5000</v>
      </c>
      <c r="G22" s="25"/>
      <c r="H22" s="26">
        <f t="shared" si="2"/>
        <v>5000</v>
      </c>
      <c r="I22" s="26">
        <v>4000</v>
      </c>
      <c r="J22" s="26">
        <f t="shared" si="1"/>
        <v>-1000</v>
      </c>
      <c r="K22" t="s">
        <v>71</v>
      </c>
      <c r="L22" s="27">
        <v>1550</v>
      </c>
    </row>
    <row r="23" spans="2:12" x14ac:dyDescent="0.25">
      <c r="B23" s="24" t="s">
        <v>39</v>
      </c>
      <c r="C23" s="24" t="s">
        <v>41</v>
      </c>
      <c r="D23" s="24">
        <v>2023</v>
      </c>
      <c r="E23" s="25">
        <v>0</v>
      </c>
      <c r="F23" s="25">
        <v>20000</v>
      </c>
      <c r="G23" s="25">
        <v>22000</v>
      </c>
      <c r="H23" s="26">
        <f t="shared" si="2"/>
        <v>42000</v>
      </c>
      <c r="I23" s="26">
        <v>40000</v>
      </c>
      <c r="J23" s="26">
        <f t="shared" si="1"/>
        <v>-2000</v>
      </c>
    </row>
    <row r="24" spans="2:12" x14ac:dyDescent="0.25">
      <c r="B24" s="24" t="s">
        <v>49</v>
      </c>
      <c r="C24" s="24" t="s">
        <v>48</v>
      </c>
      <c r="D24" s="24">
        <v>2023</v>
      </c>
      <c r="E24" s="25">
        <v>0</v>
      </c>
      <c r="F24" s="25">
        <v>8000</v>
      </c>
      <c r="G24" s="25">
        <v>4010</v>
      </c>
      <c r="H24" s="26">
        <f t="shared" si="2"/>
        <v>12010</v>
      </c>
      <c r="I24" s="26">
        <v>12000</v>
      </c>
      <c r="J24" s="26">
        <f t="shared" si="1"/>
        <v>-10</v>
      </c>
      <c r="K24" t="s">
        <v>71</v>
      </c>
      <c r="L24" s="27">
        <v>600</v>
      </c>
    </row>
    <row r="25" spans="2:12" x14ac:dyDescent="0.25">
      <c r="B25" s="12" t="s">
        <v>69</v>
      </c>
      <c r="C25" s="12" t="s">
        <v>67</v>
      </c>
      <c r="D25" s="12">
        <v>2023</v>
      </c>
      <c r="E25" s="17">
        <v>0</v>
      </c>
      <c r="F25" s="18">
        <v>0</v>
      </c>
      <c r="G25" s="18"/>
      <c r="H25" s="22">
        <f t="shared" si="2"/>
        <v>0</v>
      </c>
      <c r="I25" s="19">
        <v>1500</v>
      </c>
      <c r="J25" s="19">
        <f t="shared" si="1"/>
        <v>1500</v>
      </c>
      <c r="K25" t="s">
        <v>50</v>
      </c>
      <c r="L25" s="27">
        <v>3300</v>
      </c>
    </row>
    <row r="26" spans="2:12" x14ac:dyDescent="0.25">
      <c r="B26" s="20" t="s">
        <v>70</v>
      </c>
      <c r="C26" s="20" t="s">
        <v>68</v>
      </c>
      <c r="D26" s="20">
        <v>2023</v>
      </c>
      <c r="E26" s="21">
        <v>0</v>
      </c>
      <c r="F26" s="21">
        <v>0</v>
      </c>
      <c r="G26" s="21"/>
      <c r="H26" s="22">
        <f t="shared" si="2"/>
        <v>0</v>
      </c>
      <c r="I26" s="22">
        <v>1500</v>
      </c>
      <c r="J26" s="22">
        <f t="shared" si="1"/>
        <v>1500</v>
      </c>
      <c r="K26" t="s">
        <v>50</v>
      </c>
      <c r="L26" s="27">
        <v>3300</v>
      </c>
    </row>
    <row r="27" spans="2:12" x14ac:dyDescent="0.25">
      <c r="B27" s="24" t="s">
        <v>55</v>
      </c>
      <c r="C27" s="24" t="s">
        <v>53</v>
      </c>
      <c r="D27" s="24">
        <v>2023</v>
      </c>
      <c r="E27" s="25">
        <v>0</v>
      </c>
      <c r="F27" s="25">
        <v>5370</v>
      </c>
      <c r="G27" s="25">
        <v>5000</v>
      </c>
      <c r="H27" s="26">
        <f t="shared" si="2"/>
        <v>10370</v>
      </c>
      <c r="I27" s="26">
        <v>10000</v>
      </c>
      <c r="J27" s="26">
        <f t="shared" si="1"/>
        <v>-370</v>
      </c>
      <c r="K27" t="s">
        <v>71</v>
      </c>
      <c r="L27" s="27">
        <v>950</v>
      </c>
    </row>
    <row r="28" spans="2:12" x14ac:dyDescent="0.25">
      <c r="B28" s="24" t="s">
        <v>54</v>
      </c>
      <c r="C28" s="24" t="s">
        <v>52</v>
      </c>
      <c r="D28" s="24">
        <v>2023</v>
      </c>
      <c r="E28" s="25">
        <v>0</v>
      </c>
      <c r="F28" s="25">
        <v>8000</v>
      </c>
      <c r="G28" s="25">
        <v>4000</v>
      </c>
      <c r="H28" s="26">
        <f t="shared" si="2"/>
        <v>12000</v>
      </c>
      <c r="I28" s="26">
        <v>12000</v>
      </c>
      <c r="J28" s="26">
        <f t="shared" si="1"/>
        <v>0</v>
      </c>
      <c r="K28" t="s">
        <v>71</v>
      </c>
      <c r="L28" s="27">
        <v>600</v>
      </c>
    </row>
    <row r="29" spans="2:12" x14ac:dyDescent="0.25">
      <c r="B29" s="12" t="s">
        <v>66</v>
      </c>
      <c r="C29" s="12"/>
      <c r="D29" s="12"/>
      <c r="E29" s="16"/>
      <c r="F29" s="23"/>
      <c r="G29" s="23"/>
      <c r="H29" s="12"/>
      <c r="I29" s="12"/>
      <c r="J29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cp:lastPrinted>2023-08-22T07:34:51Z</cp:lastPrinted>
  <dcterms:created xsi:type="dcterms:W3CDTF">2017-12-06T12:35:14Z</dcterms:created>
  <dcterms:modified xsi:type="dcterms:W3CDTF">2026-03-16T06:35:49Z</dcterms:modified>
</cp:coreProperties>
</file>