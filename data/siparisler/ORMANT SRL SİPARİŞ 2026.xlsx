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B085B5DC-74C9-4A13-9730-FE1FEC0763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6" i="1" l="1"/>
  <c r="I135" i="1"/>
  <c r="G17" i="2"/>
  <c r="G20" i="2"/>
  <c r="G19" i="2"/>
  <c r="G18" i="2"/>
  <c r="G23" i="2"/>
  <c r="G22" i="2"/>
  <c r="G21" i="2"/>
  <c r="G16" i="2"/>
  <c r="G13" i="2" l="1"/>
  <c r="G14" i="2"/>
  <c r="G15" i="2"/>
  <c r="G24" i="2"/>
  <c r="G25" i="2"/>
  <c r="G26" i="2"/>
  <c r="G27" i="2"/>
  <c r="G12" i="2"/>
  <c r="G28" i="2" s="1"/>
</calcChain>
</file>

<file path=xl/sharedStrings.xml><?xml version="1.0" encoding="utf-8"?>
<sst xmlns="http://schemas.openxmlformats.org/spreadsheetml/2006/main" count="1307" uniqueCount="517">
  <si>
    <t>ORMANT NO</t>
  </si>
  <si>
    <t>ORMANT CODE</t>
  </si>
  <si>
    <t>DESC. OF GOOD</t>
  </si>
  <si>
    <t>PRICE</t>
  </si>
  <si>
    <t>QUANTITIY</t>
  </si>
  <si>
    <t>NOTES</t>
  </si>
  <si>
    <t>60 GÜN VADE</t>
  </si>
  <si>
    <t>NETSIS</t>
  </si>
  <si>
    <t>İŞ BANKASI</t>
  </si>
  <si>
    <t>8009 GIUNTO Ø 90 H55 65/70 SH.</t>
  </si>
  <si>
    <t>T2915</t>
  </si>
  <si>
    <t>AV/807/M12*37</t>
  </si>
  <si>
    <t>T2416</t>
  </si>
  <si>
    <t>PM 75/50 M12*37 55 SH.</t>
  </si>
  <si>
    <t>AV/913/M6*10</t>
  </si>
  <si>
    <t>T2487</t>
  </si>
  <si>
    <t xml:space="preserve">MF 20/25 M6*10/M6*6 55 SH. </t>
  </si>
  <si>
    <t>999699/55/M16*45</t>
  </si>
  <si>
    <t>T2862</t>
  </si>
  <si>
    <t>PM 150/60 M16*45 55 SH.</t>
  </si>
  <si>
    <t>AV/865/M6*18</t>
  </si>
  <si>
    <t>PM 25/25 M6*18 55 SH.</t>
  </si>
  <si>
    <t>T3133</t>
  </si>
  <si>
    <t>AV/832/60/M6*18/GREY/STAINLESS</t>
  </si>
  <si>
    <t>T4274</t>
  </si>
  <si>
    <t>8021/200</t>
  </si>
  <si>
    <t>T2925-3</t>
  </si>
  <si>
    <t>8021/200 MOUNT ORMANT WITH CODE 200</t>
  </si>
  <si>
    <t>GUA/70/00003</t>
  </si>
  <si>
    <t>R 1964</t>
  </si>
  <si>
    <t>SPECIAL 00003 GUARNIZIONE COME VS DISEGNO IN NBR 70+/-5</t>
  </si>
  <si>
    <t>T2483</t>
  </si>
  <si>
    <t>MM 8/8,5 M3*7,5/M3*7,5 90 SH.</t>
  </si>
  <si>
    <t>AV/193/90/M3*7,5/M3*14</t>
  </si>
  <si>
    <t>T2866</t>
  </si>
  <si>
    <t>MM 8/8,5 M3*7,5-M3*14 90 SH.</t>
  </si>
  <si>
    <t>AV/956/M6*18</t>
  </si>
  <si>
    <t>MF 20/15 M6*18/M6*6 55 SH.</t>
  </si>
  <si>
    <t>T3483</t>
  </si>
  <si>
    <t>AV/923/55/M4*10/FM4*6/OPEN</t>
  </si>
  <si>
    <t>MF 15/15 M4*10/M4*6/7 55 SH. OPEN FEMALE</t>
  </si>
  <si>
    <t>T4375</t>
  </si>
  <si>
    <t>8021/100</t>
  </si>
  <si>
    <t>T2925-1</t>
  </si>
  <si>
    <t>8021/100 MOUNT ORMANT WITH CODE 100</t>
  </si>
  <si>
    <t>8021/150</t>
  </si>
  <si>
    <t>T2925-2</t>
  </si>
  <si>
    <t>8021/150 MOUNT ORMANT WITH CODE 150</t>
  </si>
  <si>
    <t>PM 25/30 M6*18 60 SH. GRAY STAINLESS</t>
  </si>
  <si>
    <t>AV-I/830/45/M6*6</t>
  </si>
  <si>
    <t>PM 20/15 M6*6 INOX 304 SH 45</t>
  </si>
  <si>
    <t>T4412</t>
  </si>
  <si>
    <t>AV/819/M12*37</t>
  </si>
  <si>
    <t>T2448</t>
  </si>
  <si>
    <t>PM 75/40 M12*37 55 SH.</t>
  </si>
  <si>
    <t>AV/4005/50</t>
  </si>
  <si>
    <t>4005/Ø10 ANT. CAMPANA TIPO HS 92 35 M10 SH. 45/50 OPEN FEMALE</t>
  </si>
  <si>
    <t>AV/4004/70</t>
  </si>
  <si>
    <t>T4384-M10-70-X</t>
  </si>
  <si>
    <t>4004/Ø9 ANT. CAMPANA TIPO HS 76 27 M10 SH. 70 OPEN FEMALE</t>
  </si>
  <si>
    <t>T4385-M10-50</t>
  </si>
  <si>
    <t>AV/963/M4*8/M4*5-OPEN</t>
  </si>
  <si>
    <t>T4100</t>
  </si>
  <si>
    <t>MF 15/10 M4*8/M4*5 60 SH. OPEN</t>
  </si>
  <si>
    <t>AV/913-C1002094</t>
  </si>
  <si>
    <t>T2617</t>
  </si>
  <si>
    <t>MF 20/25 M8*10/M6*6 70 SH.</t>
  </si>
  <si>
    <t>AV/850/M12*37</t>
  </si>
  <si>
    <t>T2198</t>
  </si>
  <si>
    <t>PM 75/25 M12*37 60 SH.</t>
  </si>
  <si>
    <t>AV/880/M8*20</t>
  </si>
  <si>
    <t>PM 25/10 M8*20 60 SH.</t>
  </si>
  <si>
    <t>T2557</t>
  </si>
  <si>
    <t>AV/826/M4*10</t>
  </si>
  <si>
    <t>PM 15/15 M4*10 60 SH.</t>
  </si>
  <si>
    <t>T2130</t>
  </si>
  <si>
    <t>AV/193/90/M3*7,5</t>
  </si>
  <si>
    <t>AV/1038</t>
  </si>
  <si>
    <t>T0346</t>
  </si>
  <si>
    <t>FF 70/40 M12*10/M12*10 55 SH.</t>
  </si>
  <si>
    <t>AV/923/M4*10-M4*7</t>
  </si>
  <si>
    <t>T3327</t>
  </si>
  <si>
    <t>MF 15/15 M4*10/M4*4 55 SH.</t>
  </si>
  <si>
    <t>T3361-M16-60-W</t>
  </si>
  <si>
    <t>3406/60 ANT. CAMPANA BASE Q.TA 150/51 M16 SH. 55/60</t>
  </si>
  <si>
    <t>AV/3406/60</t>
  </si>
  <si>
    <t>AV/801/M6*18</t>
  </si>
  <si>
    <t>T2425</t>
  </si>
  <si>
    <t>PM 25/15 M6*18 55 SH.</t>
  </si>
  <si>
    <t>AV/873/M8*23</t>
  </si>
  <si>
    <t>T4052</t>
  </si>
  <si>
    <t>PM 30/40 M8*23 55 SH.</t>
  </si>
  <si>
    <t>AV-I/833/45/M6*6</t>
  </si>
  <si>
    <t>PM 30/15 M6*6 INOX 45 SH.</t>
  </si>
  <si>
    <t>T4578</t>
  </si>
  <si>
    <t>8022/300L</t>
  </si>
  <si>
    <t>T3050</t>
  </si>
  <si>
    <t>8022/300L MOUNT ORMANT WITH CODE 300L</t>
  </si>
  <si>
    <t>AV/830/70/M5*12/GREY/STAINLESS</t>
  </si>
  <si>
    <t xml:space="preserve"> PM 20/15 M5*12 SH 70 GREY STAINLESS</t>
  </si>
  <si>
    <t>T4595</t>
  </si>
  <si>
    <t>AV/950/M16*45</t>
  </si>
  <si>
    <t>T4233</t>
  </si>
  <si>
    <t>MF 125/60 M16*45/M16 55 SH.</t>
  </si>
  <si>
    <t>AV/801/M6*12/65</t>
  </si>
  <si>
    <t>T2438</t>
  </si>
  <si>
    <t xml:space="preserve">PM 25/15 M6*12 65 SH. </t>
  </si>
  <si>
    <t>AV/831/M6*18</t>
  </si>
  <si>
    <t>T2413</t>
  </si>
  <si>
    <t>PM 20/20 M6*18 55 SH.</t>
  </si>
  <si>
    <t>AV/904/C961014</t>
  </si>
  <si>
    <t>T4148</t>
  </si>
  <si>
    <r>
      <t xml:space="preserve">MF 40/30 M8*10 + </t>
    </r>
    <r>
      <rPr>
        <b/>
        <sz val="11"/>
        <color rgb="FFFF0000"/>
        <rFont val="Calibri"/>
        <family val="2"/>
        <charset val="162"/>
        <scheme val="minor"/>
      </rPr>
      <t>SPECIAL FEMALE</t>
    </r>
    <r>
      <rPr>
        <sz val="11"/>
        <color theme="1"/>
        <rFont val="Calibri"/>
        <family val="2"/>
        <charset val="162"/>
        <scheme val="minor"/>
      </rPr>
      <t xml:space="preserve"> FM8*10 55 SH. </t>
    </r>
  </si>
  <si>
    <t>AV/801/70/M6*18//GREY/STAINLESS</t>
  </si>
  <si>
    <t>T4275</t>
  </si>
  <si>
    <t>PM 25/15 M6*18 70 SH. GREY STAINLESS</t>
  </si>
  <si>
    <t>AV/108/M12*37</t>
  </si>
  <si>
    <t>T2427</t>
  </si>
  <si>
    <t>MM 75/40 M12*37/M12*37 55 SH.</t>
  </si>
  <si>
    <t>AV/974/60/M6*12/FM6*6/OPEN</t>
  </si>
  <si>
    <t>T4686</t>
  </si>
  <si>
    <t>MF 25/10 M6*12/M6*6 60 SH. OPEN FEMALE</t>
  </si>
  <si>
    <t>ŞUBAT İLK SEVKİYAT</t>
  </si>
  <si>
    <t>AV/104/M8*23</t>
  </si>
  <si>
    <t>T2940</t>
  </si>
  <si>
    <t>MM 40/30 M8*23 M8*23 55 SH.</t>
  </si>
  <si>
    <t>IHR-489</t>
  </si>
  <si>
    <t>AV/920000/45</t>
  </si>
  <si>
    <t>T2846</t>
  </si>
  <si>
    <t>920000/45 SILENT BLOCK 45 SH. (+5 / -0 SH.)</t>
  </si>
  <si>
    <t>01.01.2026'DA TALEP EDİYOR</t>
  </si>
  <si>
    <t>IHR-602</t>
  </si>
  <si>
    <t>IHR-604</t>
  </si>
  <si>
    <t>AV/959/C14490</t>
  </si>
  <si>
    <t>MF 10/10 M4*8 FEMALE M4*5 CLOSED 55 SH COATING + SEALING</t>
  </si>
  <si>
    <t>T4906</t>
  </si>
  <si>
    <t>PRT00171</t>
  </si>
  <si>
    <t>MOULD</t>
  </si>
  <si>
    <t>-</t>
  </si>
  <si>
    <t>PRT00171 SPECIAL PT Ø40x55 M8x16 Shore 70</t>
  </si>
  <si>
    <t>MOULD COST OF PRT00171</t>
  </si>
  <si>
    <t>KALIP BEDELİ</t>
  </si>
  <si>
    <t>IHR-709</t>
  </si>
  <si>
    <t>T4926</t>
  </si>
  <si>
    <t>8009/C</t>
  </si>
  <si>
    <t>T2919</t>
  </si>
  <si>
    <t>8009/C GIUNTO Ø90 H55 45/50 SH.</t>
  </si>
  <si>
    <t>AV-SILICON/351/M6*18</t>
  </si>
  <si>
    <t>T1891</t>
  </si>
  <si>
    <t>SILICONE 351 TYPE PC 25/30 M6x18 SILICONE BORDEAUX SH 65/70</t>
  </si>
  <si>
    <t>IHR-828</t>
  </si>
  <si>
    <t>IHR-829</t>
  </si>
  <si>
    <t>IHR-831</t>
  </si>
  <si>
    <t>AV/1004/90</t>
  </si>
  <si>
    <t>FF 40/30 M8*7-M8*7 90 SH.</t>
  </si>
  <si>
    <t>AV/814/75/M8*15</t>
  </si>
  <si>
    <t>PM 30/20 M8*15 SH. 70/75</t>
  </si>
  <si>
    <t>AV/127/90/M6*15/M6*12</t>
  </si>
  <si>
    <t>AV/158/60/M10*28</t>
  </si>
  <si>
    <t>T5018</t>
  </si>
  <si>
    <t>AV/125-M5*8-12</t>
  </si>
  <si>
    <t>T4077</t>
  </si>
  <si>
    <t>MM 15/15 M5*8 M5*12 55 SH.</t>
  </si>
  <si>
    <t>T5030</t>
  </si>
  <si>
    <t>A-NR-90-WH-15*25-M6*15-M6*12</t>
  </si>
  <si>
    <t>T5029</t>
  </si>
  <si>
    <t>A-NR-60-WH-75*45-M10*28-M10*28</t>
  </si>
  <si>
    <t>T1591</t>
  </si>
  <si>
    <t>OCAK İLK SEVKİYAT TERMİN VERİLDİ</t>
  </si>
  <si>
    <t>IHR-906</t>
  </si>
  <si>
    <t xml:space="preserve">KOLİ İÇİ 500 ADET / GRİ EPDM LEKELEMEZ </t>
  </si>
  <si>
    <t>R 1623</t>
  </si>
  <si>
    <t>999858 only rubber - puffer D22 H23 80 SH.</t>
  </si>
  <si>
    <t>IHR-932</t>
  </si>
  <si>
    <t>TOPLAM SİPARİŞ 40000 ADET / 3000 ADET 27.11'DE SEVK EDİLDİ</t>
  </si>
  <si>
    <t>25.12 / KOLİ İÇİ 200 ADET</t>
  </si>
  <si>
    <t>AV/825/60/M4*10/STAINLESS</t>
  </si>
  <si>
    <t>T3608</t>
  </si>
  <si>
    <t>PM 15/10 M4*10 60 SH. STAINLESS RUBBER</t>
  </si>
  <si>
    <t>LEKELEMEZ / KOLİ İÇİ 500 ADET</t>
  </si>
  <si>
    <t>AV/821/M16*47</t>
  </si>
  <si>
    <t>T3857</t>
  </si>
  <si>
    <t>PM 100/40 M16*47 55 SH.</t>
  </si>
  <si>
    <t xml:space="preserve">GRİ LEKELEMEZ HAMUR / KOLİ İÇİ 500 ADET </t>
  </si>
  <si>
    <t>AV/3208/60/M10</t>
  </si>
  <si>
    <t>T1017-M10-60</t>
  </si>
  <si>
    <t>SPECIAL 3208/60/M10 - Ø77x30 Ant. Camp. Ø77/30 M10 60 SH.</t>
  </si>
  <si>
    <t>IHR-977</t>
  </si>
  <si>
    <t>AV/912/M16*45</t>
  </si>
  <si>
    <t>T3703</t>
  </si>
  <si>
    <t>MF 125/50 M16*45/M16*16 55 SH.</t>
  </si>
  <si>
    <t>AV/917/M12*37</t>
  </si>
  <si>
    <t>T3699</t>
  </si>
  <si>
    <t>MF 75/40 M12*37/M12*10 55 SH.</t>
  </si>
  <si>
    <t>AV/I/902/M8*23</t>
  </si>
  <si>
    <t>T4147</t>
  </si>
  <si>
    <t>MF 30/22 M8*23-F8*7 55 SH. INOX</t>
  </si>
  <si>
    <t>IHR-1029</t>
  </si>
  <si>
    <t>AV/801/M6*12</t>
  </si>
  <si>
    <t>T2418</t>
  </si>
  <si>
    <t>PM 25/15 M6*12 60 SH.</t>
  </si>
  <si>
    <t>15.01 TERMİNLİ / TAMAMI TEK SEFERDE</t>
  </si>
  <si>
    <t>AV/124/M4*10</t>
  </si>
  <si>
    <t>T3454</t>
  </si>
  <si>
    <t>MM 15/10 M4*10/M4*10 55 SH.</t>
  </si>
  <si>
    <t>8021/75</t>
  </si>
  <si>
    <t>T2925</t>
  </si>
  <si>
    <t>8021/75 MOUNT ORMANT WITH CODE 75</t>
  </si>
  <si>
    <t>8017/300</t>
  </si>
  <si>
    <t>T3049</t>
  </si>
  <si>
    <t>8017/300 MOUNT ORMANT WITH CODE 300</t>
  </si>
  <si>
    <t>8078/262</t>
  </si>
  <si>
    <t>T3435</t>
  </si>
  <si>
    <t>8078/262 (EX 8078) SEGNO IDENTIFICATIVO BLU</t>
  </si>
  <si>
    <t>IHR-1058</t>
  </si>
  <si>
    <t>TOPLAM SİPARİŞ 200 ADET / 90 ADET 25.12'DE SEVK EDİLDİ</t>
  </si>
  <si>
    <t>TOPLAM SİPARİŞ 80 ADET / 24 ADET 25.12'DE SEVK EDİLDİ</t>
  </si>
  <si>
    <t>TOPLAM SİPARİŞ 8000 ADET / 3000 ADET 27.11'DE SEVK EDİLDİ / 2500 ADET 25.12'DE SEVK EDİLDİ</t>
  </si>
  <si>
    <t>TOPLAM SİPARİŞ 1000 ADET / 200 ADET 25.12'DE SEVK EDİLDİ</t>
  </si>
  <si>
    <t>01.06.2026 / TOPLAM SİPARİŞ 5000 ADET / 900 ADET 25.12'DE SEVK EDİLDİ</t>
  </si>
  <si>
    <t>TOPLAM SİPARİŞ 3.200 ADET / 900 ADET 25.12'DE SEVK EDİLDİ</t>
  </si>
  <si>
    <t>TOPLAM SİPARİŞ 200 ADET / 191 ADET 25.12'DE SEVK EDİLDİ</t>
  </si>
  <si>
    <t>TOPLAM SİPARİŞ 30.000 ADET / 16.826 ADET 25.12'DE SEVK EDİLDİ</t>
  </si>
  <si>
    <t>TOPLAM SİPARİŞ 60 ADET / 25 ADET 25.12'DE SEVK EDİLDİ</t>
  </si>
  <si>
    <t>TOPLAM SİPARİŞ 500 ADET / 167 ADET 25.12'DE SEVK EDİLDİ</t>
  </si>
  <si>
    <t>ISKA CODE</t>
  </si>
  <si>
    <t>T2170-1</t>
  </si>
  <si>
    <t>999.809 PEZZO A DISEGNO PER C000000501</t>
  </si>
  <si>
    <t>temmuz ilk sevkiyat</t>
  </si>
  <si>
    <t>kasım ilk sevkiyat</t>
  </si>
  <si>
    <t>AV/327/60/FM8</t>
  </si>
  <si>
    <t>T3768</t>
  </si>
  <si>
    <t>CONICO PC 40/30 FEMALE M8 60 SH.</t>
  </si>
  <si>
    <t>haziran ilk sevkiyat</t>
  </si>
  <si>
    <t>AV/7512</t>
  </si>
  <si>
    <t>MT005</t>
  </si>
  <si>
    <t>7512 Bolt M16/M16 L=110 + Set Nuts and Washers WHITE ZINCKED</t>
  </si>
  <si>
    <t>TF30_M8_8</t>
  </si>
  <si>
    <t>SRKÇ27*M8</t>
  </si>
  <si>
    <t>TF27 M8X8 FEMMINE M8X8 CHIUSA ZINC. BIANCA</t>
  </si>
  <si>
    <t>LC_900061</t>
  </si>
  <si>
    <t>SRL273*117*6-M14</t>
  </si>
  <si>
    <t>900061 FULL METAL PART + M14 - ZINCKED</t>
  </si>
  <si>
    <t>ORMANT NEW ORDERS</t>
  </si>
  <si>
    <t>ORDER NO</t>
  </si>
  <si>
    <t>TOTAL</t>
  </si>
  <si>
    <t>AMOUNT</t>
  </si>
  <si>
    <t>MART İLK SEVKİYAT</t>
  </si>
  <si>
    <t>08.01.2026 SHIPMENT</t>
  </si>
  <si>
    <t>TOPLAM SİPARİŞ 1000 ADET / 200 ADET 25.12'DE SEVK EDİLDİ / 406 ADET 08.01'DE SEVK EDİLDİ</t>
  </si>
  <si>
    <t>TOPLAM SİPARİŞ 6.000 ADET</t>
  </si>
  <si>
    <t>TOPLAM SİPARİŞ 6.000 ADET / 2500 ADET 08.01'DE SEVK EDİLDİ</t>
  </si>
  <si>
    <t>25.12 / KOLİ İÇİ 200 ADET / TOPLAM SİPARİŞ 10.000 ADET</t>
  </si>
  <si>
    <t>25.12 / KOLİ İÇİ 200 ADET / TOPLAM SİPARİŞ 10.000 ADET / 1400 ADET 08.01'DE SEVK EDİLDİ</t>
  </si>
  <si>
    <t>TOPLAM SİPARİŞ 1.600 ADET</t>
  </si>
  <si>
    <t>TOPLAM SİPARİŞ 1.600 ADET / 1000 ADET 08.01'DE SEVK EDİLDİ</t>
  </si>
  <si>
    <t>TOPLAM SİPARİŞ 500 ADET</t>
  </si>
  <si>
    <t>AV/999654-1</t>
  </si>
  <si>
    <t>AV/999654-3</t>
  </si>
  <si>
    <t>SO22</t>
  </si>
  <si>
    <t>999654-1 FEMALE AISI 316</t>
  </si>
  <si>
    <t>SO23</t>
  </si>
  <si>
    <t>999654-3 FEMALE AISI 316</t>
  </si>
  <si>
    <t>AV/814/40/M8*43</t>
  </si>
  <si>
    <t>T4502</t>
  </si>
  <si>
    <t>PM 30/20 M8*43 40 SH.</t>
  </si>
  <si>
    <t>AV/144/M10*27</t>
  </si>
  <si>
    <t>T2904</t>
  </si>
  <si>
    <t>MM 60/60 M10*27/M10*27 60 SH.</t>
  </si>
  <si>
    <t>AV/914/55/M8*25</t>
  </si>
  <si>
    <t>MF 30/20 M8*35-F8*7 55 SH.</t>
  </si>
  <si>
    <t>AV/101/70/M6*10</t>
  </si>
  <si>
    <t>T4398</t>
  </si>
  <si>
    <t>MM 25/20 M6*10/M6*10 70 SH.</t>
  </si>
  <si>
    <t>T3141</t>
  </si>
  <si>
    <t>temmuz teminli</t>
  </si>
  <si>
    <t>AV/4005/60</t>
  </si>
  <si>
    <t>T4385-M10-60</t>
  </si>
  <si>
    <t>4005-Ø10 ANT. CAMPANA TIPO HS 92 35 M10 SH.55/60 - OPEN FEMALE</t>
  </si>
  <si>
    <t>AV/1004</t>
  </si>
  <si>
    <t>T4078</t>
  </si>
  <si>
    <t>FF 40/30 M8*7 M8*7 55 SH.</t>
  </si>
  <si>
    <t>T3131</t>
  </si>
  <si>
    <t>MM 33/15 M6*18/M8*28 45 SH.</t>
  </si>
  <si>
    <t>AV/191/45/M6*18/M8*28</t>
  </si>
  <si>
    <t>999974/RAL7024_STAINLESS</t>
  </si>
  <si>
    <t>D-SBR-75-WH-50*15-M10*28-Anti Stain-RAL 7024</t>
  </si>
  <si>
    <t>IHR-31</t>
  </si>
  <si>
    <t>12 ŞUBAT TERMİNLİ</t>
  </si>
  <si>
    <t>T5091</t>
  </si>
  <si>
    <t>şubat son sevkiyat terminli</t>
  </si>
  <si>
    <t>29 ocak terminli</t>
  </si>
  <si>
    <t>22.01.2026 SHIPMENT</t>
  </si>
  <si>
    <t>TOPLAM SİPARİŞ 40000 ADET / 3000 ADET 27.11'DE SEVK EDİLDİ / 4500 ADET 22.01'DE SEVK EDİLDİ</t>
  </si>
  <si>
    <t>KOLİ İÇİ 500 ADET / GRİ EPDM LEKELEMEZ / 4000 ADET 22.01'DE SEVK EDİLDİ</t>
  </si>
  <si>
    <t>25.12 / KOLİ İÇİ 200 ADET / TOPLAM SİPARİŞ 10.000 ADET / 1400 ADET 08.01'DE SEVK EDİLDİ / 7.600 ADET 22.01'DE SEVK EDİLDİ</t>
  </si>
  <si>
    <t xml:space="preserve">TOPLAM SİPARİŞ 500 ADET / 135 ADET 08.01'DE SEVK EDİLDİ / </t>
  </si>
  <si>
    <t>TOPLAM SİPARİŞ 500 ADET / 135 ADET 08.01'DE SEVK EDİLDİ / 207 ADET 22.01'DE SEVK EDİLDİ</t>
  </si>
  <si>
    <t>TOPLAM SİPARİŞ 460 ADET</t>
  </si>
  <si>
    <t>TOPLAM SİPARİŞ 460 ADET / 106 ADET 22.01'DE SEVK EDİLDİ</t>
  </si>
  <si>
    <t>GRİ LEKELEMEZ HAMUR / KOLİ İÇİ 500 ADET / 1000 ADET 22.01'DE SEVK EDİLDİ / miktar revize edildi</t>
  </si>
  <si>
    <t>AV/910/45/M16*47</t>
  </si>
  <si>
    <t>MF 100/50 M16*47/M16*16 45 SH.</t>
  </si>
  <si>
    <t>T5106</t>
  </si>
  <si>
    <t>AV/956BIS/55/M6*25</t>
  </si>
  <si>
    <t>T3357</t>
  </si>
  <si>
    <t>MF 25/25 M6*25/M6*6 CLOSED SH. 55</t>
  </si>
  <si>
    <t>AV/940/M12*37</t>
  </si>
  <si>
    <t>T3496</t>
  </si>
  <si>
    <t>MF 60/60 M12*37/M12*10 55 SH.</t>
  </si>
  <si>
    <t>AV/7510</t>
  </si>
  <si>
    <t>MT004</t>
  </si>
  <si>
    <t>7510 Bolt M12/M12 L=95 + Set Nuts and Washers WHITE ZINCKED</t>
  </si>
  <si>
    <t>AV/919/M16*47</t>
  </si>
  <si>
    <t>T3136</t>
  </si>
  <si>
    <t>MF 100/40 M16*47/M16*16 60 SH.</t>
  </si>
  <si>
    <t>AV/804/60/M8*20</t>
  </si>
  <si>
    <t>T4260</t>
  </si>
  <si>
    <t>PM 40/30 M8*20 60 SH.</t>
  </si>
  <si>
    <t>AV/3406/70</t>
  </si>
  <si>
    <t>T3361-M16-70-Z</t>
  </si>
  <si>
    <t>SPECIAL 3406/70 ANT. CAMPANA BASE Q.TA 150/51 M16 SH. 70</t>
  </si>
  <si>
    <t>AV/874/45/M6*18/GRAY</t>
  </si>
  <si>
    <t>T4305</t>
  </si>
  <si>
    <t>PM 20/8 M6*18 45 SH. GRAY STAINLESS</t>
  </si>
  <si>
    <t>AV/1014</t>
  </si>
  <si>
    <t>T0309</t>
  </si>
  <si>
    <t>FF 30/20 M8*7/M8*7 55 SH.</t>
  </si>
  <si>
    <t>AV/842/M10*28</t>
  </si>
  <si>
    <t>T2497</t>
  </si>
  <si>
    <t>PM 50/50 M10*28 55 SH.</t>
  </si>
  <si>
    <t>AV/3406/50</t>
  </si>
  <si>
    <t>T3361-M16-50-W</t>
  </si>
  <si>
    <t>SPECIAL 3406/50 ANT. CAMPANA BASE Q.TA 150/51 M16 Sh.45/50</t>
  </si>
  <si>
    <t>29.01.2026 SHIPMENT</t>
  </si>
  <si>
    <t>TOPLAM SİPARİŞ 40000 ADET / 3000 ADET 27.11'DE SEVK EDİLDİ / 4500 ADET 22.01'DE SEVK EDİLDİ / 8.169 ADET 29.01'DE SEVK EDİLDİ</t>
  </si>
  <si>
    <t>GRİ LEKELEMEZ HAMUR / KOLİ İÇİ 500 ADET / 1000 ADET 22.01'DE SEVK EDİLDİ / miktar revize edildi / 14.000 ADET 29.01'DE SEVK EDİLDİ</t>
  </si>
  <si>
    <t>TOPLAM SİPARİŞ 30.000 ADET / 16.826 ADET 25.12'DE SEVK EDİLDİ / 9.000 ADET 29.01'DE SEVK EDİLDİ</t>
  </si>
  <si>
    <t>TOPLAM SİPARİŞ 500 ADET / 45 ADET 29.01'DE SEVK EDİLDİ</t>
  </si>
  <si>
    <t>OCAK İLK SEVKİYAT TERMİN VERİLDİ / TOPLAM SİPARİŞ 2.000 ADET / 1.000 ADET 29.01'DE SEVK EDİLDİ</t>
  </si>
  <si>
    <t>ACİLDİR/ TOPLAM SİPARİŞ 10.000 ADET</t>
  </si>
  <si>
    <t>ACİLDİR/ TOPLAM SİPARİŞ 10.000 ADET / 9.685 ADET 29.01'DE SEVK EDİLDİ</t>
  </si>
  <si>
    <t>AV/125/80/M6*15</t>
  </si>
  <si>
    <t>T4567</t>
  </si>
  <si>
    <t>MM 15/15 M6*15/M6*15 80 SH.</t>
  </si>
  <si>
    <t>26 ŞUBAT TERMİNLİ</t>
  </si>
  <si>
    <t>TEMMUZ İLK SEVKİYAT</t>
  </si>
  <si>
    <t>AV/125/80/M6*23/M6*15</t>
  </si>
  <si>
    <t>T4568</t>
  </si>
  <si>
    <t>MM 15/15 M6*23/M6*15 80 SH.</t>
  </si>
  <si>
    <t>AV/830/70/M5*16/GREY/STAINLESS</t>
  </si>
  <si>
    <t xml:space="preserve"> PM 20/15 M5*16 SH 70 GREY STAINLESS</t>
  </si>
  <si>
    <t>T5104</t>
  </si>
  <si>
    <t>AV/814/60/M10*23</t>
  </si>
  <si>
    <t>T2366</t>
  </si>
  <si>
    <t>PM 30/20 M10*23 55 SH.</t>
  </si>
  <si>
    <t>09.04 TERMİNLİ / KOLİ İÇİ 500 ADET / GRİ EPDM LEKELEMEZ / TAMAMI TEK SEVKİYAT İLE</t>
  </si>
  <si>
    <t>AV/812/60/M8*18</t>
  </si>
  <si>
    <t>T2901</t>
  </si>
  <si>
    <t>PM 25/20 M8*18 SH.60</t>
  </si>
  <si>
    <t>26.03 TERMİNLİ</t>
  </si>
  <si>
    <t>AV/928/M6*18</t>
  </si>
  <si>
    <t>T3370</t>
  </si>
  <si>
    <t>MF 25/30 M6*18/M6*6 55 SH.</t>
  </si>
  <si>
    <t>12.03 TERMİNLİ</t>
  </si>
  <si>
    <t>AV/920000/55</t>
  </si>
  <si>
    <t>T2844</t>
  </si>
  <si>
    <t>920000/55 SILENT BLOCK 55 SH. (+5 / -0 SH.)</t>
  </si>
  <si>
    <t>AV/HSB/1366/60/REINFORCED</t>
  </si>
  <si>
    <t>T2305-60-M8-W</t>
  </si>
  <si>
    <t>HSB 1366 REINFORCED 80/120/27/M8/100/8.2/3 OPEN FEMALE 60 SH. +/-5 + WASHER CAP</t>
  </si>
  <si>
    <t>GUA/85/00001</t>
  </si>
  <si>
    <t>R 1804</t>
  </si>
  <si>
    <t>SPECIAL 00001 GUARNIZIONE COME VS DISEGNO IN NBR 85 +/-5</t>
  </si>
  <si>
    <t>26.02 TERMİNLİ</t>
  </si>
  <si>
    <t>AV/115/M6*18</t>
  </si>
  <si>
    <t>T2320</t>
  </si>
  <si>
    <t>MM 20/25 M6*18/M6*18 60 SH.</t>
  </si>
  <si>
    <t>09.04 TERMİNLİ</t>
  </si>
  <si>
    <t>nisan ilk sevkiyat</t>
  </si>
  <si>
    <t>Ağustos ilk sevkiyat</t>
  </si>
  <si>
    <t>Ekim ilk sevkiyat</t>
  </si>
  <si>
    <t>ARALIK İLK SEVKİYAT</t>
  </si>
  <si>
    <t>Haziran ilk sevkiyat</t>
  </si>
  <si>
    <t>eylül ilk sevkiyat</t>
  </si>
  <si>
    <t>12.02 TERMİNLİ</t>
  </si>
  <si>
    <t>IHR-97</t>
  </si>
  <si>
    <t>05.02.2026 SHIPMENT</t>
  </si>
  <si>
    <t>GRİ LEKELEMEZ HAMUR / KOLİ İÇİ 500 ADET / 1000 ADET 22.01'DE SEVK EDİLDİ / miktar revize edildi / 14.000 ADET 29.01'DE SEVK EDİLDİ / 3.500 ADET 05.02'DE SEVK EDİLDİ</t>
  </si>
  <si>
    <t>GRİ EPDM LEKELEMEZ / KOLİ İÇİ 500 ADET / 5 şubat terminli / TOPLAM SİPARİŞ 25.000 ADET</t>
  </si>
  <si>
    <t>12.02 TERMİNLİ / 15.01 TERMİNLİ / TAMAMI TEK SEFERDE</t>
  </si>
  <si>
    <t>GRİ EPDM LEKELEMEZ / KOLİ İÇİ 500 ADET / 5 şubat terminli / TOPLAM SİPARİŞ 25.000 ADET / 7.500 ADET 05.02'DE SEVK EDİLDİ</t>
  </si>
  <si>
    <t>TOPLAM SİPARİŞ 30.000 ADET / 16.826 ADET 25.12'DE SEVK EDİLDİ / 9.000 ADET 29.01'DE SEVK EDİLDİ / 3126 ADET 05.02'DE SEVK EDİLDİ</t>
  </si>
  <si>
    <t>TOPLAM SİPARİŞ 500 ADET / 45 ADET 29.01'DE SEVK EDİLDİ / 297 ADET 05.02'DE SEVK EDİLDİ</t>
  </si>
  <si>
    <t>12.02 TERMİNLİ miktar güncellendi</t>
  </si>
  <si>
    <t>AV/125/M5*11</t>
  </si>
  <si>
    <t>T4201</t>
  </si>
  <si>
    <t>MM 15/15 M5*11/M5*11 60 SH.</t>
  </si>
  <si>
    <t>AV/311/60/M10*28</t>
  </si>
  <si>
    <t>T3359</t>
  </si>
  <si>
    <t xml:space="preserve">CONICO PC 60/60 M10*28 55 SH. </t>
  </si>
  <si>
    <t>IHR-124</t>
  </si>
  <si>
    <t>9 NİSAN TERMİNLİ</t>
  </si>
  <si>
    <t>AV/861/60/M10*15</t>
  </si>
  <si>
    <t>T4160</t>
  </si>
  <si>
    <t>PM 40/20 M10*15 60 SH.</t>
  </si>
  <si>
    <t>AV/818/M12*37</t>
  </si>
  <si>
    <t>T2486</t>
  </si>
  <si>
    <t>PM 60/30 M12*37 55 SH.</t>
  </si>
  <si>
    <t>AV/1035/70</t>
  </si>
  <si>
    <t>T1932</t>
  </si>
  <si>
    <t>FF 60/40 M12*10/M12*10 70 SH.</t>
  </si>
  <si>
    <t>12.02.2026 SHIPMENT</t>
  </si>
  <si>
    <t>GRİ EPDM LEKELEMEZ / KOLİ İÇİ 500 ADET / 5 şubat terminli / TOPLAM SİPARİŞ 25.000 ADET / 7.500 ADET 05.02'DE SEVK EDİLDİ / 7.000 ADET 12.02'DE SEVK EDİLDİ</t>
  </si>
  <si>
    <t xml:space="preserve">TOPLAM SİPARİŞ 250 ADET </t>
  </si>
  <si>
    <t>TOPLAM SİPARİŞ 250 ADET / 220 ADET 12.02'DE SEVK EDİLDİ</t>
  </si>
  <si>
    <t>TOPLAM SİPARİŞ 80 ADET</t>
  </si>
  <si>
    <t>19.02.2026 - SHIPMENT</t>
  </si>
  <si>
    <t>TOPLAM SİPARİŞ 40000 ADET / 3000 ADET 27.11'DE SEVK EDİLDİ / 4500 ADET 22.01'DE SEVK EDİLDİ / 8.169 ADET 29.01'DE SEVK EDİLDİ / 4500 ADET 19.02'DE SEVK EDİLDİ</t>
  </si>
  <si>
    <t>TOPLAM SİPARİŞ 500 ADET / 45 ADET 29.01'DE SEVK EDİLDİ / 297 ADET 05.02'DE SEVK EDİLDİ / 142 ADET 19.02'DE SEVK EDİLDİ</t>
  </si>
  <si>
    <t>TOPLAM SİPARİŞ 80 ADET / 49 ADET 12.02'DE SEVK EDİLDİ / 23 ADET 19.02'DE SEVK EDİLDİ</t>
  </si>
  <si>
    <t>TOPLAM SİPARİŞ 30 ADET</t>
  </si>
  <si>
    <t>TOPLAM SİPARİŞ 30 ADET / 26 ADET 19.02'DE SEVK EDİLDİ</t>
  </si>
  <si>
    <t>AV/901/60/M6*18/OPEN</t>
  </si>
  <si>
    <t>T2332</t>
  </si>
  <si>
    <t>MF 25/20 M6*18/M6*6 60 SH. OPEN FEMALE</t>
  </si>
  <si>
    <t>AV/161/M6*18</t>
  </si>
  <si>
    <t>T2492</t>
  </si>
  <si>
    <t>MM 25/25 M6*18/M6*18 55 SH.</t>
  </si>
  <si>
    <t>AV/1030</t>
  </si>
  <si>
    <t>T1751</t>
  </si>
  <si>
    <t>FF 40/40 M8*7/M8*7 60 SH.</t>
  </si>
  <si>
    <t>AV/I/953/55/M6*12</t>
  </si>
  <si>
    <t>MF 25/15 M6*12 OPEN FEMALE M6*7 INOX NBR Sh 55</t>
  </si>
  <si>
    <t>AV/830/60/M5*16/GREY/STAINLESS</t>
  </si>
  <si>
    <t>PM 20/15 M5X16 SH 60 GREY STAINLESS RUBBER</t>
  </si>
  <si>
    <t>AV/830/M6*15</t>
  </si>
  <si>
    <t>PM 20/15 M6x15 Sh 55</t>
  </si>
  <si>
    <t>AV/129/60/M8*18</t>
  </si>
  <si>
    <t>T4213</t>
  </si>
  <si>
    <t>MM 20/20 M8*18/M8*18 60 SH.</t>
  </si>
  <si>
    <t>AV/3306/60/M16/FULL</t>
  </si>
  <si>
    <t>T3361-M16-60-X</t>
  </si>
  <si>
    <t>SPECIAL FULL 3306/60/M16 SECURITY SAFE 150/51 M16 Sh. 60</t>
  </si>
  <si>
    <t>IHR-181</t>
  </si>
  <si>
    <t>T5145</t>
  </si>
  <si>
    <t>T5146</t>
  </si>
  <si>
    <t>T2165</t>
  </si>
  <si>
    <t>koli içi 500 adet</t>
  </si>
  <si>
    <t>AV/955/C961014</t>
  </si>
  <si>
    <t>T3599</t>
  </si>
  <si>
    <t>MF 40/20 M8*10 + SPECIAL FM8X10 55 SH.</t>
  </si>
  <si>
    <t xml:space="preserve">MF 40/30 M8*10 + SPECIAL FEMALE FM8*10 55 SH. </t>
  </si>
  <si>
    <t>AV-I/104/M8*23</t>
  </si>
  <si>
    <t>MM 40/30 M8*23 M8*23 55 SH. INOX 104 TYPE A</t>
  </si>
  <si>
    <t>AV/4002/55</t>
  </si>
  <si>
    <t>4002 Ø8 CAMPANA TIPO HS 66 25 M10 SH. 55 OPEN FEMALE</t>
  </si>
  <si>
    <t>AV/909/M12*37</t>
  </si>
  <si>
    <t>T2440</t>
  </si>
  <si>
    <t>MF 75/50 M12*37/M12*12 55 SH.</t>
  </si>
  <si>
    <t>26.02.2026 SHIPMENT</t>
  </si>
  <si>
    <t>ŞUBAT İLK SEVKİYAT. Sipariş 500 adetti. 252 tanesi 26.02.'de gitti</t>
  </si>
  <si>
    <t>12 ŞUBAT TERMİNLİ / sipariş 4000 adetti. 3392 adedi 26.02'de gitti</t>
  </si>
  <si>
    <t>NEXT SHIPMENT</t>
  </si>
  <si>
    <t>AV/4004/D10/70</t>
  </si>
  <si>
    <t>T4384-Ø10,2-70-W</t>
  </si>
  <si>
    <t>4004/D10/70 CAMP HS 76 27 D10,2÷10,5 SH70</t>
  </si>
  <si>
    <r>
      <t xml:space="preserve">MART İLK SEVKİYAT - </t>
    </r>
    <r>
      <rPr>
        <b/>
        <sz val="11"/>
        <color rgb="FFFF0000"/>
        <rFont val="Calibri"/>
        <family val="2"/>
        <charset val="162"/>
        <scheme val="minor"/>
      </rPr>
      <t>26.03 termin verildi</t>
    </r>
  </si>
  <si>
    <r>
      <t xml:space="preserve">26.03 TERMİNLİ / GRİ EPDM LEKELEMEZ / KOLİ İÇİ 500 ADET / TAMAMI TEK SEVKİYAT İLE /  </t>
    </r>
    <r>
      <rPr>
        <b/>
        <sz val="11"/>
        <color rgb="FFFF0000"/>
        <rFont val="Calibri"/>
        <family val="2"/>
        <charset val="162"/>
        <scheme val="minor"/>
      </rPr>
      <t>16.04'e kadar bitirilecek</t>
    </r>
  </si>
  <si>
    <t>AV/4006/45/M10</t>
  </si>
  <si>
    <t>4006 ANT. CAMPANA TIPO HS 135 40 M10 SH.45 - OPEN FEMALE</t>
  </si>
  <si>
    <t>T1450-M10-45-OPEN</t>
  </si>
  <si>
    <t>T4059</t>
  </si>
  <si>
    <t>MF 15/10 M4*10/M4*4 60 SH.</t>
  </si>
  <si>
    <t>AV/963/M4*10</t>
  </si>
  <si>
    <t>T4506</t>
  </si>
  <si>
    <t>MF 15/15 M4*10/M4*4 SH.55 OPEN</t>
  </si>
  <si>
    <t>AV/923/55/M4x10/FM4x4/OPEN</t>
  </si>
  <si>
    <t>05.03.2026 SHIPMENT</t>
  </si>
  <si>
    <r>
      <t xml:space="preserve">19.02 terminli / </t>
    </r>
    <r>
      <rPr>
        <sz val="11"/>
        <color rgb="FFFF0000"/>
        <rFont val="Calibri"/>
        <family val="2"/>
        <charset val="162"/>
        <scheme val="minor"/>
      </rPr>
      <t>1500 adedi 04.03.'de gitti</t>
    </r>
    <r>
      <rPr>
        <sz val="11"/>
        <color theme="1"/>
        <rFont val="Calibri"/>
        <family val="2"/>
        <charset val="162"/>
        <scheme val="minor"/>
      </rPr>
      <t xml:space="preserve"> /</t>
    </r>
    <r>
      <rPr>
        <sz val="11"/>
        <color rgb="FFFF0000"/>
        <rFont val="Calibri"/>
        <family val="2"/>
        <charset val="162"/>
        <scheme val="minor"/>
      </rPr>
      <t xml:space="preserve"> 3000 adedi 05.03.'de gitti</t>
    </r>
  </si>
  <si>
    <r>
      <t>TOPLAM SİPARİŞ 40000 ADET / 3000 ADET 27.11'DE SEVK EDİLDİ / 4500 ADET 22.01'DE SEVK EDİLDİ / 8.169 ADET 29.01'DE SEVK EDİLDİ / 4500 ADET 19.02'DE SEVK EDİLDİ / 6750 tane 26.02'de gitti /</t>
    </r>
    <r>
      <rPr>
        <sz val="11"/>
        <color rgb="FFFF0000"/>
        <rFont val="Calibri"/>
        <family val="2"/>
        <charset val="162"/>
        <scheme val="minor"/>
      </rPr>
      <t xml:space="preserve"> 9000 adedi 05.03'de gitti</t>
    </r>
  </si>
  <si>
    <t xml:space="preserve">TOPLAM SİPARİŞ 40000 ADET / 3000 ADET 27.11'DE SEVK EDİLDİ / 4500 ADET 22.01'DE SEVK EDİLDİ / 8.169 ADET 29.01'DE SEVK EDİLDİ / 4500 ADET 19.02'DE SEVK EDİLDİ / 6750 tane 26.02'de gitti </t>
  </si>
  <si>
    <r>
      <rPr>
        <b/>
        <sz val="11"/>
        <color theme="1"/>
        <rFont val="Calibri"/>
        <family val="2"/>
        <charset val="162"/>
        <scheme val="minor"/>
      </rPr>
      <t xml:space="preserve">12.03 terminli </t>
    </r>
    <r>
      <rPr>
        <sz val="11"/>
        <color theme="1"/>
        <rFont val="Calibri"/>
        <family val="2"/>
        <charset val="162"/>
        <scheme val="minor"/>
      </rPr>
      <t xml:space="preserve">/ GRİ EPDM LEKELEMEZ / KOLİ İÇİ 500 ADET / 5 şubat terminli / TOPLAM SİPARİŞ 25.000 ADET / 7.500 ADET 05.02'DE SEVK EDİLDİ / 7.000 ADET 12.02'DE SEVK EDİLDİ / 5000 tane 26.02'de gitti / </t>
    </r>
    <r>
      <rPr>
        <b/>
        <sz val="11"/>
        <color theme="1"/>
        <rFont val="Calibri"/>
        <family val="2"/>
        <charset val="162"/>
        <scheme val="minor"/>
      </rPr>
      <t>12.03 terminli</t>
    </r>
  </si>
  <si>
    <r>
      <t xml:space="preserve">19.02 terminli / </t>
    </r>
    <r>
      <rPr>
        <sz val="11"/>
        <color theme="1"/>
        <rFont val="Calibri"/>
        <family val="2"/>
        <charset val="162"/>
        <scheme val="minor"/>
      </rPr>
      <t>1500 adedi 04.03.'de gitti</t>
    </r>
  </si>
  <si>
    <t>Sipraiş adedi 10.000. 1500 gidecek  HENÜZ GİTMEDİ</t>
  </si>
  <si>
    <t>AV/126/M4*10</t>
  </si>
  <si>
    <t>T4504</t>
  </si>
  <si>
    <t>TYPE A - MM 15/20 M4X10 M4X10 SH.55</t>
  </si>
  <si>
    <t>AV/120/M16*47</t>
  </si>
  <si>
    <t>T3855</t>
  </si>
  <si>
    <t>MM 100/40 M16*47/M16*47 55 SH.</t>
  </si>
  <si>
    <t>AV/852/M12*37</t>
  </si>
  <si>
    <t>T2488</t>
  </si>
  <si>
    <t>PM 75/45 M12*37 55 SH.</t>
  </si>
  <si>
    <t>AV/851/M12*37</t>
  </si>
  <si>
    <t>T3557</t>
  </si>
  <si>
    <t>PM 75/30 M12*37 55 SH.</t>
  </si>
  <si>
    <t>11.03.2026 SHIPMENT</t>
  </si>
  <si>
    <t xml:space="preserve">26.03 - 10.000 ADET / KALANI 09.04 TERMİNLİ / GRİ LEKELEMEZ HAMUR / KOLİ İÇİ 500 ADET  </t>
  </si>
  <si>
    <t>12.03.2026 SHIPMENT</t>
  </si>
  <si>
    <r>
      <t>TOPLAM SİPARİŞ 40000 ADET / 3000 ADET 27.11'DE SEVK EDİLDİ / 4500 ADET 22.01'DE SEVK EDİLDİ / 8.169 ADET 29.01'DE SEVK EDİLDİ / 4500 ADET 19.02'DE SEVK EDİLDİ / 6750 tane 26.02'de gitti /</t>
    </r>
    <r>
      <rPr>
        <sz val="11"/>
        <color rgb="FFFF0000"/>
        <rFont val="Calibri"/>
        <family val="2"/>
        <charset val="162"/>
        <scheme val="minor"/>
      </rPr>
      <t xml:space="preserve"> 9000 adedi 05.03'de gitti</t>
    </r>
    <r>
      <rPr>
        <sz val="11"/>
        <color theme="1"/>
        <rFont val="Calibri"/>
        <family val="2"/>
        <charset val="162"/>
        <scheme val="minor"/>
      </rPr>
      <t xml:space="preserve"> / 1510 ADET 12.03'TE SEVK EDİLDİ</t>
    </r>
  </si>
  <si>
    <r>
      <t xml:space="preserve">19.02 terminli / </t>
    </r>
    <r>
      <rPr>
        <sz val="11"/>
        <color rgb="FFFF0000"/>
        <rFont val="Calibri"/>
        <family val="2"/>
        <charset val="162"/>
        <scheme val="minor"/>
      </rPr>
      <t>1500 adedi 04.03.'de gitti</t>
    </r>
    <r>
      <rPr>
        <sz val="11"/>
        <color theme="1"/>
        <rFont val="Calibri"/>
        <family val="2"/>
        <charset val="162"/>
        <scheme val="minor"/>
      </rPr>
      <t xml:space="preserve"> /</t>
    </r>
    <r>
      <rPr>
        <sz val="11"/>
        <color rgb="FFFF0000"/>
        <rFont val="Calibri"/>
        <family val="2"/>
        <charset val="162"/>
        <scheme val="minor"/>
      </rPr>
      <t xml:space="preserve"> 3000 adedi 05.03.'de gitti</t>
    </r>
    <r>
      <rPr>
        <sz val="11"/>
        <color theme="1"/>
        <rFont val="Calibri"/>
        <family val="2"/>
        <charset val="162"/>
        <scheme val="minor"/>
      </rPr>
      <t xml:space="preserve"> / 3569 ADET 12.03'TE SEVK EDİLDİ</t>
    </r>
  </si>
  <si>
    <t>12.03 TERMİNLİ / TOPLAM SİPARİŞ 500 ADET</t>
  </si>
  <si>
    <t>12.03 TERMİNLİ / TOPLAM SİPARİŞ 500 ADET / 150 ADET 12.03'TE SEVK EDİLDİ</t>
  </si>
  <si>
    <t>TOPLAM SİPARİŞ 400 ADET</t>
  </si>
  <si>
    <t>TOPLAM SİPARİŞ 400 ADET / 200 ADET 12.03'TE SEVK EDİLDİ</t>
  </si>
  <si>
    <t>30.04 TERMİNLİ</t>
  </si>
  <si>
    <t>7 MAYIS TERMİNLİ</t>
  </si>
  <si>
    <t>T5153</t>
  </si>
  <si>
    <t>koli içi 200 / 9 NİSAN TERMİNLİ</t>
  </si>
  <si>
    <t>28.05 terminli</t>
  </si>
  <si>
    <t>IHR-254</t>
  </si>
  <si>
    <t>AV/113B</t>
  </si>
  <si>
    <t>T4200</t>
  </si>
  <si>
    <t>MM 125/40 M16*45/M16*45 55 SH.</t>
  </si>
  <si>
    <t>IHR-255</t>
  </si>
  <si>
    <t>T1451-M10-55-X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</si>
</sst>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\ [$€-407]"/>
    <numFmt numFmtId="165" formatCode="#,##0.00\ [$€-407]"/>
  </numFmts>
  <fonts count="12"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6" fillId="0" borderId="0">
      <alignment vertical="top"/>
    </xf>
  </cellStyleXfs>
  <cellXfs count="38">
    <xf numFmtId="0" fontId="0" fillId="0" borderId="0" xfId="0"/>
    <xf numFmtId="164" fontId="0" fillId="0" borderId="0" xfId="0" applyNumberFormat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1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right"/>
    </xf>
    <xf numFmtId="165" fontId="0" fillId="0" borderId="1" xfId="0" applyNumberFormat="1" applyBorder="1"/>
    <xf numFmtId="17" fontId="0" fillId="0" borderId="2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8" fillId="0" borderId="3" xfId="0" applyFont="1" applyBorder="1" applyAlignment="1">
      <alignment horizontal="left" vertical="center"/>
    </xf>
    <xf numFmtId="164" fontId="0" fillId="0" borderId="1" xfId="0" applyNumberFormat="1" applyBorder="1"/>
    <xf numFmtId="3" fontId="11" fillId="0" borderId="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8">
    <cellStyle name="Normal" xfId="0" builtinId="0"/>
    <cellStyle name="Normal 2" xfId="1" xr:uid="{00000000-0005-0000-0000-000001000000}"/>
    <cellStyle name="Normal 3" xfId="6" xr:uid="{00000000-0005-0000-0000-000034000000}"/>
    <cellStyle name="Normal 35" xfId="2" xr:uid="{00000000-0005-0000-0000-000002000000}"/>
    <cellStyle name="Normal 39" xfId="3" xr:uid="{00000000-0005-0000-0000-000003000000}"/>
    <cellStyle name="Normal 4" xfId="7" xr:uid="{00000000-0005-0000-0000-000035000000}"/>
    <cellStyle name="Normal 40" xfId="4" xr:uid="{00000000-0005-0000-0000-000004000000}"/>
    <cellStyle name="Normal 5 2" xfId="5" xr:uid="{00000000-0005-0000-0000-000005000000}"/>
  </cellStyles>
  <dxfs count="0"/>
  <tableStyles count="0" defaultTableStyle="TableStyleMedium2" defaultPivotStyle="PivotStyleLight16"/>
  <colors>
    <mruColors>
      <color rgb="FFFFCC00"/>
      <color rgb="FFA9B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516031</xdr:colOff>
      <xdr:row>3</xdr:row>
      <xdr:rowOff>100853</xdr:rowOff>
    </xdr:from>
    <xdr:to>
      <xdr:col>4</xdr:col>
      <xdr:colOff>232859</xdr:colOff>
      <xdr:row>7</xdr:row>
      <xdr:rowOff>34178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27119" y="672353"/>
          <a:ext cx="122032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344581</xdr:colOff>
      <xdr:row>3</xdr:row>
      <xdr:rowOff>5603</xdr:rowOff>
    </xdr:from>
    <xdr:to>
      <xdr:col>1</xdr:col>
      <xdr:colOff>1104900</xdr:colOff>
      <xdr:row>7</xdr:row>
      <xdr:rowOff>104775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C48207F0-727F-42A4-ACA5-990130C4164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4581" y="577103"/>
          <a:ext cx="1588994" cy="8611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8:L301"/>
  <sheetViews>
    <sheetView tabSelected="1" topLeftCell="A250" zoomScale="80" zoomScaleNormal="80" workbookViewId="0">
      <selection activeCell="G244" sqref="G244"/>
    </sheetView>
  </sheetViews>
  <sheetFormatPr defaultRowHeight="15"/>
  <cols>
    <col min="2" max="2" width="6.85546875" customWidth="1"/>
    <col min="3" max="3" width="10.140625" bestFit="1" customWidth="1"/>
    <col min="4" max="4" width="12.42578125" style="27" bestFit="1" customWidth="1"/>
    <col min="5" max="5" width="35.85546875" customWidth="1"/>
    <col min="6" max="6" width="22.42578125" customWidth="1"/>
    <col min="7" max="7" width="84" customWidth="1"/>
    <col min="8" max="8" width="12.7109375" style="1" bestFit="1" customWidth="1"/>
    <col min="9" max="9" width="12.85546875" bestFit="1" customWidth="1"/>
    <col min="10" max="10" width="119.5703125" style="5" customWidth="1"/>
    <col min="11" max="11" width="18.28515625" customWidth="1"/>
    <col min="12" max="12" width="14.85546875" customWidth="1"/>
  </cols>
  <sheetData>
    <row r="8" spans="3:12">
      <c r="G8" t="s">
        <v>8</v>
      </c>
    </row>
    <row r="9" spans="3:12">
      <c r="G9" t="s">
        <v>6</v>
      </c>
    </row>
    <row r="11" spans="3:12" s="13" customFormat="1">
      <c r="C11" s="14" t="s">
        <v>7</v>
      </c>
      <c r="D11" s="15" t="s">
        <v>0</v>
      </c>
      <c r="E11" s="14" t="s">
        <v>1</v>
      </c>
      <c r="F11" s="14" t="s">
        <v>225</v>
      </c>
      <c r="G11" s="14" t="s">
        <v>2</v>
      </c>
      <c r="H11" s="16" t="s">
        <v>3</v>
      </c>
      <c r="I11" s="14" t="s">
        <v>4</v>
      </c>
      <c r="J11" s="6" t="s">
        <v>5</v>
      </c>
    </row>
    <row r="12" spans="3:12" s="13" customFormat="1">
      <c r="C12" s="33" t="s">
        <v>248</v>
      </c>
      <c r="D12" s="33"/>
      <c r="E12" s="33"/>
      <c r="F12" s="33"/>
      <c r="G12" s="33"/>
      <c r="H12" s="33"/>
      <c r="I12" s="33"/>
      <c r="J12" s="33"/>
    </row>
    <row r="13" spans="3:12">
      <c r="C13" s="12" t="s">
        <v>132</v>
      </c>
      <c r="D13" s="8">
        <v>25001488</v>
      </c>
      <c r="E13" s="4" t="s">
        <v>57</v>
      </c>
      <c r="F13" s="4" t="s">
        <v>58</v>
      </c>
      <c r="G13" s="4" t="s">
        <v>59</v>
      </c>
      <c r="H13" s="3">
        <v>1</v>
      </c>
      <c r="I13" s="2">
        <v>500</v>
      </c>
      <c r="J13" s="11" t="s">
        <v>130</v>
      </c>
      <c r="K13" s="1"/>
      <c r="L13" s="1"/>
    </row>
    <row r="14" spans="3:12">
      <c r="C14" s="12" t="s">
        <v>131</v>
      </c>
      <c r="D14" s="8">
        <v>25001482</v>
      </c>
      <c r="E14" s="4" t="s">
        <v>127</v>
      </c>
      <c r="F14" s="4" t="s">
        <v>128</v>
      </c>
      <c r="G14" s="4" t="s">
        <v>129</v>
      </c>
      <c r="H14" s="3">
        <v>1.32</v>
      </c>
      <c r="I14" s="2">
        <v>500</v>
      </c>
      <c r="J14" s="11" t="s">
        <v>130</v>
      </c>
      <c r="K14" s="1"/>
      <c r="L14" s="1"/>
    </row>
    <row r="15" spans="3:12">
      <c r="C15" s="4" t="s">
        <v>151</v>
      </c>
      <c r="D15" s="8">
        <v>25001604</v>
      </c>
      <c r="E15" s="4">
        <v>8009</v>
      </c>
      <c r="F15" s="4" t="s">
        <v>10</v>
      </c>
      <c r="G15" s="4" t="s">
        <v>9</v>
      </c>
      <c r="H15" s="3">
        <v>9</v>
      </c>
      <c r="I15" s="2">
        <v>110</v>
      </c>
      <c r="J15" s="11" t="s">
        <v>215</v>
      </c>
      <c r="K15" s="1"/>
      <c r="L15" s="1"/>
    </row>
    <row r="16" spans="3:12">
      <c r="C16" s="4" t="s">
        <v>151</v>
      </c>
      <c r="D16" s="8">
        <v>25001604</v>
      </c>
      <c r="E16" s="4" t="s">
        <v>144</v>
      </c>
      <c r="F16" s="4" t="s">
        <v>145</v>
      </c>
      <c r="G16" s="4" t="s">
        <v>146</v>
      </c>
      <c r="H16" s="3">
        <v>9</v>
      </c>
      <c r="I16" s="2">
        <v>56</v>
      </c>
      <c r="J16" s="11" t="s">
        <v>216</v>
      </c>
      <c r="K16" s="1"/>
      <c r="L16" s="1"/>
    </row>
    <row r="17" spans="3:12">
      <c r="C17" s="4" t="s">
        <v>152</v>
      </c>
      <c r="D17" s="8">
        <v>25001670</v>
      </c>
      <c r="E17" s="4" t="s">
        <v>73</v>
      </c>
      <c r="F17" s="4" t="s">
        <v>75</v>
      </c>
      <c r="G17" s="4" t="s">
        <v>74</v>
      </c>
      <c r="H17" s="3">
        <v>0.1</v>
      </c>
      <c r="I17" s="2">
        <v>2500</v>
      </c>
      <c r="J17" s="11" t="s">
        <v>217</v>
      </c>
      <c r="K17" s="1"/>
      <c r="L17" s="1"/>
    </row>
    <row r="18" spans="3:12">
      <c r="C18" s="4" t="s">
        <v>152</v>
      </c>
      <c r="D18" s="8">
        <v>25001681</v>
      </c>
      <c r="E18" s="4" t="s">
        <v>57</v>
      </c>
      <c r="F18" s="4" t="s">
        <v>58</v>
      </c>
      <c r="G18" s="4" t="s">
        <v>59</v>
      </c>
      <c r="H18" s="3">
        <v>1</v>
      </c>
      <c r="I18" s="2">
        <v>406</v>
      </c>
      <c r="J18" s="11" t="s">
        <v>218</v>
      </c>
      <c r="K18" s="1"/>
      <c r="L18" s="1"/>
    </row>
    <row r="19" spans="3:12">
      <c r="C19" s="4" t="s">
        <v>169</v>
      </c>
      <c r="D19" s="8">
        <v>25001794</v>
      </c>
      <c r="E19" s="4" t="s">
        <v>155</v>
      </c>
      <c r="F19" s="4" t="s">
        <v>159</v>
      </c>
      <c r="G19" s="4" t="s">
        <v>156</v>
      </c>
      <c r="H19" s="3">
        <v>0.14699999999999999</v>
      </c>
      <c r="I19" s="2">
        <v>2300</v>
      </c>
      <c r="J19" s="11" t="s">
        <v>220</v>
      </c>
      <c r="K19" s="1"/>
      <c r="L19" s="1"/>
    </row>
    <row r="20" spans="3:12">
      <c r="C20" s="4" t="s">
        <v>173</v>
      </c>
      <c r="D20" s="8">
        <v>25001898</v>
      </c>
      <c r="E20" s="4">
        <v>999858</v>
      </c>
      <c r="F20" s="4" t="s">
        <v>171</v>
      </c>
      <c r="G20" s="4" t="s">
        <v>172</v>
      </c>
      <c r="H20" s="3">
        <v>0.13</v>
      </c>
      <c r="I20" s="2">
        <v>2500</v>
      </c>
      <c r="J20" s="11" t="s">
        <v>250</v>
      </c>
      <c r="K20" s="1"/>
      <c r="L20" s="1"/>
    </row>
    <row r="21" spans="3:12">
      <c r="C21" s="4" t="s">
        <v>187</v>
      </c>
      <c r="D21" s="8">
        <v>25001949</v>
      </c>
      <c r="E21" s="4" t="s">
        <v>123</v>
      </c>
      <c r="F21" s="4" t="s">
        <v>124</v>
      </c>
      <c r="G21" s="4" t="s">
        <v>125</v>
      </c>
      <c r="H21" s="3">
        <v>0.33</v>
      </c>
      <c r="I21" s="2">
        <v>1400</v>
      </c>
      <c r="J21" s="11" t="s">
        <v>252</v>
      </c>
      <c r="K21" s="1"/>
      <c r="L21" s="1"/>
    </row>
    <row r="22" spans="3:12">
      <c r="C22" s="4" t="s">
        <v>187</v>
      </c>
      <c r="D22" s="8">
        <v>25001965</v>
      </c>
      <c r="E22" s="4" t="s">
        <v>180</v>
      </c>
      <c r="F22" s="4" t="s">
        <v>181</v>
      </c>
      <c r="G22" s="4" t="s">
        <v>182</v>
      </c>
      <c r="H22" s="3">
        <v>2</v>
      </c>
      <c r="I22" s="2">
        <v>8</v>
      </c>
      <c r="J22" s="11" t="s">
        <v>221</v>
      </c>
      <c r="K22" s="1"/>
      <c r="L22" s="1"/>
    </row>
    <row r="23" spans="3:12">
      <c r="C23" s="4" t="s">
        <v>187</v>
      </c>
      <c r="D23" s="8">
        <v>25001980</v>
      </c>
      <c r="E23" s="4" t="s">
        <v>104</v>
      </c>
      <c r="F23" s="4" t="s">
        <v>105</v>
      </c>
      <c r="G23" s="4" t="s">
        <v>106</v>
      </c>
      <c r="H23" s="3">
        <v>0.126</v>
      </c>
      <c r="I23" s="2">
        <v>1000</v>
      </c>
      <c r="J23" s="11" t="s">
        <v>254</v>
      </c>
      <c r="K23" s="1"/>
      <c r="L23" s="1"/>
    </row>
    <row r="24" spans="3:12">
      <c r="C24" s="4" t="s">
        <v>187</v>
      </c>
      <c r="D24" s="8">
        <v>25002001</v>
      </c>
      <c r="E24" s="4" t="s">
        <v>20</v>
      </c>
      <c r="F24" s="4" t="s">
        <v>22</v>
      </c>
      <c r="G24" s="4" t="s">
        <v>21</v>
      </c>
      <c r="H24" s="3">
        <v>0.12</v>
      </c>
      <c r="I24" s="2">
        <v>1500</v>
      </c>
      <c r="J24" s="11"/>
      <c r="K24" s="1"/>
      <c r="L24" s="1"/>
    </row>
    <row r="25" spans="3:12">
      <c r="C25" s="4" t="s">
        <v>197</v>
      </c>
      <c r="D25" s="8">
        <v>25002044</v>
      </c>
      <c r="E25" s="4" t="s">
        <v>188</v>
      </c>
      <c r="F25" s="4" t="s">
        <v>189</v>
      </c>
      <c r="G25" s="4" t="s">
        <v>190</v>
      </c>
      <c r="H25" s="3">
        <v>6.1</v>
      </c>
      <c r="I25" s="2">
        <v>35</v>
      </c>
      <c r="J25" s="11" t="s">
        <v>223</v>
      </c>
      <c r="K25" s="1"/>
      <c r="L25" s="1"/>
    </row>
    <row r="26" spans="3:12">
      <c r="C26" s="4" t="s">
        <v>197</v>
      </c>
      <c r="D26" s="8">
        <v>25002047</v>
      </c>
      <c r="E26" s="4" t="s">
        <v>67</v>
      </c>
      <c r="F26" s="4" t="s">
        <v>68</v>
      </c>
      <c r="G26" s="4" t="s">
        <v>69</v>
      </c>
      <c r="H26" s="3">
        <v>0.72</v>
      </c>
      <c r="I26" s="2">
        <v>500</v>
      </c>
      <c r="J26" s="11"/>
      <c r="K26" s="1"/>
      <c r="L26" s="1"/>
    </row>
    <row r="27" spans="3:12">
      <c r="C27" s="4" t="s">
        <v>197</v>
      </c>
      <c r="D27" s="8">
        <v>25002075</v>
      </c>
      <c r="E27" s="4" t="s">
        <v>85</v>
      </c>
      <c r="F27" s="4" t="s">
        <v>83</v>
      </c>
      <c r="G27" s="4" t="s">
        <v>84</v>
      </c>
      <c r="H27" s="3">
        <v>6.8</v>
      </c>
      <c r="I27" s="2">
        <v>333</v>
      </c>
      <c r="J27" s="11" t="s">
        <v>224</v>
      </c>
      <c r="K27" s="1"/>
      <c r="L27" s="1"/>
    </row>
    <row r="28" spans="3:12">
      <c r="C28" s="4" t="s">
        <v>197</v>
      </c>
      <c r="D28" s="8">
        <v>25002075</v>
      </c>
      <c r="E28" s="4" t="s">
        <v>85</v>
      </c>
      <c r="F28" s="4" t="s">
        <v>83</v>
      </c>
      <c r="G28" s="4" t="s">
        <v>84</v>
      </c>
      <c r="H28" s="3">
        <v>6.8</v>
      </c>
      <c r="I28" s="2">
        <v>135</v>
      </c>
      <c r="J28" s="11" t="s">
        <v>256</v>
      </c>
      <c r="K28" s="1"/>
      <c r="L28" s="1"/>
    </row>
    <row r="29" spans="3:12">
      <c r="C29" s="4" t="s">
        <v>197</v>
      </c>
      <c r="D29" s="8">
        <v>25002096</v>
      </c>
      <c r="E29" s="4" t="s">
        <v>28</v>
      </c>
      <c r="F29" s="4" t="s">
        <v>29</v>
      </c>
      <c r="G29" s="4" t="s">
        <v>30</v>
      </c>
      <c r="H29" s="3">
        <v>0.16719999999999999</v>
      </c>
      <c r="I29" s="2">
        <v>1500</v>
      </c>
      <c r="J29" s="11"/>
      <c r="K29" s="1"/>
      <c r="L29" s="1"/>
    </row>
    <row r="30" spans="3:12">
      <c r="C30" s="4" t="s">
        <v>214</v>
      </c>
      <c r="D30" s="8">
        <v>25002130</v>
      </c>
      <c r="E30" s="4" t="s">
        <v>101</v>
      </c>
      <c r="F30" s="4" t="s">
        <v>102</v>
      </c>
      <c r="G30" s="4" t="s">
        <v>103</v>
      </c>
      <c r="H30" s="3">
        <v>6.8</v>
      </c>
      <c r="I30" s="2">
        <v>20</v>
      </c>
      <c r="J30" s="11"/>
      <c r="K30" s="1"/>
      <c r="L30" s="1"/>
    </row>
    <row r="31" spans="3:12">
      <c r="C31" s="33" t="s">
        <v>292</v>
      </c>
      <c r="D31" s="33"/>
      <c r="E31" s="33"/>
      <c r="F31" s="33"/>
      <c r="G31" s="33"/>
      <c r="H31" s="33"/>
      <c r="I31" s="33"/>
      <c r="J31" s="33"/>
      <c r="K31" s="1"/>
      <c r="L31" s="1"/>
    </row>
    <row r="32" spans="3:12">
      <c r="C32" s="4" t="s">
        <v>152</v>
      </c>
      <c r="D32" s="8">
        <v>25001681</v>
      </c>
      <c r="E32" s="4" t="s">
        <v>57</v>
      </c>
      <c r="F32" s="4" t="s">
        <v>58</v>
      </c>
      <c r="G32" s="4" t="s">
        <v>59</v>
      </c>
      <c r="H32" s="3">
        <v>1</v>
      </c>
      <c r="I32" s="2">
        <v>394</v>
      </c>
      <c r="J32" s="11" t="s">
        <v>249</v>
      </c>
      <c r="K32" s="1"/>
      <c r="L32" s="1"/>
    </row>
    <row r="33" spans="3:12">
      <c r="C33" s="4" t="s">
        <v>152</v>
      </c>
      <c r="D33" s="8">
        <v>25001700</v>
      </c>
      <c r="E33" s="4" t="s">
        <v>14</v>
      </c>
      <c r="F33" s="4" t="s">
        <v>15</v>
      </c>
      <c r="G33" s="4" t="s">
        <v>16</v>
      </c>
      <c r="H33" s="3">
        <v>0.13500000000000001</v>
      </c>
      <c r="I33" s="2">
        <v>4100</v>
      </c>
      <c r="J33" s="19" t="s">
        <v>219</v>
      </c>
      <c r="K33" s="1"/>
      <c r="L33" s="1"/>
    </row>
    <row r="34" spans="3:12">
      <c r="C34" s="4" t="s">
        <v>152</v>
      </c>
      <c r="D34" s="8">
        <v>25001746</v>
      </c>
      <c r="E34" s="4" t="s">
        <v>80</v>
      </c>
      <c r="F34" s="4" t="s">
        <v>81</v>
      </c>
      <c r="G34" s="4" t="s">
        <v>82</v>
      </c>
      <c r="H34" s="3">
        <v>0.13800000000000001</v>
      </c>
      <c r="I34" s="2">
        <v>4500</v>
      </c>
      <c r="J34" s="11" t="s">
        <v>174</v>
      </c>
      <c r="K34" s="1"/>
      <c r="L34" s="1"/>
    </row>
    <row r="35" spans="3:12">
      <c r="C35" s="4" t="s">
        <v>152</v>
      </c>
      <c r="D35" s="8">
        <v>25001747</v>
      </c>
      <c r="E35" s="4" t="s">
        <v>86</v>
      </c>
      <c r="F35" s="4" t="s">
        <v>87</v>
      </c>
      <c r="G35" s="4" t="s">
        <v>88</v>
      </c>
      <c r="H35" s="3">
        <v>0.105</v>
      </c>
      <c r="I35" s="2">
        <v>3500</v>
      </c>
      <c r="J35" s="11"/>
      <c r="K35" s="1"/>
      <c r="L35" s="1"/>
    </row>
    <row r="36" spans="3:12">
      <c r="C36" s="4" t="s">
        <v>169</v>
      </c>
      <c r="D36" s="8">
        <v>25001848</v>
      </c>
      <c r="E36" s="4" t="s">
        <v>116</v>
      </c>
      <c r="F36" s="4" t="s">
        <v>117</v>
      </c>
      <c r="G36" s="4" t="s">
        <v>118</v>
      </c>
      <c r="H36" s="3">
        <v>1.1287</v>
      </c>
      <c r="I36" s="2">
        <v>500</v>
      </c>
      <c r="J36" s="11"/>
      <c r="K36" s="1"/>
      <c r="L36" s="1"/>
    </row>
    <row r="37" spans="3:12">
      <c r="C37" s="4" t="s">
        <v>169</v>
      </c>
      <c r="D37" s="8">
        <v>25001851</v>
      </c>
      <c r="E37" s="4" t="s">
        <v>158</v>
      </c>
      <c r="F37" s="4" t="s">
        <v>165</v>
      </c>
      <c r="G37" s="4" t="s">
        <v>166</v>
      </c>
      <c r="H37" s="3">
        <v>1.25</v>
      </c>
      <c r="I37" s="2">
        <v>200</v>
      </c>
      <c r="J37" s="11"/>
      <c r="K37" s="1"/>
      <c r="L37" s="1"/>
    </row>
    <row r="38" spans="3:12">
      <c r="C38" s="4" t="s">
        <v>173</v>
      </c>
      <c r="D38" s="8">
        <v>25001895</v>
      </c>
      <c r="E38" s="4" t="s">
        <v>23</v>
      </c>
      <c r="F38" s="4" t="s">
        <v>24</v>
      </c>
      <c r="G38" s="4" t="s">
        <v>48</v>
      </c>
      <c r="H38" s="3">
        <v>0.28000000000000003</v>
      </c>
      <c r="I38" s="2">
        <v>4000</v>
      </c>
      <c r="J38" s="11" t="s">
        <v>170</v>
      </c>
      <c r="K38" s="1"/>
      <c r="L38" s="1"/>
    </row>
    <row r="39" spans="3:12">
      <c r="C39" s="4" t="s">
        <v>173</v>
      </c>
      <c r="D39" s="8">
        <v>25001898</v>
      </c>
      <c r="E39" s="4">
        <v>999858</v>
      </c>
      <c r="F39" s="4" t="s">
        <v>171</v>
      </c>
      <c r="G39" s="4" t="s">
        <v>172</v>
      </c>
      <c r="H39" s="3">
        <v>0.13</v>
      </c>
      <c r="I39" s="2">
        <v>3500</v>
      </c>
      <c r="J39" s="11" t="s">
        <v>251</v>
      </c>
      <c r="K39" s="1"/>
      <c r="L39" s="1"/>
    </row>
    <row r="40" spans="3:12">
      <c r="C40" s="4" t="s">
        <v>173</v>
      </c>
      <c r="D40" s="8">
        <v>25001927</v>
      </c>
      <c r="E40" s="4" t="s">
        <v>52</v>
      </c>
      <c r="F40" s="4" t="s">
        <v>53</v>
      </c>
      <c r="G40" s="4" t="s">
        <v>54</v>
      </c>
      <c r="H40" s="3">
        <v>1.177</v>
      </c>
      <c r="I40" s="2">
        <v>300</v>
      </c>
      <c r="J40" s="11"/>
      <c r="K40" s="1"/>
      <c r="L40" s="1"/>
    </row>
    <row r="41" spans="3:12">
      <c r="C41" s="4" t="s">
        <v>187</v>
      </c>
      <c r="D41" s="8">
        <v>25001949</v>
      </c>
      <c r="E41" s="4" t="s">
        <v>123</v>
      </c>
      <c r="F41" s="4" t="s">
        <v>124</v>
      </c>
      <c r="G41" s="4" t="s">
        <v>125</v>
      </c>
      <c r="H41" s="3">
        <v>0.33</v>
      </c>
      <c r="I41" s="2">
        <v>7600</v>
      </c>
      <c r="J41" s="11" t="s">
        <v>253</v>
      </c>
      <c r="K41" s="1"/>
      <c r="L41" s="1"/>
    </row>
    <row r="42" spans="3:12">
      <c r="C42" s="4" t="s">
        <v>187</v>
      </c>
      <c r="D42" s="8">
        <v>25001977</v>
      </c>
      <c r="E42" s="4" t="s">
        <v>98</v>
      </c>
      <c r="F42" s="9" t="s">
        <v>100</v>
      </c>
      <c r="G42" s="9" t="s">
        <v>99</v>
      </c>
      <c r="H42" s="10">
        <v>0.121</v>
      </c>
      <c r="I42" s="2">
        <v>1000</v>
      </c>
      <c r="J42" s="11" t="s">
        <v>183</v>
      </c>
      <c r="K42" s="1"/>
      <c r="L42" s="1"/>
    </row>
    <row r="43" spans="3:12">
      <c r="C43" s="4" t="s">
        <v>187</v>
      </c>
      <c r="D43" s="8">
        <v>25001986</v>
      </c>
      <c r="E43" s="4" t="s">
        <v>184</v>
      </c>
      <c r="F43" s="4" t="s">
        <v>185</v>
      </c>
      <c r="G43" s="4" t="s">
        <v>186</v>
      </c>
      <c r="H43" s="3">
        <v>3.15</v>
      </c>
      <c r="I43" s="2">
        <v>100</v>
      </c>
      <c r="J43" s="11"/>
      <c r="K43" s="1"/>
      <c r="L43" s="1"/>
    </row>
    <row r="44" spans="3:12">
      <c r="C44" s="4" t="s">
        <v>197</v>
      </c>
      <c r="D44" s="8">
        <v>25002042</v>
      </c>
      <c r="E44" s="4" t="s">
        <v>52</v>
      </c>
      <c r="F44" s="4" t="s">
        <v>53</v>
      </c>
      <c r="G44" s="4" t="s">
        <v>54</v>
      </c>
      <c r="H44" s="3">
        <v>1.177</v>
      </c>
      <c r="I44" s="2">
        <v>150</v>
      </c>
      <c r="J44" s="11"/>
      <c r="K44" s="1"/>
      <c r="L44" s="1"/>
    </row>
    <row r="45" spans="3:12">
      <c r="C45" s="4" t="s">
        <v>197</v>
      </c>
      <c r="D45" s="8">
        <v>25002045</v>
      </c>
      <c r="E45" s="4" t="s">
        <v>191</v>
      </c>
      <c r="F45" s="4" t="s">
        <v>192</v>
      </c>
      <c r="G45" s="4" t="s">
        <v>193</v>
      </c>
      <c r="H45" s="3">
        <v>1.22</v>
      </c>
      <c r="I45" s="2">
        <v>200</v>
      </c>
      <c r="J45" s="11"/>
      <c r="K45" s="1"/>
      <c r="L45" s="1"/>
    </row>
    <row r="46" spans="3:12">
      <c r="C46" s="4" t="s">
        <v>197</v>
      </c>
      <c r="D46" s="8">
        <v>25002075</v>
      </c>
      <c r="E46" s="4" t="s">
        <v>85</v>
      </c>
      <c r="F46" s="4" t="s">
        <v>83</v>
      </c>
      <c r="G46" s="4" t="s">
        <v>84</v>
      </c>
      <c r="H46" s="3">
        <v>6.8</v>
      </c>
      <c r="I46" s="2">
        <v>207</v>
      </c>
      <c r="J46" s="11" t="s">
        <v>296</v>
      </c>
      <c r="K46" s="1"/>
      <c r="L46" s="1"/>
    </row>
    <row r="47" spans="3:12">
      <c r="C47" s="4" t="s">
        <v>197</v>
      </c>
      <c r="D47" s="8">
        <v>25002103</v>
      </c>
      <c r="E47" s="4" t="s">
        <v>73</v>
      </c>
      <c r="F47" s="4" t="s">
        <v>75</v>
      </c>
      <c r="G47" s="4" t="s">
        <v>74</v>
      </c>
      <c r="H47" s="3">
        <v>0.1</v>
      </c>
      <c r="I47" s="2">
        <v>1000</v>
      </c>
      <c r="J47" s="11"/>
      <c r="K47" s="1"/>
      <c r="L47" s="1"/>
    </row>
    <row r="48" spans="3:12">
      <c r="C48" s="4" t="s">
        <v>187</v>
      </c>
      <c r="D48" s="8">
        <v>25001980</v>
      </c>
      <c r="E48" s="4" t="s">
        <v>104</v>
      </c>
      <c r="F48" s="4" t="s">
        <v>105</v>
      </c>
      <c r="G48" s="4" t="s">
        <v>106</v>
      </c>
      <c r="H48" s="3">
        <v>0.126</v>
      </c>
      <c r="I48" s="2">
        <v>600</v>
      </c>
      <c r="J48" s="11" t="s">
        <v>255</v>
      </c>
      <c r="K48" s="1"/>
      <c r="L48" s="1"/>
    </row>
    <row r="49" spans="3:12">
      <c r="C49" s="4" t="s">
        <v>152</v>
      </c>
      <c r="D49" s="8">
        <v>25001641</v>
      </c>
      <c r="E49" s="4" t="s">
        <v>147</v>
      </c>
      <c r="F49" s="4" t="s">
        <v>148</v>
      </c>
      <c r="G49" s="4" t="s">
        <v>149</v>
      </c>
      <c r="H49" s="3">
        <v>0.82899999999999996</v>
      </c>
      <c r="I49" s="2">
        <v>106</v>
      </c>
      <c r="J49" s="11" t="s">
        <v>298</v>
      </c>
      <c r="K49" s="1"/>
      <c r="L49" s="1"/>
    </row>
    <row r="50" spans="3:12">
      <c r="C50" s="33" t="s">
        <v>334</v>
      </c>
      <c r="D50" s="33"/>
      <c r="E50" s="33"/>
      <c r="F50" s="33"/>
      <c r="G50" s="33"/>
      <c r="H50" s="33"/>
      <c r="I50" s="33"/>
      <c r="J50" s="33"/>
      <c r="K50" s="1"/>
      <c r="L50" s="1"/>
    </row>
    <row r="51" spans="3:12">
      <c r="C51" s="4" t="s">
        <v>152</v>
      </c>
      <c r="D51" s="8">
        <v>25001641</v>
      </c>
      <c r="E51" s="4" t="s">
        <v>147</v>
      </c>
      <c r="F51" s="4" t="s">
        <v>148</v>
      </c>
      <c r="G51" s="4" t="s">
        <v>149</v>
      </c>
      <c r="H51" s="3">
        <v>0.82899999999999996</v>
      </c>
      <c r="I51" s="2">
        <v>354</v>
      </c>
      <c r="J51" s="11" t="s">
        <v>299</v>
      </c>
      <c r="K51" s="1"/>
      <c r="L51" s="1"/>
    </row>
    <row r="52" spans="3:12">
      <c r="C52" s="4" t="s">
        <v>152</v>
      </c>
      <c r="D52" s="8">
        <v>25001746</v>
      </c>
      <c r="E52" s="4" t="s">
        <v>80</v>
      </c>
      <c r="F52" s="4" t="s">
        <v>81</v>
      </c>
      <c r="G52" s="4" t="s">
        <v>82</v>
      </c>
      <c r="H52" s="3">
        <v>0.13800000000000001</v>
      </c>
      <c r="I52" s="2">
        <v>8169</v>
      </c>
      <c r="J52" s="11" t="s">
        <v>293</v>
      </c>
      <c r="K52" s="1"/>
      <c r="L52" s="1"/>
    </row>
    <row r="53" spans="3:12">
      <c r="C53" s="4" t="s">
        <v>169</v>
      </c>
      <c r="D53" s="8">
        <v>25001771</v>
      </c>
      <c r="E53" s="4" t="s">
        <v>153</v>
      </c>
      <c r="F53" s="4" t="s">
        <v>167</v>
      </c>
      <c r="G53" s="4" t="s">
        <v>154</v>
      </c>
      <c r="H53" s="3">
        <v>0.37</v>
      </c>
      <c r="I53" s="2">
        <v>1000</v>
      </c>
      <c r="J53" s="11"/>
      <c r="K53" s="1"/>
      <c r="L53" s="1"/>
    </row>
    <row r="54" spans="3:12">
      <c r="C54" s="4" t="s">
        <v>169</v>
      </c>
      <c r="D54" s="8">
        <v>25001839</v>
      </c>
      <c r="E54" s="4" t="s">
        <v>157</v>
      </c>
      <c r="F54" s="4" t="s">
        <v>163</v>
      </c>
      <c r="G54" s="4" t="s">
        <v>164</v>
      </c>
      <c r="H54" s="3">
        <v>0.19</v>
      </c>
      <c r="I54" s="2">
        <v>1500</v>
      </c>
      <c r="J54" s="11"/>
      <c r="K54" s="1"/>
      <c r="L54" s="1"/>
    </row>
    <row r="55" spans="3:12">
      <c r="C55" s="4" t="s">
        <v>173</v>
      </c>
      <c r="D55" s="8">
        <v>25001895</v>
      </c>
      <c r="E55" s="4" t="s">
        <v>23</v>
      </c>
      <c r="F55" s="4" t="s">
        <v>24</v>
      </c>
      <c r="G55" s="4" t="s">
        <v>48</v>
      </c>
      <c r="H55" s="3">
        <v>0.28000000000000003</v>
      </c>
      <c r="I55" s="2">
        <v>6000</v>
      </c>
      <c r="J55" s="11" t="s">
        <v>294</v>
      </c>
      <c r="K55" s="1"/>
      <c r="L55" s="1"/>
    </row>
    <row r="56" spans="3:12">
      <c r="C56" s="4" t="s">
        <v>173</v>
      </c>
      <c r="D56" s="8">
        <v>25001923</v>
      </c>
      <c r="E56" s="4" t="s">
        <v>11</v>
      </c>
      <c r="F56" s="4" t="s">
        <v>12</v>
      </c>
      <c r="G56" s="4" t="s">
        <v>13</v>
      </c>
      <c r="H56" s="3">
        <v>1.24</v>
      </c>
      <c r="I56" s="2">
        <v>500</v>
      </c>
      <c r="J56" s="11"/>
      <c r="K56" s="1"/>
      <c r="L56" s="1"/>
    </row>
    <row r="57" spans="3:12">
      <c r="C57" s="4" t="s">
        <v>187</v>
      </c>
      <c r="D57" s="8">
        <v>25001949</v>
      </c>
      <c r="E57" s="4" t="s">
        <v>123</v>
      </c>
      <c r="F57" s="4" t="s">
        <v>124</v>
      </c>
      <c r="G57" s="4" t="s">
        <v>125</v>
      </c>
      <c r="H57" s="3">
        <v>0.33</v>
      </c>
      <c r="I57" s="2">
        <v>1000</v>
      </c>
      <c r="J57" s="11" t="s">
        <v>295</v>
      </c>
      <c r="K57" s="1"/>
      <c r="L57" s="1"/>
    </row>
    <row r="58" spans="3:12">
      <c r="C58" s="4" t="s">
        <v>187</v>
      </c>
      <c r="D58" s="8">
        <v>25001977</v>
      </c>
      <c r="E58" s="4" t="s">
        <v>98</v>
      </c>
      <c r="F58" s="9" t="s">
        <v>100</v>
      </c>
      <c r="G58" s="9" t="s">
        <v>99</v>
      </c>
      <c r="H58" s="10">
        <v>0.121</v>
      </c>
      <c r="I58" s="2">
        <v>14000</v>
      </c>
      <c r="J58" s="11" t="s">
        <v>300</v>
      </c>
      <c r="K58" s="1"/>
      <c r="L58" s="1"/>
    </row>
    <row r="59" spans="3:12">
      <c r="C59" s="4" t="s">
        <v>187</v>
      </c>
      <c r="D59" s="8">
        <v>25001997</v>
      </c>
      <c r="E59" s="4" t="s">
        <v>25</v>
      </c>
      <c r="F59" s="4" t="s">
        <v>26</v>
      </c>
      <c r="G59" s="4" t="s">
        <v>27</v>
      </c>
      <c r="H59" s="3">
        <v>18.399999999999999</v>
      </c>
      <c r="I59" s="2">
        <v>40</v>
      </c>
      <c r="J59" s="11"/>
      <c r="K59" s="1"/>
      <c r="L59" s="1"/>
    </row>
    <row r="60" spans="3:12">
      <c r="C60" s="4" t="s">
        <v>187</v>
      </c>
      <c r="D60" s="8">
        <v>25002009</v>
      </c>
      <c r="E60" s="4" t="s">
        <v>61</v>
      </c>
      <c r="F60" s="4" t="s">
        <v>62</v>
      </c>
      <c r="G60" s="4" t="s">
        <v>63</v>
      </c>
      <c r="H60" s="3">
        <v>0.115</v>
      </c>
      <c r="I60" s="2">
        <v>9000</v>
      </c>
      <c r="J60" s="11" t="s">
        <v>222</v>
      </c>
      <c r="K60" s="1"/>
      <c r="L60" s="1"/>
    </row>
    <row r="61" spans="3:12">
      <c r="C61" s="4" t="s">
        <v>187</v>
      </c>
      <c r="D61" s="8">
        <v>25002021</v>
      </c>
      <c r="E61" s="4" t="s">
        <v>77</v>
      </c>
      <c r="F61" s="4" t="s">
        <v>78</v>
      </c>
      <c r="G61" s="4" t="s">
        <v>79</v>
      </c>
      <c r="H61" s="3">
        <v>1.05</v>
      </c>
      <c r="I61" s="2">
        <v>200</v>
      </c>
      <c r="J61" s="11"/>
      <c r="K61" s="1"/>
      <c r="L61" s="1"/>
    </row>
    <row r="62" spans="3:12">
      <c r="C62" s="4" t="s">
        <v>197</v>
      </c>
      <c r="D62" s="8">
        <v>25002045</v>
      </c>
      <c r="E62" s="4" t="s">
        <v>191</v>
      </c>
      <c r="F62" s="4" t="s">
        <v>192</v>
      </c>
      <c r="G62" s="4" t="s">
        <v>193</v>
      </c>
      <c r="H62" s="3">
        <v>1.22</v>
      </c>
      <c r="I62" s="2">
        <v>200</v>
      </c>
      <c r="J62" s="11"/>
      <c r="K62" s="1"/>
      <c r="L62" s="1"/>
    </row>
    <row r="63" spans="3:12">
      <c r="C63" s="4" t="s">
        <v>197</v>
      </c>
      <c r="D63" s="8">
        <v>25002075</v>
      </c>
      <c r="E63" s="4" t="s">
        <v>85</v>
      </c>
      <c r="F63" s="4" t="s">
        <v>83</v>
      </c>
      <c r="G63" s="4" t="s">
        <v>84</v>
      </c>
      <c r="H63" s="3">
        <v>6.8</v>
      </c>
      <c r="I63" s="2">
        <v>158</v>
      </c>
      <c r="J63" s="11" t="s">
        <v>297</v>
      </c>
      <c r="K63" s="1"/>
      <c r="L63" s="1"/>
    </row>
    <row r="64" spans="3:12">
      <c r="C64" s="4" t="s">
        <v>197</v>
      </c>
      <c r="D64" s="8">
        <v>25002075</v>
      </c>
      <c r="E64" s="4" t="s">
        <v>85</v>
      </c>
      <c r="F64" s="4" t="s">
        <v>83</v>
      </c>
      <c r="G64" s="4" t="s">
        <v>84</v>
      </c>
      <c r="H64" s="3">
        <v>6.8</v>
      </c>
      <c r="I64" s="2">
        <v>45</v>
      </c>
      <c r="J64" s="11" t="s">
        <v>256</v>
      </c>
      <c r="K64" s="1"/>
      <c r="L64" s="1"/>
    </row>
    <row r="65" spans="3:12">
      <c r="C65" s="4" t="s">
        <v>214</v>
      </c>
      <c r="D65" s="8">
        <v>25002127</v>
      </c>
      <c r="E65" s="4" t="s">
        <v>147</v>
      </c>
      <c r="F65" s="4" t="s">
        <v>148</v>
      </c>
      <c r="G65" s="4" t="s">
        <v>149</v>
      </c>
      <c r="H65" s="3">
        <v>0.82899999999999996</v>
      </c>
      <c r="I65" s="2">
        <v>260</v>
      </c>
      <c r="J65" s="11"/>
      <c r="K65" s="1"/>
      <c r="L65" s="1"/>
    </row>
    <row r="66" spans="3:12">
      <c r="C66" s="4" t="s">
        <v>214</v>
      </c>
      <c r="D66" s="8">
        <v>25002129</v>
      </c>
      <c r="E66" s="4" t="s">
        <v>17</v>
      </c>
      <c r="F66" s="4" t="s">
        <v>18</v>
      </c>
      <c r="G66" s="4" t="s">
        <v>19</v>
      </c>
      <c r="H66" s="3">
        <v>7.3360000000000003</v>
      </c>
      <c r="I66" s="2">
        <v>14</v>
      </c>
      <c r="J66" s="11"/>
      <c r="K66" s="1"/>
      <c r="L66" s="1"/>
    </row>
    <row r="67" spans="3:12">
      <c r="C67" s="4" t="s">
        <v>214</v>
      </c>
      <c r="D67" s="8">
        <v>25002161</v>
      </c>
      <c r="E67" s="4" t="s">
        <v>25</v>
      </c>
      <c r="F67" s="4" t="s">
        <v>26</v>
      </c>
      <c r="G67" s="4" t="s">
        <v>27</v>
      </c>
      <c r="H67" s="3">
        <v>18.399999999999999</v>
      </c>
      <c r="I67" s="2">
        <v>20</v>
      </c>
      <c r="J67" s="11"/>
      <c r="K67" s="1"/>
      <c r="L67" s="1"/>
    </row>
    <row r="68" spans="3:12">
      <c r="C68" s="4" t="s">
        <v>287</v>
      </c>
      <c r="D68" s="8">
        <v>26000020</v>
      </c>
      <c r="E68" s="4" t="s">
        <v>237</v>
      </c>
      <c r="F68" s="4" t="s">
        <v>238</v>
      </c>
      <c r="G68" s="4" t="s">
        <v>239</v>
      </c>
      <c r="H68" s="3">
        <v>8.2699999999999996E-2</v>
      </c>
      <c r="I68" s="2">
        <v>3000</v>
      </c>
      <c r="J68" s="11"/>
      <c r="K68" s="1"/>
      <c r="L68" s="1"/>
    </row>
    <row r="69" spans="3:12">
      <c r="C69" s="4" t="s">
        <v>287</v>
      </c>
      <c r="D69" s="8">
        <v>26000046</v>
      </c>
      <c r="E69" s="4" t="s">
        <v>266</v>
      </c>
      <c r="F69" s="4" t="s">
        <v>267</v>
      </c>
      <c r="G69" s="4" t="s">
        <v>268</v>
      </c>
      <c r="H69" s="3">
        <v>0.95</v>
      </c>
      <c r="I69" s="2">
        <v>200</v>
      </c>
      <c r="J69" s="11"/>
      <c r="K69" s="1"/>
      <c r="L69" s="1"/>
    </row>
    <row r="70" spans="3:12">
      <c r="C70" s="4" t="s">
        <v>287</v>
      </c>
      <c r="D70" s="8">
        <v>26000041</v>
      </c>
      <c r="E70" s="4" t="s">
        <v>257</v>
      </c>
      <c r="F70" s="4" t="s">
        <v>259</v>
      </c>
      <c r="G70" s="4" t="s">
        <v>260</v>
      </c>
      <c r="H70" s="3">
        <v>9.1</v>
      </c>
      <c r="I70" s="2">
        <v>80</v>
      </c>
      <c r="J70" s="11"/>
      <c r="K70" s="1"/>
      <c r="L70" s="1"/>
    </row>
    <row r="71" spans="3:12">
      <c r="C71" s="4" t="s">
        <v>287</v>
      </c>
      <c r="D71" s="8">
        <v>26000041</v>
      </c>
      <c r="E71" s="4" t="s">
        <v>258</v>
      </c>
      <c r="F71" s="4" t="s">
        <v>261</v>
      </c>
      <c r="G71" s="4" t="s">
        <v>262</v>
      </c>
      <c r="H71" s="3">
        <v>9.1</v>
      </c>
      <c r="I71" s="2">
        <v>80</v>
      </c>
      <c r="J71" s="11"/>
      <c r="K71" s="1"/>
      <c r="L71" s="1"/>
    </row>
    <row r="72" spans="3:12">
      <c r="C72" s="4" t="s">
        <v>169</v>
      </c>
      <c r="D72" s="8">
        <v>25001882</v>
      </c>
      <c r="E72" s="4" t="s">
        <v>160</v>
      </c>
      <c r="F72" s="4" t="s">
        <v>161</v>
      </c>
      <c r="G72" s="4" t="s">
        <v>162</v>
      </c>
      <c r="H72" s="3">
        <v>0.11</v>
      </c>
      <c r="I72" s="2">
        <v>1000</v>
      </c>
      <c r="J72" s="11" t="s">
        <v>168</v>
      </c>
      <c r="K72" s="1"/>
      <c r="L72" s="1"/>
    </row>
    <row r="73" spans="3:12">
      <c r="C73" s="4" t="s">
        <v>142</v>
      </c>
      <c r="D73" s="8">
        <v>25001537</v>
      </c>
      <c r="E73" s="4" t="s">
        <v>133</v>
      </c>
      <c r="F73" s="4" t="s">
        <v>135</v>
      </c>
      <c r="G73" s="4" t="s">
        <v>134</v>
      </c>
      <c r="H73" s="3">
        <v>0.153</v>
      </c>
      <c r="I73" s="2">
        <v>9685</v>
      </c>
      <c r="J73" s="11" t="s">
        <v>340</v>
      </c>
      <c r="K73" s="1"/>
      <c r="L73" s="1"/>
    </row>
    <row r="74" spans="3:12">
      <c r="C74" s="4" t="s">
        <v>287</v>
      </c>
      <c r="D74" s="8">
        <v>26000067</v>
      </c>
      <c r="E74" s="4" t="s">
        <v>52</v>
      </c>
      <c r="F74" s="4" t="s">
        <v>53</v>
      </c>
      <c r="G74" s="4" t="s">
        <v>54</v>
      </c>
      <c r="H74" s="3">
        <v>1.177</v>
      </c>
      <c r="I74" s="2">
        <v>300</v>
      </c>
      <c r="J74" s="11"/>
      <c r="K74" s="1"/>
      <c r="L74" s="1"/>
    </row>
    <row r="75" spans="3:12">
      <c r="C75" s="33" t="s">
        <v>387</v>
      </c>
      <c r="D75" s="33"/>
      <c r="E75" s="33"/>
      <c r="F75" s="33"/>
      <c r="G75" s="33"/>
      <c r="H75" s="33"/>
      <c r="I75" s="33"/>
      <c r="J75" s="33"/>
      <c r="K75" s="1"/>
      <c r="L75" s="1"/>
    </row>
    <row r="76" spans="3:12">
      <c r="C76" s="4" t="s">
        <v>169</v>
      </c>
      <c r="D76" s="8">
        <v>25001863</v>
      </c>
      <c r="E76" s="4" t="s">
        <v>76</v>
      </c>
      <c r="F76" s="4" t="s">
        <v>31</v>
      </c>
      <c r="G76" s="4" t="s">
        <v>32</v>
      </c>
      <c r="H76" s="3">
        <v>0.124</v>
      </c>
      <c r="I76" s="2">
        <v>2500</v>
      </c>
      <c r="J76" s="11"/>
      <c r="K76" s="1"/>
      <c r="L76" s="1"/>
    </row>
    <row r="77" spans="3:12">
      <c r="C77" s="4" t="s">
        <v>169</v>
      </c>
      <c r="D77" s="8">
        <v>25001864</v>
      </c>
      <c r="E77" s="4" t="s">
        <v>33</v>
      </c>
      <c r="F77" s="4" t="s">
        <v>34</v>
      </c>
      <c r="G77" s="4" t="s">
        <v>35</v>
      </c>
      <c r="H77" s="3">
        <v>0.124</v>
      </c>
      <c r="I77" s="2">
        <v>850</v>
      </c>
      <c r="J77" s="11"/>
      <c r="K77" s="1"/>
      <c r="L77" s="1"/>
    </row>
    <row r="78" spans="3:12">
      <c r="C78" s="4" t="s">
        <v>169</v>
      </c>
      <c r="D78" s="8">
        <v>25001882</v>
      </c>
      <c r="E78" s="4" t="s">
        <v>160</v>
      </c>
      <c r="F78" s="4" t="s">
        <v>161</v>
      </c>
      <c r="G78" s="4" t="s">
        <v>162</v>
      </c>
      <c r="H78" s="3">
        <v>0.11</v>
      </c>
      <c r="I78" s="2">
        <v>1000</v>
      </c>
      <c r="J78" s="11" t="s">
        <v>339</v>
      </c>
      <c r="K78" s="1"/>
      <c r="L78" s="1"/>
    </row>
    <row r="79" spans="3:12">
      <c r="C79" s="4" t="s">
        <v>187</v>
      </c>
      <c r="D79" s="8">
        <v>25001977</v>
      </c>
      <c r="E79" s="4" t="s">
        <v>98</v>
      </c>
      <c r="F79" s="9" t="s">
        <v>100</v>
      </c>
      <c r="G79" s="9" t="s">
        <v>99</v>
      </c>
      <c r="H79" s="10">
        <v>0.121</v>
      </c>
      <c r="I79" s="2">
        <v>3500</v>
      </c>
      <c r="J79" s="11" t="s">
        <v>336</v>
      </c>
      <c r="K79" s="1"/>
      <c r="L79" s="1"/>
    </row>
    <row r="80" spans="3:12">
      <c r="C80" s="4" t="s">
        <v>187</v>
      </c>
      <c r="D80" s="8">
        <v>25001978</v>
      </c>
      <c r="E80" s="4" t="s">
        <v>113</v>
      </c>
      <c r="F80" s="4" t="s">
        <v>114</v>
      </c>
      <c r="G80" s="4" t="s">
        <v>115</v>
      </c>
      <c r="H80" s="3">
        <v>0.161</v>
      </c>
      <c r="I80" s="2">
        <v>7500</v>
      </c>
      <c r="J80" s="11" t="s">
        <v>389</v>
      </c>
      <c r="K80" s="1"/>
      <c r="L80" s="1"/>
    </row>
    <row r="81" spans="3:12">
      <c r="C81" s="4" t="s">
        <v>187</v>
      </c>
      <c r="D81" s="8">
        <v>25002006</v>
      </c>
      <c r="E81" s="4" t="s">
        <v>107</v>
      </c>
      <c r="F81" s="9" t="s">
        <v>108</v>
      </c>
      <c r="G81" s="9" t="s">
        <v>109</v>
      </c>
      <c r="H81" s="10">
        <v>0.1</v>
      </c>
      <c r="I81" s="2">
        <v>1000</v>
      </c>
      <c r="J81" s="11"/>
      <c r="K81" s="1"/>
      <c r="L81" s="1"/>
    </row>
    <row r="82" spans="3:12">
      <c r="C82" s="4" t="s">
        <v>187</v>
      </c>
      <c r="D82" s="8">
        <v>25002009</v>
      </c>
      <c r="E82" s="4" t="s">
        <v>61</v>
      </c>
      <c r="F82" s="4" t="s">
        <v>62</v>
      </c>
      <c r="G82" s="4" t="s">
        <v>63</v>
      </c>
      <c r="H82" s="3">
        <v>0.115</v>
      </c>
      <c r="I82" s="2">
        <v>3126</v>
      </c>
      <c r="J82" s="11" t="s">
        <v>337</v>
      </c>
      <c r="K82" s="1"/>
      <c r="L82" s="1"/>
    </row>
    <row r="83" spans="3:12">
      <c r="C83" s="4" t="s">
        <v>197</v>
      </c>
      <c r="D83" s="8">
        <v>25002075</v>
      </c>
      <c r="E83" s="4" t="s">
        <v>85</v>
      </c>
      <c r="F83" s="4" t="s">
        <v>83</v>
      </c>
      <c r="G83" s="4" t="s">
        <v>84</v>
      </c>
      <c r="H83" s="3">
        <v>6.8</v>
      </c>
      <c r="I83" s="2">
        <v>297</v>
      </c>
      <c r="J83" s="11" t="s">
        <v>338</v>
      </c>
      <c r="K83" s="1"/>
      <c r="L83" s="1"/>
    </row>
    <row r="84" spans="3:12">
      <c r="C84" s="4" t="s">
        <v>197</v>
      </c>
      <c r="D84" s="8">
        <v>25002079</v>
      </c>
      <c r="E84" s="4" t="s">
        <v>110</v>
      </c>
      <c r="F84" s="4" t="s">
        <v>111</v>
      </c>
      <c r="G84" s="4" t="s">
        <v>112</v>
      </c>
      <c r="H84" s="3">
        <v>0.42</v>
      </c>
      <c r="I84" s="2">
        <v>420</v>
      </c>
      <c r="J84" s="11"/>
      <c r="K84" s="1"/>
      <c r="L84" s="1"/>
    </row>
    <row r="85" spans="3:12">
      <c r="C85" s="4" t="s">
        <v>197</v>
      </c>
      <c r="D85" s="8">
        <v>25002095</v>
      </c>
      <c r="E85" s="4" t="s">
        <v>110</v>
      </c>
      <c r="F85" s="4" t="s">
        <v>111</v>
      </c>
      <c r="G85" s="4" t="s">
        <v>112</v>
      </c>
      <c r="H85" s="3">
        <v>0.42</v>
      </c>
      <c r="I85" s="2">
        <v>2000</v>
      </c>
      <c r="J85" s="11"/>
      <c r="K85" s="1"/>
      <c r="L85" s="1"/>
    </row>
    <row r="86" spans="3:12">
      <c r="C86" s="33" t="s">
        <v>412</v>
      </c>
      <c r="D86" s="33"/>
      <c r="E86" s="33"/>
      <c r="F86" s="33"/>
      <c r="G86" s="33"/>
      <c r="H86" s="33"/>
      <c r="I86" s="33"/>
      <c r="J86" s="33"/>
      <c r="K86" s="1"/>
      <c r="L86" s="1"/>
    </row>
    <row r="87" spans="3:12">
      <c r="C87" s="4" t="s">
        <v>142</v>
      </c>
      <c r="D87" s="8">
        <v>25001537</v>
      </c>
      <c r="E87" s="4" t="s">
        <v>133</v>
      </c>
      <c r="F87" s="4" t="s">
        <v>135</v>
      </c>
      <c r="G87" s="4" t="s">
        <v>134</v>
      </c>
      <c r="H87" s="3">
        <v>0.153</v>
      </c>
      <c r="I87" s="2">
        <v>315</v>
      </c>
      <c r="J87" s="11" t="s">
        <v>341</v>
      </c>
      <c r="K87" s="1"/>
      <c r="L87" s="1"/>
    </row>
    <row r="88" spans="3:12">
      <c r="C88" s="4" t="s">
        <v>169</v>
      </c>
      <c r="D88" s="8">
        <v>25001845</v>
      </c>
      <c r="E88" s="4" t="s">
        <v>36</v>
      </c>
      <c r="F88" s="4" t="s">
        <v>38</v>
      </c>
      <c r="G88" s="4" t="s">
        <v>37</v>
      </c>
      <c r="H88" s="3">
        <v>0.13</v>
      </c>
      <c r="I88" s="2">
        <v>1000</v>
      </c>
      <c r="J88" s="11"/>
      <c r="K88" s="1"/>
      <c r="L88" s="1"/>
    </row>
    <row r="89" spans="3:12">
      <c r="C89" s="4" t="s">
        <v>169</v>
      </c>
      <c r="D89" s="8">
        <v>25001840</v>
      </c>
      <c r="E89" s="4" t="s">
        <v>119</v>
      </c>
      <c r="F89" s="4" t="s">
        <v>120</v>
      </c>
      <c r="G89" s="4" t="s">
        <v>121</v>
      </c>
      <c r="H89" s="3">
        <v>0.19</v>
      </c>
      <c r="I89" s="2">
        <v>700</v>
      </c>
      <c r="J89" s="11" t="s">
        <v>385</v>
      </c>
      <c r="K89" s="1"/>
      <c r="L89" s="1"/>
    </row>
    <row r="90" spans="3:12">
      <c r="C90" s="4" t="s">
        <v>169</v>
      </c>
      <c r="D90" s="8">
        <v>25001840</v>
      </c>
      <c r="E90" s="4" t="s">
        <v>119</v>
      </c>
      <c r="F90" s="4" t="s">
        <v>120</v>
      </c>
      <c r="G90" s="4" t="s">
        <v>121</v>
      </c>
      <c r="H90" s="3">
        <v>0.19</v>
      </c>
      <c r="I90" s="2">
        <v>900</v>
      </c>
      <c r="J90" s="11" t="s">
        <v>394</v>
      </c>
      <c r="K90" s="1"/>
      <c r="L90" s="1"/>
    </row>
    <row r="91" spans="3:12">
      <c r="C91" s="4" t="s">
        <v>169</v>
      </c>
      <c r="D91" s="8">
        <v>25001876</v>
      </c>
      <c r="E91" s="4" t="s">
        <v>36</v>
      </c>
      <c r="F91" s="4" t="s">
        <v>38</v>
      </c>
      <c r="G91" s="4" t="s">
        <v>37</v>
      </c>
      <c r="H91" s="3">
        <v>0.13</v>
      </c>
      <c r="I91" s="2">
        <v>1000</v>
      </c>
      <c r="J91" s="11" t="s">
        <v>385</v>
      </c>
      <c r="K91" s="1"/>
      <c r="L91" s="1"/>
    </row>
    <row r="92" spans="3:12">
      <c r="C92" s="4" t="s">
        <v>187</v>
      </c>
      <c r="D92" s="8">
        <v>25001949</v>
      </c>
      <c r="E92" s="4" t="s">
        <v>123</v>
      </c>
      <c r="F92" s="4" t="s">
        <v>124</v>
      </c>
      <c r="G92" s="4" t="s">
        <v>125</v>
      </c>
      <c r="H92" s="3">
        <v>0.33</v>
      </c>
      <c r="I92" s="2">
        <v>10000</v>
      </c>
      <c r="J92" s="11" t="s">
        <v>175</v>
      </c>
      <c r="K92" s="1"/>
      <c r="L92" s="1"/>
    </row>
    <row r="93" spans="3:12">
      <c r="C93" s="4" t="s">
        <v>187</v>
      </c>
      <c r="D93" s="8">
        <v>25001963</v>
      </c>
      <c r="E93" s="4" t="s">
        <v>36</v>
      </c>
      <c r="F93" s="4" t="s">
        <v>38</v>
      </c>
      <c r="G93" s="4" t="s">
        <v>37</v>
      </c>
      <c r="H93" s="3">
        <v>0.13</v>
      </c>
      <c r="I93" s="2">
        <v>2000</v>
      </c>
      <c r="J93" s="11" t="s">
        <v>385</v>
      </c>
      <c r="K93" s="1"/>
      <c r="L93" s="1"/>
    </row>
    <row r="94" spans="3:12">
      <c r="C94" s="4" t="s">
        <v>187</v>
      </c>
      <c r="D94" s="8">
        <v>25001977</v>
      </c>
      <c r="E94" s="4" t="s">
        <v>98</v>
      </c>
      <c r="F94" s="9" t="s">
        <v>100</v>
      </c>
      <c r="G94" s="9" t="s">
        <v>99</v>
      </c>
      <c r="H94" s="10">
        <v>0.121</v>
      </c>
      <c r="I94" s="2">
        <v>6500</v>
      </c>
      <c r="J94" s="11" t="s">
        <v>388</v>
      </c>
      <c r="K94" s="1"/>
      <c r="L94" s="1"/>
    </row>
    <row r="95" spans="3:12">
      <c r="C95" s="4" t="s">
        <v>187</v>
      </c>
      <c r="D95" s="8">
        <v>25001978</v>
      </c>
      <c r="E95" s="4" t="s">
        <v>113</v>
      </c>
      <c r="F95" s="4" t="s">
        <v>114</v>
      </c>
      <c r="G95" s="4" t="s">
        <v>115</v>
      </c>
      <c r="H95" s="3">
        <v>0.161</v>
      </c>
      <c r="I95" s="2">
        <v>7000</v>
      </c>
      <c r="J95" s="11" t="s">
        <v>391</v>
      </c>
      <c r="K95" s="1"/>
      <c r="L95" s="1"/>
    </row>
    <row r="96" spans="3:12">
      <c r="C96" s="4" t="s">
        <v>187</v>
      </c>
      <c r="D96" s="8">
        <v>25002012</v>
      </c>
      <c r="E96" s="4" t="s">
        <v>92</v>
      </c>
      <c r="F96" s="4" t="s">
        <v>94</v>
      </c>
      <c r="G96" s="4" t="s">
        <v>93</v>
      </c>
      <c r="H96" s="3">
        <v>0.34</v>
      </c>
      <c r="I96" s="2">
        <v>1500</v>
      </c>
      <c r="J96" s="11" t="s">
        <v>374</v>
      </c>
      <c r="K96" s="1"/>
      <c r="L96" s="1"/>
    </row>
    <row r="97" spans="3:12">
      <c r="C97" s="4" t="s">
        <v>187</v>
      </c>
      <c r="D97" s="8">
        <v>25002012</v>
      </c>
      <c r="E97" s="4" t="s">
        <v>92</v>
      </c>
      <c r="F97" s="4" t="s">
        <v>94</v>
      </c>
      <c r="G97" s="4" t="s">
        <v>93</v>
      </c>
      <c r="H97" s="3">
        <v>0.34</v>
      </c>
      <c r="I97" s="2">
        <v>1500</v>
      </c>
      <c r="J97" s="11" t="s">
        <v>374</v>
      </c>
      <c r="K97" s="1"/>
      <c r="L97" s="1"/>
    </row>
    <row r="98" spans="3:12">
      <c r="C98" s="4" t="s">
        <v>197</v>
      </c>
      <c r="D98" s="8">
        <v>25002056</v>
      </c>
      <c r="E98" s="4" t="s">
        <v>55</v>
      </c>
      <c r="F98" s="4" t="s">
        <v>60</v>
      </c>
      <c r="G98" s="4" t="s">
        <v>56</v>
      </c>
      <c r="H98" s="3">
        <v>1.07</v>
      </c>
      <c r="I98" s="2">
        <v>400</v>
      </c>
      <c r="J98" s="11" t="s">
        <v>385</v>
      </c>
      <c r="K98" s="1"/>
      <c r="L98" s="1"/>
    </row>
    <row r="99" spans="3:12">
      <c r="C99" s="4" t="s">
        <v>214</v>
      </c>
      <c r="D99" s="8">
        <v>25002115</v>
      </c>
      <c r="E99" s="4" t="s">
        <v>39</v>
      </c>
      <c r="F99" s="4" t="s">
        <v>41</v>
      </c>
      <c r="G99" s="4" t="s">
        <v>40</v>
      </c>
      <c r="H99" s="3">
        <v>0.15</v>
      </c>
      <c r="I99" s="2">
        <v>11000</v>
      </c>
      <c r="J99" s="11" t="s">
        <v>201</v>
      </c>
      <c r="K99" s="1"/>
      <c r="L99" s="1"/>
    </row>
    <row r="100" spans="3:12">
      <c r="C100" s="4" t="s">
        <v>214</v>
      </c>
      <c r="D100" s="8">
        <v>25002133</v>
      </c>
      <c r="E100" s="4" t="s">
        <v>198</v>
      </c>
      <c r="F100" s="4" t="s">
        <v>199</v>
      </c>
      <c r="G100" s="4" t="s">
        <v>200</v>
      </c>
      <c r="H100" s="3">
        <v>0.1</v>
      </c>
      <c r="I100" s="2">
        <v>15000</v>
      </c>
      <c r="J100" s="11" t="s">
        <v>390</v>
      </c>
      <c r="K100" s="1"/>
      <c r="L100" s="1"/>
    </row>
    <row r="101" spans="3:12">
      <c r="C101" s="4" t="s">
        <v>287</v>
      </c>
      <c r="D101" s="8">
        <v>26000066</v>
      </c>
      <c r="E101" s="4" t="s">
        <v>276</v>
      </c>
      <c r="F101" s="4" t="s">
        <v>277</v>
      </c>
      <c r="G101" s="4" t="s">
        <v>278</v>
      </c>
      <c r="H101" s="3">
        <v>1.07</v>
      </c>
      <c r="I101" s="2">
        <v>200</v>
      </c>
      <c r="J101" s="11"/>
      <c r="K101" s="1"/>
      <c r="L101" s="1"/>
    </row>
    <row r="102" spans="3:12">
      <c r="C102" s="4" t="s">
        <v>386</v>
      </c>
      <c r="D102" s="8">
        <v>26000082</v>
      </c>
      <c r="E102" s="4" t="s">
        <v>301</v>
      </c>
      <c r="F102" s="4" t="s">
        <v>303</v>
      </c>
      <c r="G102" s="4" t="s">
        <v>302</v>
      </c>
      <c r="H102" s="3">
        <v>2.6</v>
      </c>
      <c r="I102" s="2">
        <v>100</v>
      </c>
      <c r="J102" s="11" t="s">
        <v>247</v>
      </c>
      <c r="K102" s="1"/>
      <c r="L102" s="1"/>
    </row>
    <row r="103" spans="3:12">
      <c r="C103" s="4" t="s">
        <v>386</v>
      </c>
      <c r="D103" s="8">
        <v>26000089</v>
      </c>
      <c r="E103" s="4" t="s">
        <v>307</v>
      </c>
      <c r="F103" s="4" t="s">
        <v>308</v>
      </c>
      <c r="G103" s="4" t="s">
        <v>309</v>
      </c>
      <c r="H103" s="3">
        <v>0.98</v>
      </c>
      <c r="I103" s="2">
        <v>20</v>
      </c>
      <c r="J103" s="11" t="s">
        <v>247</v>
      </c>
      <c r="K103" s="1"/>
      <c r="L103" s="1"/>
    </row>
    <row r="104" spans="3:12">
      <c r="C104" s="4" t="s">
        <v>401</v>
      </c>
      <c r="D104" s="8">
        <v>26000234</v>
      </c>
      <c r="E104" s="4" t="s">
        <v>313</v>
      </c>
      <c r="F104" s="4" t="s">
        <v>314</v>
      </c>
      <c r="G104" s="4" t="s">
        <v>315</v>
      </c>
      <c r="H104" s="3">
        <v>2.4</v>
      </c>
      <c r="I104" s="2">
        <v>220</v>
      </c>
      <c r="J104" s="11" t="s">
        <v>414</v>
      </c>
      <c r="K104" s="1"/>
      <c r="L104" s="1"/>
    </row>
    <row r="105" spans="3:12">
      <c r="C105" s="4" t="s">
        <v>214</v>
      </c>
      <c r="D105" s="8">
        <v>25002160</v>
      </c>
      <c r="E105" s="4" t="s">
        <v>45</v>
      </c>
      <c r="F105" s="4" t="s">
        <v>46</v>
      </c>
      <c r="G105" s="4" t="s">
        <v>47</v>
      </c>
      <c r="H105" s="3">
        <v>18.399999999999999</v>
      </c>
      <c r="I105" s="2">
        <v>49</v>
      </c>
      <c r="J105" s="11" t="s">
        <v>416</v>
      </c>
      <c r="K105" s="1"/>
      <c r="L105" s="1"/>
    </row>
    <row r="106" spans="3:12">
      <c r="C106" s="33" t="s">
        <v>417</v>
      </c>
      <c r="D106" s="33"/>
      <c r="E106" s="33"/>
      <c r="F106" s="33"/>
      <c r="G106" s="33"/>
      <c r="H106" s="33"/>
      <c r="I106" s="33"/>
      <c r="J106" s="33"/>
      <c r="K106" s="1"/>
      <c r="L106" s="1"/>
    </row>
    <row r="107" spans="3:12">
      <c r="C107" s="4" t="s">
        <v>152</v>
      </c>
      <c r="D107" s="8">
        <v>25001746</v>
      </c>
      <c r="E107" s="4" t="s">
        <v>80</v>
      </c>
      <c r="F107" s="4" t="s">
        <v>81</v>
      </c>
      <c r="G107" s="4" t="s">
        <v>82</v>
      </c>
      <c r="H107" s="3">
        <v>0.13800000000000001</v>
      </c>
      <c r="I107" s="2">
        <v>4500</v>
      </c>
      <c r="J107" s="11" t="s">
        <v>335</v>
      </c>
      <c r="K107" s="1"/>
      <c r="L107" s="1"/>
    </row>
    <row r="108" spans="3:12">
      <c r="C108" s="4" t="s">
        <v>187</v>
      </c>
      <c r="D108" s="8">
        <v>25002009</v>
      </c>
      <c r="E108" s="4" t="s">
        <v>61</v>
      </c>
      <c r="F108" s="4" t="s">
        <v>62</v>
      </c>
      <c r="G108" s="4" t="s">
        <v>63</v>
      </c>
      <c r="H108" s="3">
        <v>0.115</v>
      </c>
      <c r="I108" s="2">
        <v>1000</v>
      </c>
      <c r="J108" s="11" t="s">
        <v>392</v>
      </c>
      <c r="K108" s="1"/>
      <c r="L108" s="1"/>
    </row>
    <row r="109" spans="3:12">
      <c r="C109" s="4" t="s">
        <v>197</v>
      </c>
      <c r="D109" s="8">
        <v>25002075</v>
      </c>
      <c r="E109" s="4" t="s">
        <v>85</v>
      </c>
      <c r="F109" s="4" t="s">
        <v>83</v>
      </c>
      <c r="G109" s="4" t="s">
        <v>84</v>
      </c>
      <c r="H109" s="3">
        <v>6.8</v>
      </c>
      <c r="I109" s="2">
        <v>142</v>
      </c>
      <c r="J109" s="11" t="s">
        <v>393</v>
      </c>
      <c r="K109" s="1"/>
      <c r="L109" s="1"/>
    </row>
    <row r="110" spans="3:12">
      <c r="C110" s="4" t="s">
        <v>197</v>
      </c>
      <c r="D110" s="8">
        <v>25002110</v>
      </c>
      <c r="E110" s="4" t="s">
        <v>70</v>
      </c>
      <c r="F110" s="4" t="s">
        <v>72</v>
      </c>
      <c r="G110" s="4" t="s">
        <v>71</v>
      </c>
      <c r="H110" s="3">
        <v>0.12</v>
      </c>
      <c r="I110" s="2">
        <v>1600</v>
      </c>
      <c r="J110" s="11" t="s">
        <v>385</v>
      </c>
      <c r="K110" s="1"/>
      <c r="L110" s="1"/>
    </row>
    <row r="111" spans="3:12">
      <c r="C111" s="4" t="s">
        <v>214</v>
      </c>
      <c r="D111" s="8">
        <v>25002117</v>
      </c>
      <c r="E111" s="4" t="s">
        <v>70</v>
      </c>
      <c r="F111" s="4" t="s">
        <v>72</v>
      </c>
      <c r="G111" s="4" t="s">
        <v>71</v>
      </c>
      <c r="H111" s="3">
        <v>0.12</v>
      </c>
      <c r="I111" s="2">
        <v>300</v>
      </c>
      <c r="J111" s="11"/>
      <c r="K111" s="1"/>
      <c r="L111" s="1"/>
    </row>
    <row r="112" spans="3:12">
      <c r="C112" s="4" t="s">
        <v>214</v>
      </c>
      <c r="D112" s="8">
        <v>25002160</v>
      </c>
      <c r="E112" s="4" t="s">
        <v>45</v>
      </c>
      <c r="F112" s="4" t="s">
        <v>46</v>
      </c>
      <c r="G112" s="4" t="s">
        <v>47</v>
      </c>
      <c r="H112" s="3">
        <v>18.399999999999999</v>
      </c>
      <c r="I112" s="2">
        <v>23</v>
      </c>
      <c r="J112" s="11" t="s">
        <v>420</v>
      </c>
      <c r="K112" s="1"/>
      <c r="L112" s="1"/>
    </row>
    <row r="113" spans="3:12">
      <c r="C113" s="4" t="s">
        <v>214</v>
      </c>
      <c r="D113" s="8">
        <v>25002164</v>
      </c>
      <c r="E113" s="4" t="s">
        <v>208</v>
      </c>
      <c r="F113" s="4" t="s">
        <v>209</v>
      </c>
      <c r="G113" s="4" t="s">
        <v>210</v>
      </c>
      <c r="H113" s="3">
        <v>22</v>
      </c>
      <c r="I113" s="2">
        <v>20</v>
      </c>
      <c r="J113" s="11" t="s">
        <v>385</v>
      </c>
      <c r="K113" s="1"/>
      <c r="L113" s="1"/>
    </row>
    <row r="114" spans="3:12">
      <c r="C114" s="4" t="s">
        <v>287</v>
      </c>
      <c r="D114" s="8">
        <v>26000014</v>
      </c>
      <c r="E114" s="4" t="s">
        <v>70</v>
      </c>
      <c r="F114" s="4" t="s">
        <v>72</v>
      </c>
      <c r="G114" s="4" t="s">
        <v>71</v>
      </c>
      <c r="H114" s="3">
        <v>0.12</v>
      </c>
      <c r="I114" s="2">
        <v>500</v>
      </c>
      <c r="J114" s="11"/>
      <c r="K114" s="1"/>
      <c r="L114" s="1"/>
    </row>
    <row r="115" spans="3:12">
      <c r="C115" s="4" t="s">
        <v>287</v>
      </c>
      <c r="D115" s="8">
        <v>26000023</v>
      </c>
      <c r="E115" s="4" t="s">
        <v>240</v>
      </c>
      <c r="F115" s="4" t="s">
        <v>241</v>
      </c>
      <c r="G115" s="4" t="s">
        <v>242</v>
      </c>
      <c r="H115" s="3">
        <v>4.7</v>
      </c>
      <c r="I115" s="2">
        <v>130</v>
      </c>
      <c r="J115" s="11"/>
      <c r="K115" s="1"/>
      <c r="L115" s="1"/>
    </row>
    <row r="116" spans="3:12">
      <c r="C116" s="4" t="s">
        <v>287</v>
      </c>
      <c r="D116" s="8">
        <v>26000051</v>
      </c>
      <c r="E116" s="4" t="s">
        <v>269</v>
      </c>
      <c r="F116" s="4" t="s">
        <v>274</v>
      </c>
      <c r="G116" s="4" t="s">
        <v>270</v>
      </c>
      <c r="H116" s="3">
        <v>0.25</v>
      </c>
      <c r="I116" s="2">
        <v>7700</v>
      </c>
      <c r="J116" s="11" t="s">
        <v>291</v>
      </c>
      <c r="K116" s="1"/>
      <c r="L116" s="1"/>
    </row>
    <row r="117" spans="3:12">
      <c r="C117" s="4" t="s">
        <v>401</v>
      </c>
      <c r="D117" s="8">
        <v>26000234</v>
      </c>
      <c r="E117" s="4" t="s">
        <v>313</v>
      </c>
      <c r="F117" s="4" t="s">
        <v>314</v>
      </c>
      <c r="G117" s="4" t="s">
        <v>315</v>
      </c>
      <c r="H117" s="3">
        <v>2.4</v>
      </c>
      <c r="I117" s="2">
        <v>30</v>
      </c>
      <c r="J117" s="11" t="s">
        <v>415</v>
      </c>
      <c r="K117" s="1"/>
      <c r="L117" s="1"/>
    </row>
    <row r="118" spans="3:12">
      <c r="C118" s="4" t="s">
        <v>386</v>
      </c>
      <c r="D118" s="8">
        <v>26000105</v>
      </c>
      <c r="E118" s="4" t="s">
        <v>316</v>
      </c>
      <c r="F118" s="4" t="s">
        <v>317</v>
      </c>
      <c r="G118" s="4" t="s">
        <v>318</v>
      </c>
      <c r="H118" s="3">
        <v>0.25</v>
      </c>
      <c r="I118" s="2">
        <v>400</v>
      </c>
      <c r="J118" s="11" t="s">
        <v>364</v>
      </c>
      <c r="K118" s="1"/>
      <c r="L118" s="1"/>
    </row>
    <row r="119" spans="3:12">
      <c r="C119" s="4" t="s">
        <v>214</v>
      </c>
      <c r="D119" s="8">
        <v>25002159</v>
      </c>
      <c r="E119" s="4" t="s">
        <v>42</v>
      </c>
      <c r="F119" s="4" t="s">
        <v>43</v>
      </c>
      <c r="G119" s="4" t="s">
        <v>44</v>
      </c>
      <c r="H119" s="3">
        <v>18.399999999999999</v>
      </c>
      <c r="I119" s="2">
        <v>26</v>
      </c>
      <c r="J119" s="11" t="s">
        <v>421</v>
      </c>
      <c r="K119" s="1"/>
      <c r="L119" s="1"/>
    </row>
    <row r="120" spans="3:12">
      <c r="C120" s="33" t="s">
        <v>460</v>
      </c>
      <c r="D120" s="33"/>
      <c r="E120" s="33"/>
      <c r="F120" s="33"/>
      <c r="G120" s="33"/>
      <c r="H120" s="33"/>
      <c r="I120" s="33"/>
      <c r="J120" s="33"/>
      <c r="K120" s="1"/>
    </row>
    <row r="121" spans="3:12">
      <c r="C121" s="9" t="s">
        <v>126</v>
      </c>
      <c r="D121" s="24">
        <v>25001308</v>
      </c>
      <c r="E121" s="9" t="s">
        <v>85</v>
      </c>
      <c r="F121" s="9" t="s">
        <v>83</v>
      </c>
      <c r="G121" s="9" t="s">
        <v>84</v>
      </c>
      <c r="H121" s="10">
        <v>6.8</v>
      </c>
      <c r="I121" s="25">
        <v>500</v>
      </c>
      <c r="J121" s="11" t="s">
        <v>122</v>
      </c>
      <c r="K121" s="1"/>
    </row>
    <row r="122" spans="3:12">
      <c r="C122" s="9" t="s">
        <v>152</v>
      </c>
      <c r="D122" s="24">
        <v>25001746</v>
      </c>
      <c r="E122" s="9" t="s">
        <v>80</v>
      </c>
      <c r="F122" s="9" t="s">
        <v>81</v>
      </c>
      <c r="G122" s="9" t="s">
        <v>82</v>
      </c>
      <c r="H122" s="10">
        <v>0.13800000000000001</v>
      </c>
      <c r="I122" s="25">
        <v>19831</v>
      </c>
      <c r="J122" s="11" t="s">
        <v>418</v>
      </c>
      <c r="K122" s="1"/>
    </row>
    <row r="123" spans="3:12">
      <c r="C123" s="9" t="s">
        <v>169</v>
      </c>
      <c r="D123" s="24">
        <v>25001875</v>
      </c>
      <c r="E123" s="9" t="s">
        <v>64</v>
      </c>
      <c r="F123" s="9" t="s">
        <v>65</v>
      </c>
      <c r="G123" s="9" t="s">
        <v>66</v>
      </c>
      <c r="H123" s="10">
        <v>0.19</v>
      </c>
      <c r="I123" s="25">
        <v>2350</v>
      </c>
      <c r="J123" s="11" t="s">
        <v>374</v>
      </c>
      <c r="K123" s="1"/>
    </row>
    <row r="124" spans="3:12">
      <c r="C124" s="9" t="s">
        <v>187</v>
      </c>
      <c r="D124" s="24">
        <v>25001978</v>
      </c>
      <c r="E124" s="9" t="s">
        <v>113</v>
      </c>
      <c r="F124" s="9" t="s">
        <v>114</v>
      </c>
      <c r="G124" s="9" t="s">
        <v>115</v>
      </c>
      <c r="H124" s="10">
        <v>0.161</v>
      </c>
      <c r="I124" s="25">
        <v>10500</v>
      </c>
      <c r="J124" s="11" t="s">
        <v>413</v>
      </c>
      <c r="K124" s="1"/>
    </row>
    <row r="125" spans="3:12">
      <c r="C125" s="9" t="s">
        <v>197</v>
      </c>
      <c r="D125" s="24">
        <v>25002075</v>
      </c>
      <c r="E125" s="9" t="s">
        <v>85</v>
      </c>
      <c r="F125" s="9" t="s">
        <v>83</v>
      </c>
      <c r="G125" s="9" t="s">
        <v>84</v>
      </c>
      <c r="H125" s="10">
        <v>6.8</v>
      </c>
      <c r="I125" s="25">
        <v>16</v>
      </c>
      <c r="J125" s="11" t="s">
        <v>419</v>
      </c>
      <c r="K125" s="1"/>
    </row>
    <row r="126" spans="3:12">
      <c r="C126" s="9" t="s">
        <v>214</v>
      </c>
      <c r="D126" s="24">
        <v>25002159</v>
      </c>
      <c r="E126" s="9" t="s">
        <v>42</v>
      </c>
      <c r="F126" s="9" t="s">
        <v>43</v>
      </c>
      <c r="G126" s="9" t="s">
        <v>44</v>
      </c>
      <c r="H126" s="10">
        <v>18.399999999999999</v>
      </c>
      <c r="I126" s="25">
        <v>4</v>
      </c>
      <c r="J126" s="11" t="s">
        <v>422</v>
      </c>
      <c r="K126" s="1"/>
    </row>
    <row r="127" spans="3:12">
      <c r="C127" s="9" t="s">
        <v>214</v>
      </c>
      <c r="D127" s="24">
        <v>25002162</v>
      </c>
      <c r="E127" s="9" t="s">
        <v>205</v>
      </c>
      <c r="F127" s="9" t="s">
        <v>206</v>
      </c>
      <c r="G127" s="9" t="s">
        <v>207</v>
      </c>
      <c r="H127" s="10">
        <v>18.399999999999999</v>
      </c>
      <c r="I127" s="25">
        <v>30</v>
      </c>
      <c r="J127" s="11"/>
      <c r="K127" s="1"/>
    </row>
    <row r="128" spans="3:12">
      <c r="C128" s="9" t="s">
        <v>214</v>
      </c>
      <c r="D128" s="24">
        <v>25002163</v>
      </c>
      <c r="E128" s="9" t="s">
        <v>95</v>
      </c>
      <c r="F128" s="9" t="s">
        <v>96</v>
      </c>
      <c r="G128" s="9" t="s">
        <v>97</v>
      </c>
      <c r="H128" s="10">
        <v>22</v>
      </c>
      <c r="I128" s="25">
        <v>20</v>
      </c>
      <c r="J128" s="11" t="s">
        <v>374</v>
      </c>
      <c r="K128" s="1"/>
    </row>
    <row r="129" spans="3:11">
      <c r="C129" s="9" t="s">
        <v>287</v>
      </c>
      <c r="D129" s="24">
        <v>26000017</v>
      </c>
      <c r="E129" s="9" t="s">
        <v>234</v>
      </c>
      <c r="F129" s="9" t="s">
        <v>235</v>
      </c>
      <c r="G129" s="9" t="s">
        <v>236</v>
      </c>
      <c r="H129" s="10">
        <v>1.87</v>
      </c>
      <c r="I129" s="25">
        <v>200</v>
      </c>
      <c r="J129" s="11"/>
      <c r="K129" s="1"/>
    </row>
    <row r="130" spans="3:11">
      <c r="C130" s="9" t="s">
        <v>287</v>
      </c>
      <c r="D130" s="24">
        <v>26000042</v>
      </c>
      <c r="E130" s="9" t="s">
        <v>263</v>
      </c>
      <c r="F130" s="9" t="s">
        <v>264</v>
      </c>
      <c r="G130" s="9" t="s">
        <v>265</v>
      </c>
      <c r="H130" s="10">
        <v>0.184</v>
      </c>
      <c r="I130" s="25">
        <v>4000</v>
      </c>
      <c r="J130" s="11" t="s">
        <v>288</v>
      </c>
      <c r="K130" s="1"/>
    </row>
    <row r="131" spans="3:11">
      <c r="C131" s="9" t="s">
        <v>386</v>
      </c>
      <c r="D131" s="24">
        <v>26000083</v>
      </c>
      <c r="E131" s="9" t="s">
        <v>184</v>
      </c>
      <c r="F131" s="9" t="s">
        <v>185</v>
      </c>
      <c r="G131" s="9" t="s">
        <v>186</v>
      </c>
      <c r="H131" s="10">
        <v>3.15</v>
      </c>
      <c r="I131" s="25">
        <v>100</v>
      </c>
      <c r="J131" s="11" t="s">
        <v>360</v>
      </c>
      <c r="K131" s="1"/>
    </row>
    <row r="132" spans="3:11">
      <c r="C132" s="9" t="s">
        <v>386</v>
      </c>
      <c r="D132" s="24">
        <v>26000091</v>
      </c>
      <c r="E132" s="9" t="s">
        <v>310</v>
      </c>
      <c r="F132" s="9" t="s">
        <v>311</v>
      </c>
      <c r="G132" s="9" t="s">
        <v>312</v>
      </c>
      <c r="H132" s="10">
        <v>1.39</v>
      </c>
      <c r="I132" s="25">
        <v>200</v>
      </c>
      <c r="J132" s="11"/>
      <c r="K132" s="1"/>
    </row>
    <row r="133" spans="3:11">
      <c r="C133" s="9" t="s">
        <v>386</v>
      </c>
      <c r="D133" s="24">
        <v>26000108</v>
      </c>
      <c r="E133" s="9" t="s">
        <v>319</v>
      </c>
      <c r="F133" s="9" t="s">
        <v>320</v>
      </c>
      <c r="G133" s="9" t="s">
        <v>321</v>
      </c>
      <c r="H133" s="10">
        <v>7.15</v>
      </c>
      <c r="I133" s="25">
        <v>60</v>
      </c>
      <c r="J133" s="11" t="s">
        <v>374</v>
      </c>
      <c r="K133" s="1"/>
    </row>
    <row r="134" spans="3:11">
      <c r="C134" s="34" t="s">
        <v>478</v>
      </c>
      <c r="D134" s="33"/>
      <c r="E134" s="33"/>
      <c r="F134" s="33"/>
      <c r="G134" s="33"/>
      <c r="H134" s="33"/>
      <c r="I134" s="33"/>
      <c r="J134" s="33"/>
      <c r="K134" s="1"/>
    </row>
    <row r="135" spans="3:11">
      <c r="C135" s="4" t="s">
        <v>126</v>
      </c>
      <c r="D135" s="8">
        <v>25001308</v>
      </c>
      <c r="E135" s="4" t="s">
        <v>85</v>
      </c>
      <c r="F135" s="4" t="s">
        <v>83</v>
      </c>
      <c r="G135" s="4" t="s">
        <v>84</v>
      </c>
      <c r="H135" s="3">
        <v>6.8</v>
      </c>
      <c r="I135" s="2">
        <f>500-252</f>
        <v>248</v>
      </c>
      <c r="J135" s="11" t="s">
        <v>461</v>
      </c>
      <c r="K135" s="1"/>
    </row>
    <row r="136" spans="3:11">
      <c r="C136" s="4" t="s">
        <v>150</v>
      </c>
      <c r="D136" s="8">
        <v>25001572</v>
      </c>
      <c r="E136" s="4" t="s">
        <v>136</v>
      </c>
      <c r="F136" s="4" t="s">
        <v>143</v>
      </c>
      <c r="G136" s="4" t="s">
        <v>139</v>
      </c>
      <c r="H136" s="3">
        <v>0.50849999999999995</v>
      </c>
      <c r="I136" s="2">
        <v>1000</v>
      </c>
      <c r="J136" s="11" t="s">
        <v>290</v>
      </c>
      <c r="K136" s="1"/>
    </row>
    <row r="137" spans="3:11">
      <c r="C137" s="4"/>
      <c r="D137" s="8">
        <v>25001572</v>
      </c>
      <c r="E137" s="4" t="s">
        <v>137</v>
      </c>
      <c r="F137" s="4" t="s">
        <v>138</v>
      </c>
      <c r="G137" s="4" t="s">
        <v>140</v>
      </c>
      <c r="H137" s="3">
        <v>700</v>
      </c>
      <c r="I137" s="2" t="s">
        <v>138</v>
      </c>
      <c r="J137" s="11" t="s">
        <v>141</v>
      </c>
      <c r="K137" s="1"/>
    </row>
    <row r="138" spans="3:11">
      <c r="C138" s="4" t="s">
        <v>152</v>
      </c>
      <c r="D138" s="8">
        <v>25001746</v>
      </c>
      <c r="E138" s="4" t="s">
        <v>80</v>
      </c>
      <c r="F138" s="4" t="s">
        <v>81</v>
      </c>
      <c r="G138" s="4" t="s">
        <v>82</v>
      </c>
      <c r="H138" s="3">
        <v>0.13800000000000001</v>
      </c>
      <c r="I138" s="2">
        <v>9000</v>
      </c>
      <c r="J138" s="11" t="s">
        <v>481</v>
      </c>
      <c r="K138" s="1"/>
    </row>
    <row r="139" spans="3:11">
      <c r="C139" s="4" t="s">
        <v>187</v>
      </c>
      <c r="D139" s="8">
        <v>25001978</v>
      </c>
      <c r="E139" s="4" t="s">
        <v>113</v>
      </c>
      <c r="F139" s="4" t="s">
        <v>114</v>
      </c>
      <c r="G139" s="4" t="s">
        <v>115</v>
      </c>
      <c r="H139" s="3">
        <v>0.161</v>
      </c>
      <c r="I139" s="2">
        <v>3000</v>
      </c>
      <c r="J139" s="11" t="s">
        <v>482</v>
      </c>
      <c r="K139" s="1"/>
    </row>
    <row r="140" spans="3:11">
      <c r="C140" s="4" t="s">
        <v>187</v>
      </c>
      <c r="D140" s="8">
        <v>25002010</v>
      </c>
      <c r="E140" s="4" t="s">
        <v>49</v>
      </c>
      <c r="F140" s="4" t="s">
        <v>51</v>
      </c>
      <c r="G140" s="4" t="s">
        <v>50</v>
      </c>
      <c r="H140" s="3">
        <v>0.18</v>
      </c>
      <c r="I140" s="2">
        <v>3000</v>
      </c>
      <c r="J140" s="11" t="s">
        <v>483</v>
      </c>
      <c r="K140" s="1"/>
    </row>
    <row r="141" spans="3:11">
      <c r="C141" s="4" t="s">
        <v>197</v>
      </c>
      <c r="D141" s="8">
        <v>25002078</v>
      </c>
      <c r="E141" s="4" t="s">
        <v>119</v>
      </c>
      <c r="F141" s="4" t="s">
        <v>120</v>
      </c>
      <c r="G141" s="4" t="s">
        <v>121</v>
      </c>
      <c r="H141" s="3">
        <v>0.19</v>
      </c>
      <c r="I141" s="2">
        <v>510</v>
      </c>
      <c r="J141" s="29"/>
      <c r="K141" s="1"/>
    </row>
    <row r="142" spans="3:11">
      <c r="C142" s="4" t="s">
        <v>214</v>
      </c>
      <c r="D142" s="8">
        <v>25002160</v>
      </c>
      <c r="E142" s="4" t="s">
        <v>45</v>
      </c>
      <c r="F142" s="4" t="s">
        <v>46</v>
      </c>
      <c r="G142" s="4" t="s">
        <v>47</v>
      </c>
      <c r="H142" s="3">
        <v>18.399999999999999</v>
      </c>
      <c r="I142" s="2">
        <v>8</v>
      </c>
      <c r="J142" s="11" t="s">
        <v>420</v>
      </c>
      <c r="K142" s="1"/>
    </row>
    <row r="143" spans="3:11">
      <c r="C143" s="4" t="s">
        <v>214</v>
      </c>
      <c r="D143" s="8">
        <v>25002165</v>
      </c>
      <c r="E143" s="4" t="s">
        <v>211</v>
      </c>
      <c r="F143" s="4" t="s">
        <v>212</v>
      </c>
      <c r="G143" s="4" t="s">
        <v>213</v>
      </c>
      <c r="H143" s="3">
        <v>16.8</v>
      </c>
      <c r="I143" s="2">
        <v>50</v>
      </c>
      <c r="J143" s="11" t="s">
        <v>374</v>
      </c>
      <c r="K143" s="1"/>
    </row>
    <row r="144" spans="3:11">
      <c r="C144" s="4" t="s">
        <v>386</v>
      </c>
      <c r="D144" s="8">
        <v>26000081</v>
      </c>
      <c r="E144" s="4" t="s">
        <v>191</v>
      </c>
      <c r="F144" s="4" t="s">
        <v>192</v>
      </c>
      <c r="G144" s="4" t="s">
        <v>193</v>
      </c>
      <c r="H144" s="3">
        <v>1.22</v>
      </c>
      <c r="I144" s="2">
        <v>400</v>
      </c>
      <c r="J144" s="11" t="s">
        <v>290</v>
      </c>
      <c r="K144" s="1"/>
    </row>
    <row r="145" spans="3:12">
      <c r="C145" s="4" t="s">
        <v>386</v>
      </c>
      <c r="D145" s="8">
        <v>26000176</v>
      </c>
      <c r="E145" s="4" t="s">
        <v>52</v>
      </c>
      <c r="F145" s="4" t="s">
        <v>53</v>
      </c>
      <c r="G145" s="4" t="s">
        <v>54</v>
      </c>
      <c r="H145" s="3">
        <v>1.177</v>
      </c>
      <c r="I145" s="2">
        <v>500</v>
      </c>
      <c r="J145" s="11" t="s">
        <v>364</v>
      </c>
      <c r="K145" s="1"/>
    </row>
    <row r="146" spans="3:12">
      <c r="C146" s="4" t="s">
        <v>287</v>
      </c>
      <c r="D146" s="8">
        <v>26000042</v>
      </c>
      <c r="E146" s="4" t="s">
        <v>263</v>
      </c>
      <c r="F146" s="4" t="s">
        <v>264</v>
      </c>
      <c r="G146" s="4" t="s">
        <v>265</v>
      </c>
      <c r="H146" s="3">
        <v>0.184</v>
      </c>
      <c r="I146" s="2">
        <f>4000-3392</f>
        <v>608</v>
      </c>
      <c r="J146" s="11" t="s">
        <v>462</v>
      </c>
      <c r="K146" s="1"/>
    </row>
    <row r="147" spans="3:12">
      <c r="C147" s="33" t="s">
        <v>497</v>
      </c>
      <c r="D147" s="33"/>
      <c r="E147" s="33"/>
      <c r="F147" s="33"/>
      <c r="G147" s="33"/>
      <c r="H147" s="33"/>
      <c r="I147" s="33"/>
      <c r="J147" s="33"/>
      <c r="K147" s="1"/>
    </row>
    <row r="148" spans="3:12">
      <c r="C148" s="9" t="s">
        <v>187</v>
      </c>
      <c r="D148" s="24">
        <v>25002010</v>
      </c>
      <c r="E148" s="9" t="s">
        <v>49</v>
      </c>
      <c r="F148" s="9" t="s">
        <v>51</v>
      </c>
      <c r="G148" s="9" t="s">
        <v>50</v>
      </c>
      <c r="H148" s="10">
        <v>0.18</v>
      </c>
      <c r="I148" s="2">
        <v>1500</v>
      </c>
      <c r="J148" s="30" t="s">
        <v>484</v>
      </c>
      <c r="K148" s="1"/>
    </row>
    <row r="149" spans="3:12">
      <c r="C149" s="33" t="s">
        <v>499</v>
      </c>
      <c r="D149" s="33"/>
      <c r="E149" s="33"/>
      <c r="F149" s="33"/>
      <c r="G149" s="33"/>
      <c r="H149" s="33"/>
      <c r="I149" s="33"/>
      <c r="J149" s="33"/>
      <c r="K149" s="1"/>
    </row>
    <row r="150" spans="3:12">
      <c r="C150" s="4" t="s">
        <v>152</v>
      </c>
      <c r="D150" s="8">
        <v>25001746</v>
      </c>
      <c r="E150" s="4" t="s">
        <v>80</v>
      </c>
      <c r="F150" s="4" t="s">
        <v>81</v>
      </c>
      <c r="G150" s="4" t="s">
        <v>82</v>
      </c>
      <c r="H150" s="3">
        <v>0.13800000000000001</v>
      </c>
      <c r="I150" s="32">
        <v>1510</v>
      </c>
      <c r="J150" s="11" t="s">
        <v>480</v>
      </c>
      <c r="K150" s="1"/>
      <c r="L150" s="1"/>
    </row>
    <row r="151" spans="3:12">
      <c r="C151" s="9" t="s">
        <v>187</v>
      </c>
      <c r="D151" s="24">
        <v>25001960</v>
      </c>
      <c r="E151" s="9" t="s">
        <v>176</v>
      </c>
      <c r="F151" s="9" t="s">
        <v>177</v>
      </c>
      <c r="G151" s="9" t="s">
        <v>178</v>
      </c>
      <c r="H151" s="10">
        <v>0.11</v>
      </c>
      <c r="I151" s="2">
        <v>5000</v>
      </c>
      <c r="J151" s="11" t="s">
        <v>179</v>
      </c>
      <c r="K151" s="1"/>
      <c r="L151" s="1"/>
    </row>
    <row r="152" spans="3:12">
      <c r="C152" s="4" t="s">
        <v>187</v>
      </c>
      <c r="D152" s="8">
        <v>25002010</v>
      </c>
      <c r="E152" s="4" t="s">
        <v>49</v>
      </c>
      <c r="F152" s="4" t="s">
        <v>51</v>
      </c>
      <c r="G152" s="4" t="s">
        <v>50</v>
      </c>
      <c r="H152" s="3">
        <v>0.18</v>
      </c>
      <c r="I152" s="32">
        <v>3569</v>
      </c>
      <c r="J152" s="11" t="s">
        <v>479</v>
      </c>
      <c r="K152" s="1"/>
      <c r="L152" s="1"/>
    </row>
    <row r="153" spans="3:12">
      <c r="C153" s="4" t="s">
        <v>197</v>
      </c>
      <c r="D153" s="8">
        <v>25002069</v>
      </c>
      <c r="E153" s="4" t="s">
        <v>194</v>
      </c>
      <c r="F153" s="4" t="s">
        <v>195</v>
      </c>
      <c r="G153" s="4" t="s">
        <v>196</v>
      </c>
      <c r="H153" s="3">
        <v>1.1000000000000001</v>
      </c>
      <c r="I153" s="2">
        <v>200</v>
      </c>
      <c r="J153" s="11"/>
      <c r="K153" s="1"/>
      <c r="L153" s="1"/>
    </row>
    <row r="154" spans="3:12">
      <c r="C154" s="4" t="s">
        <v>287</v>
      </c>
      <c r="D154" s="8">
        <v>26000003</v>
      </c>
      <c r="E154" s="4" t="s">
        <v>61</v>
      </c>
      <c r="F154" s="4" t="s">
        <v>62</v>
      </c>
      <c r="G154" s="4" t="s">
        <v>63</v>
      </c>
      <c r="H154" s="3">
        <v>0.115</v>
      </c>
      <c r="I154" s="2">
        <v>15000</v>
      </c>
      <c r="J154" s="11" t="s">
        <v>360</v>
      </c>
      <c r="K154" s="1"/>
      <c r="L154" s="1"/>
    </row>
    <row r="155" spans="3:12">
      <c r="C155" s="4" t="s">
        <v>287</v>
      </c>
      <c r="D155" s="8">
        <v>26000043</v>
      </c>
      <c r="E155" s="4" t="s">
        <v>73</v>
      </c>
      <c r="F155" s="4" t="s">
        <v>75</v>
      </c>
      <c r="G155" s="4" t="s">
        <v>74</v>
      </c>
      <c r="H155" s="3">
        <v>0.1</v>
      </c>
      <c r="I155" s="2">
        <v>3000</v>
      </c>
      <c r="J155" s="11"/>
      <c r="K155" s="1"/>
      <c r="L155" s="1"/>
    </row>
    <row r="156" spans="3:12">
      <c r="C156" s="4" t="s">
        <v>386</v>
      </c>
      <c r="D156" s="8">
        <v>26000072</v>
      </c>
      <c r="E156" s="4" t="s">
        <v>284</v>
      </c>
      <c r="F156" s="4" t="s">
        <v>282</v>
      </c>
      <c r="G156" s="4" t="s">
        <v>283</v>
      </c>
      <c r="H156" s="3">
        <v>0.34</v>
      </c>
      <c r="I156" s="2">
        <v>500</v>
      </c>
      <c r="J156" s="11" t="s">
        <v>290</v>
      </c>
      <c r="K156" s="1"/>
      <c r="L156" s="1"/>
    </row>
    <row r="157" spans="3:12">
      <c r="C157" s="4" t="s">
        <v>386</v>
      </c>
      <c r="D157" s="8">
        <v>26000100</v>
      </c>
      <c r="E157" s="4" t="s">
        <v>313</v>
      </c>
      <c r="F157" s="4" t="s">
        <v>314</v>
      </c>
      <c r="G157" s="4" t="s">
        <v>315</v>
      </c>
      <c r="H157" s="3">
        <v>2.4</v>
      </c>
      <c r="I157" s="2">
        <v>250</v>
      </c>
      <c r="J157" s="11" t="s">
        <v>374</v>
      </c>
      <c r="K157" s="1"/>
      <c r="L157" s="1"/>
    </row>
    <row r="158" spans="3:12">
      <c r="C158" s="4" t="s">
        <v>386</v>
      </c>
      <c r="D158" s="8">
        <v>26000143</v>
      </c>
      <c r="E158" s="4" t="s">
        <v>342</v>
      </c>
      <c r="F158" s="4" t="s">
        <v>343</v>
      </c>
      <c r="G158" s="4" t="s">
        <v>344</v>
      </c>
      <c r="H158" s="3">
        <v>0.12</v>
      </c>
      <c r="I158" s="2">
        <v>2500</v>
      </c>
      <c r="J158" s="11" t="s">
        <v>345</v>
      </c>
      <c r="K158" s="1"/>
      <c r="L158" s="1"/>
    </row>
    <row r="159" spans="3:12">
      <c r="C159" s="4" t="s">
        <v>386</v>
      </c>
      <c r="D159" s="8">
        <v>26000144</v>
      </c>
      <c r="E159" s="4" t="s">
        <v>347</v>
      </c>
      <c r="F159" s="4" t="s">
        <v>348</v>
      </c>
      <c r="G159" s="4" t="s">
        <v>349</v>
      </c>
      <c r="H159" s="3">
        <v>0.17</v>
      </c>
      <c r="I159" s="2">
        <v>2500</v>
      </c>
      <c r="J159" s="11" t="s">
        <v>467</v>
      </c>
      <c r="K159" s="1"/>
      <c r="L159" s="1"/>
    </row>
    <row r="160" spans="3:12">
      <c r="C160" s="4" t="s">
        <v>444</v>
      </c>
      <c r="D160" s="8">
        <v>26000251</v>
      </c>
      <c r="E160" s="4" t="s">
        <v>67</v>
      </c>
      <c r="F160" s="4" t="s">
        <v>68</v>
      </c>
      <c r="G160" s="4" t="s">
        <v>69</v>
      </c>
      <c r="H160" s="3">
        <v>0.72</v>
      </c>
      <c r="I160" s="2">
        <v>150</v>
      </c>
      <c r="J160" s="11" t="s">
        <v>502</v>
      </c>
      <c r="K160" s="1"/>
      <c r="L160" s="1"/>
    </row>
    <row r="161" spans="3:12">
      <c r="C161" s="4" t="s">
        <v>138</v>
      </c>
      <c r="D161" s="8">
        <v>26000265</v>
      </c>
      <c r="E161" s="4" t="s">
        <v>406</v>
      </c>
      <c r="F161" s="4" t="s">
        <v>407</v>
      </c>
      <c r="G161" s="4" t="s">
        <v>408</v>
      </c>
      <c r="H161" s="3">
        <v>0.56000000000000005</v>
      </c>
      <c r="I161" s="2">
        <v>700</v>
      </c>
      <c r="J161" s="11"/>
      <c r="K161" s="1"/>
      <c r="L161" s="1"/>
    </row>
    <row r="162" spans="3:12">
      <c r="C162" s="4" t="s">
        <v>138</v>
      </c>
      <c r="D162" s="8">
        <v>26000304</v>
      </c>
      <c r="E162" s="4" t="s">
        <v>429</v>
      </c>
      <c r="F162" s="4" t="s">
        <v>430</v>
      </c>
      <c r="G162" s="4" t="s">
        <v>431</v>
      </c>
      <c r="H162" s="3">
        <v>0.4</v>
      </c>
      <c r="I162" s="2">
        <v>600</v>
      </c>
      <c r="J162" s="11"/>
      <c r="K162" s="1"/>
    </row>
    <row r="163" spans="3:12">
      <c r="C163" s="4" t="s">
        <v>386</v>
      </c>
      <c r="D163" s="8">
        <v>26000119</v>
      </c>
      <c r="E163" s="4" t="s">
        <v>325</v>
      </c>
      <c r="F163" s="4" t="s">
        <v>326</v>
      </c>
      <c r="G163" s="4" t="s">
        <v>327</v>
      </c>
      <c r="H163" s="3">
        <v>0.23599999999999999</v>
      </c>
      <c r="I163" s="2">
        <v>2000</v>
      </c>
      <c r="J163" s="11" t="s">
        <v>364</v>
      </c>
      <c r="K163" s="1"/>
      <c r="L163" s="1"/>
    </row>
    <row r="164" spans="3:12">
      <c r="C164" s="4" t="s">
        <v>138</v>
      </c>
      <c r="D164" s="8">
        <v>26000314</v>
      </c>
      <c r="E164" s="4" t="s">
        <v>110</v>
      </c>
      <c r="F164" s="4" t="s">
        <v>111</v>
      </c>
      <c r="G164" s="4" t="s">
        <v>452</v>
      </c>
      <c r="H164" s="3">
        <v>0.42</v>
      </c>
      <c r="I164" s="2">
        <v>200</v>
      </c>
      <c r="J164" s="11" t="s">
        <v>504</v>
      </c>
      <c r="K164" s="1"/>
    </row>
    <row r="165" spans="3:12">
      <c r="C165" s="33" t="s">
        <v>463</v>
      </c>
      <c r="D165" s="33"/>
      <c r="E165" s="33"/>
      <c r="F165" s="33"/>
      <c r="G165" s="33"/>
      <c r="H165" s="33"/>
      <c r="I165" s="33"/>
      <c r="J165" s="33"/>
      <c r="K165" s="1"/>
    </row>
    <row r="166" spans="3:12">
      <c r="C166" s="9" t="s">
        <v>150</v>
      </c>
      <c r="D166" s="24">
        <v>25001572</v>
      </c>
      <c r="E166" s="9" t="s">
        <v>136</v>
      </c>
      <c r="F166" s="9" t="s">
        <v>143</v>
      </c>
      <c r="G166" s="9" t="s">
        <v>139</v>
      </c>
      <c r="H166" s="10">
        <v>0.50849999999999995</v>
      </c>
      <c r="I166" s="2">
        <v>4000</v>
      </c>
      <c r="J166" s="11" t="s">
        <v>275</v>
      </c>
      <c r="K166" s="1"/>
      <c r="L166" s="1"/>
    </row>
    <row r="167" spans="3:12">
      <c r="C167" s="4" t="s">
        <v>152</v>
      </c>
      <c r="D167" s="8">
        <v>25001746</v>
      </c>
      <c r="E167" s="4" t="s">
        <v>80</v>
      </c>
      <c r="F167" s="4" t="s">
        <v>81</v>
      </c>
      <c r="G167" s="4" t="s">
        <v>82</v>
      </c>
      <c r="H167" s="3">
        <v>0.13800000000000001</v>
      </c>
      <c r="I167" s="32">
        <v>2571</v>
      </c>
      <c r="J167" s="11" t="s">
        <v>500</v>
      </c>
      <c r="K167" s="1"/>
      <c r="L167" s="1"/>
    </row>
    <row r="168" spans="3:12">
      <c r="C168" s="4" t="s">
        <v>187</v>
      </c>
      <c r="D168" s="8">
        <v>25002010</v>
      </c>
      <c r="E168" s="4" t="s">
        <v>49</v>
      </c>
      <c r="F168" s="4" t="s">
        <v>51</v>
      </c>
      <c r="G168" s="4" t="s">
        <v>50</v>
      </c>
      <c r="H168" s="3">
        <v>0.18</v>
      </c>
      <c r="I168" s="32">
        <v>1931</v>
      </c>
      <c r="J168" s="11" t="s">
        <v>501</v>
      </c>
      <c r="K168" s="1"/>
      <c r="L168" s="1"/>
    </row>
    <row r="169" spans="3:12">
      <c r="C169" s="4" t="s">
        <v>197</v>
      </c>
      <c r="D169" s="8">
        <v>25002057</v>
      </c>
      <c r="E169" s="4" t="s">
        <v>89</v>
      </c>
      <c r="F169" s="4" t="s">
        <v>90</v>
      </c>
      <c r="G169" s="4" t="s">
        <v>91</v>
      </c>
      <c r="H169" s="3">
        <v>0.23100000000000001</v>
      </c>
      <c r="I169" s="2">
        <v>500</v>
      </c>
      <c r="J169" s="11"/>
      <c r="K169" s="1"/>
      <c r="L169" s="1"/>
    </row>
    <row r="170" spans="3:12">
      <c r="C170" s="4" t="s">
        <v>214</v>
      </c>
      <c r="D170" s="8">
        <v>25002139</v>
      </c>
      <c r="E170" s="4" t="s">
        <v>202</v>
      </c>
      <c r="F170" s="4" t="s">
        <v>203</v>
      </c>
      <c r="G170" s="4" t="s">
        <v>204</v>
      </c>
      <c r="H170" s="3">
        <v>0.105</v>
      </c>
      <c r="I170" s="2">
        <v>3000</v>
      </c>
      <c r="J170" s="11"/>
      <c r="K170" s="1"/>
      <c r="L170" s="1"/>
    </row>
    <row r="171" spans="3:12">
      <c r="C171" s="4" t="s">
        <v>287</v>
      </c>
      <c r="D171" s="8">
        <v>26000004</v>
      </c>
      <c r="E171" s="4">
        <v>999809</v>
      </c>
      <c r="F171" s="4" t="s">
        <v>226</v>
      </c>
      <c r="G171" s="4" t="s">
        <v>227</v>
      </c>
      <c r="H171" s="3">
        <v>0.24340000000000001</v>
      </c>
      <c r="I171" s="2">
        <v>2000</v>
      </c>
      <c r="J171" s="11" t="s">
        <v>228</v>
      </c>
      <c r="K171" s="1"/>
      <c r="L171" s="1"/>
    </row>
    <row r="172" spans="3:12">
      <c r="C172" s="4" t="s">
        <v>287</v>
      </c>
      <c r="D172" s="8">
        <v>26000004</v>
      </c>
      <c r="E172" s="4">
        <v>999809</v>
      </c>
      <c r="F172" s="4" t="s">
        <v>226</v>
      </c>
      <c r="G172" s="4" t="s">
        <v>227</v>
      </c>
      <c r="H172" s="3">
        <v>0.24340000000000001</v>
      </c>
      <c r="I172" s="2">
        <v>2000</v>
      </c>
      <c r="J172" s="11" t="s">
        <v>229</v>
      </c>
      <c r="K172" s="1"/>
      <c r="L172" s="1"/>
    </row>
    <row r="173" spans="3:12">
      <c r="C173" s="4" t="s">
        <v>287</v>
      </c>
      <c r="D173" s="8">
        <v>26000011</v>
      </c>
      <c r="E173" s="4" t="s">
        <v>230</v>
      </c>
      <c r="F173" s="4" t="s">
        <v>231</v>
      </c>
      <c r="G173" s="4" t="s">
        <v>232</v>
      </c>
      <c r="H173" s="3">
        <v>0.27</v>
      </c>
      <c r="I173" s="2">
        <v>150</v>
      </c>
      <c r="J173" s="11" t="s">
        <v>233</v>
      </c>
      <c r="K173" s="1"/>
      <c r="L173" s="1"/>
    </row>
    <row r="174" spans="3:12">
      <c r="C174" s="4" t="s">
        <v>287</v>
      </c>
      <c r="D174" s="8">
        <v>26000031</v>
      </c>
      <c r="E174" s="4" t="s">
        <v>61</v>
      </c>
      <c r="F174" s="4" t="s">
        <v>62</v>
      </c>
      <c r="G174" s="4" t="s">
        <v>63</v>
      </c>
      <c r="H174" s="3">
        <v>0.115</v>
      </c>
      <c r="I174" s="2">
        <v>30000</v>
      </c>
      <c r="J174" s="11" t="s">
        <v>247</v>
      </c>
      <c r="K174" s="1"/>
      <c r="L174" s="1"/>
    </row>
    <row r="175" spans="3:12">
      <c r="C175" s="4" t="s">
        <v>287</v>
      </c>
      <c r="D175" s="8">
        <v>26000052</v>
      </c>
      <c r="E175" s="4" t="s">
        <v>271</v>
      </c>
      <c r="F175" s="4" t="s">
        <v>272</v>
      </c>
      <c r="G175" s="4" t="s">
        <v>273</v>
      </c>
      <c r="H175" s="3">
        <v>0.16800000000000001</v>
      </c>
      <c r="I175" s="2">
        <v>1200</v>
      </c>
      <c r="J175" s="11" t="s">
        <v>360</v>
      </c>
      <c r="K175" s="1"/>
      <c r="L175" s="1"/>
    </row>
    <row r="176" spans="3:12">
      <c r="C176" s="4" t="s">
        <v>287</v>
      </c>
      <c r="D176" s="8">
        <v>26000068</v>
      </c>
      <c r="E176" s="4" t="s">
        <v>279</v>
      </c>
      <c r="F176" s="4" t="s">
        <v>280</v>
      </c>
      <c r="G176" s="4" t="s">
        <v>281</v>
      </c>
      <c r="H176" s="3">
        <v>0.37</v>
      </c>
      <c r="I176" s="2">
        <v>1000</v>
      </c>
      <c r="J176" s="11"/>
      <c r="K176" s="1"/>
      <c r="L176" s="1"/>
    </row>
    <row r="177" spans="3:12">
      <c r="C177" s="4" t="s">
        <v>386</v>
      </c>
      <c r="D177" s="8">
        <v>26000069</v>
      </c>
      <c r="E177" s="4" t="s">
        <v>285</v>
      </c>
      <c r="F177" s="4" t="s">
        <v>289</v>
      </c>
      <c r="G177" s="4" t="s">
        <v>286</v>
      </c>
      <c r="H177" s="3">
        <v>0.47</v>
      </c>
      <c r="I177" s="2">
        <v>100</v>
      </c>
      <c r="J177" s="11" t="s">
        <v>374</v>
      </c>
      <c r="K177" s="1"/>
      <c r="L177" s="1"/>
    </row>
    <row r="178" spans="3:12">
      <c r="C178" s="4" t="s">
        <v>386</v>
      </c>
      <c r="D178" s="8">
        <v>26000069</v>
      </c>
      <c r="E178" s="4" t="s">
        <v>285</v>
      </c>
      <c r="F178" s="4" t="s">
        <v>289</v>
      </c>
      <c r="G178" s="4" t="s">
        <v>286</v>
      </c>
      <c r="H178" s="3">
        <v>0.47</v>
      </c>
      <c r="I178" s="2">
        <v>2000</v>
      </c>
      <c r="J178" s="11" t="s">
        <v>379</v>
      </c>
      <c r="K178" s="1"/>
      <c r="L178" s="1"/>
    </row>
    <row r="179" spans="3:12">
      <c r="C179" s="4" t="s">
        <v>386</v>
      </c>
      <c r="D179" s="8">
        <v>26000069</v>
      </c>
      <c r="E179" s="4" t="s">
        <v>285</v>
      </c>
      <c r="F179" s="4" t="s">
        <v>289</v>
      </c>
      <c r="G179" s="4" t="s">
        <v>286</v>
      </c>
      <c r="H179" s="3">
        <v>0.47</v>
      </c>
      <c r="I179" s="2">
        <v>4000</v>
      </c>
      <c r="J179" s="11" t="s">
        <v>233</v>
      </c>
      <c r="K179" s="1"/>
      <c r="L179" s="1"/>
    </row>
    <row r="180" spans="3:12">
      <c r="C180" s="4" t="s">
        <v>386</v>
      </c>
      <c r="D180" s="8">
        <v>26000069</v>
      </c>
      <c r="E180" s="4" t="s">
        <v>285</v>
      </c>
      <c r="F180" s="4" t="s">
        <v>289</v>
      </c>
      <c r="G180" s="4" t="s">
        <v>286</v>
      </c>
      <c r="H180" s="3">
        <v>0.47</v>
      </c>
      <c r="I180" s="2">
        <v>4000</v>
      </c>
      <c r="J180" s="11" t="s">
        <v>380</v>
      </c>
      <c r="K180" s="1"/>
      <c r="L180" s="1"/>
    </row>
    <row r="181" spans="3:12">
      <c r="C181" s="4" t="s">
        <v>386</v>
      </c>
      <c r="D181" s="8">
        <v>26000069</v>
      </c>
      <c r="E181" s="4" t="s">
        <v>285</v>
      </c>
      <c r="F181" s="4" t="s">
        <v>289</v>
      </c>
      <c r="G181" s="4" t="s">
        <v>286</v>
      </c>
      <c r="H181" s="3">
        <v>0.47</v>
      </c>
      <c r="I181" s="2">
        <v>2000</v>
      </c>
      <c r="J181" s="11" t="s">
        <v>381</v>
      </c>
      <c r="K181" s="1"/>
      <c r="L181" s="1"/>
    </row>
    <row r="182" spans="3:12">
      <c r="C182" s="4" t="s">
        <v>386</v>
      </c>
      <c r="D182" s="8">
        <v>26000087</v>
      </c>
      <c r="E182" s="4" t="s">
        <v>304</v>
      </c>
      <c r="F182" s="4" t="s">
        <v>305</v>
      </c>
      <c r="G182" s="4" t="s">
        <v>306</v>
      </c>
      <c r="H182" s="3">
        <v>0.2</v>
      </c>
      <c r="I182" s="2">
        <v>1200</v>
      </c>
      <c r="J182" s="11" t="s">
        <v>247</v>
      </c>
      <c r="K182" s="1"/>
      <c r="L182" s="1"/>
    </row>
    <row r="183" spans="3:12">
      <c r="C183" s="4" t="s">
        <v>386</v>
      </c>
      <c r="D183" s="8">
        <v>26000096</v>
      </c>
      <c r="E183" s="4" t="s">
        <v>36</v>
      </c>
      <c r="F183" s="4" t="s">
        <v>38</v>
      </c>
      <c r="G183" s="4" t="s">
        <v>37</v>
      </c>
      <c r="H183" s="3">
        <v>0.13</v>
      </c>
      <c r="I183" s="2">
        <v>2000</v>
      </c>
      <c r="J183" s="11" t="s">
        <v>247</v>
      </c>
      <c r="K183" s="1"/>
      <c r="L183" s="1"/>
    </row>
    <row r="184" spans="3:12">
      <c r="C184" s="4" t="s">
        <v>386</v>
      </c>
      <c r="D184" s="8">
        <v>26000110</v>
      </c>
      <c r="E184" s="4" t="s">
        <v>160</v>
      </c>
      <c r="F184" s="4" t="s">
        <v>161</v>
      </c>
      <c r="G184" s="4" t="s">
        <v>162</v>
      </c>
      <c r="H184" s="3">
        <v>0.11</v>
      </c>
      <c r="I184" s="2">
        <v>2000</v>
      </c>
      <c r="J184" s="11" t="s">
        <v>364</v>
      </c>
      <c r="K184" s="1"/>
      <c r="L184" s="1"/>
    </row>
    <row r="185" spans="3:12">
      <c r="C185" s="4" t="s">
        <v>386</v>
      </c>
      <c r="D185" s="8">
        <v>26000110</v>
      </c>
      <c r="E185" s="4" t="s">
        <v>160</v>
      </c>
      <c r="F185" s="4" t="s">
        <v>161</v>
      </c>
      <c r="G185" s="4" t="s">
        <v>162</v>
      </c>
      <c r="H185" s="3">
        <v>0.11</v>
      </c>
      <c r="I185" s="2">
        <v>2000</v>
      </c>
      <c r="J185" s="11" t="s">
        <v>380</v>
      </c>
      <c r="K185" s="1"/>
      <c r="L185" s="1"/>
    </row>
    <row r="186" spans="3:12">
      <c r="C186" s="4" t="s">
        <v>386</v>
      </c>
      <c r="D186" s="8">
        <v>26000110</v>
      </c>
      <c r="E186" s="4" t="s">
        <v>160</v>
      </c>
      <c r="F186" s="4" t="s">
        <v>161</v>
      </c>
      <c r="G186" s="4" t="s">
        <v>162</v>
      </c>
      <c r="H186" s="3">
        <v>0.11</v>
      </c>
      <c r="I186" s="2">
        <v>2000</v>
      </c>
      <c r="J186" s="11" t="s">
        <v>382</v>
      </c>
      <c r="K186" s="1"/>
      <c r="L186" s="1"/>
    </row>
    <row r="187" spans="3:12">
      <c r="C187" s="4" t="s">
        <v>386</v>
      </c>
      <c r="D187" s="8">
        <v>26000112</v>
      </c>
      <c r="E187" s="4" t="s">
        <v>123</v>
      </c>
      <c r="F187" s="4" t="s">
        <v>124</v>
      </c>
      <c r="G187" s="4" t="s">
        <v>125</v>
      </c>
      <c r="H187" s="3">
        <v>0.33</v>
      </c>
      <c r="I187" s="2">
        <v>10000</v>
      </c>
      <c r="J187" s="11" t="s">
        <v>364</v>
      </c>
      <c r="K187" s="1"/>
      <c r="L187" s="1"/>
    </row>
    <row r="188" spans="3:12">
      <c r="C188" s="4" t="s">
        <v>386</v>
      </c>
      <c r="D188" s="8">
        <v>26000112</v>
      </c>
      <c r="E188" s="4" t="s">
        <v>123</v>
      </c>
      <c r="F188" s="4" t="s">
        <v>124</v>
      </c>
      <c r="G188" s="4" t="s">
        <v>125</v>
      </c>
      <c r="H188" s="3">
        <v>0.33</v>
      </c>
      <c r="I188" s="2">
        <v>10000</v>
      </c>
      <c r="J188" s="5" t="s">
        <v>379</v>
      </c>
      <c r="K188" s="1"/>
      <c r="L188" s="1"/>
    </row>
    <row r="189" spans="3:12">
      <c r="C189" s="4" t="s">
        <v>386</v>
      </c>
      <c r="D189" s="8">
        <v>26000112</v>
      </c>
      <c r="E189" s="4" t="s">
        <v>123</v>
      </c>
      <c r="F189" s="4" t="s">
        <v>124</v>
      </c>
      <c r="G189" s="4" t="s">
        <v>125</v>
      </c>
      <c r="H189" s="3">
        <v>0.33</v>
      </c>
      <c r="I189" s="2">
        <v>10000</v>
      </c>
      <c r="J189" s="11" t="s">
        <v>383</v>
      </c>
      <c r="K189" s="1"/>
      <c r="L189" s="1"/>
    </row>
    <row r="190" spans="3:12">
      <c r="C190" s="4" t="s">
        <v>386</v>
      </c>
      <c r="D190" s="8">
        <v>26000112</v>
      </c>
      <c r="E190" s="4" t="s">
        <v>123</v>
      </c>
      <c r="F190" s="4" t="s">
        <v>124</v>
      </c>
      <c r="G190" s="4" t="s">
        <v>125</v>
      </c>
      <c r="H190" s="3">
        <v>0.33</v>
      </c>
      <c r="I190" s="2">
        <v>10000</v>
      </c>
      <c r="J190" s="11" t="s">
        <v>380</v>
      </c>
      <c r="K190" s="1"/>
      <c r="L190" s="1"/>
    </row>
    <row r="191" spans="3:12">
      <c r="C191" s="4" t="s">
        <v>386</v>
      </c>
      <c r="D191" s="8">
        <v>26000112</v>
      </c>
      <c r="E191" s="4" t="s">
        <v>123</v>
      </c>
      <c r="F191" s="4" t="s">
        <v>124</v>
      </c>
      <c r="G191" s="4" t="s">
        <v>125</v>
      </c>
      <c r="H191" s="3">
        <v>0.33</v>
      </c>
      <c r="I191" s="2">
        <v>10000</v>
      </c>
      <c r="J191" s="11" t="s">
        <v>384</v>
      </c>
      <c r="K191" s="1"/>
      <c r="L191" s="1"/>
    </row>
    <row r="192" spans="3:12">
      <c r="C192" s="4" t="s">
        <v>386</v>
      </c>
      <c r="D192" s="8">
        <v>26000113</v>
      </c>
      <c r="E192" s="4" t="s">
        <v>322</v>
      </c>
      <c r="F192" s="4" t="s">
        <v>323</v>
      </c>
      <c r="G192" s="4" t="s">
        <v>324</v>
      </c>
      <c r="H192" s="3">
        <v>0.19</v>
      </c>
      <c r="I192" s="2">
        <v>12000</v>
      </c>
      <c r="J192" s="11" t="s">
        <v>360</v>
      </c>
      <c r="K192" s="1"/>
      <c r="L192" s="1"/>
    </row>
    <row r="193" spans="3:12">
      <c r="C193" s="4" t="s">
        <v>386</v>
      </c>
      <c r="D193" s="8">
        <v>26000114</v>
      </c>
      <c r="E193" s="4" t="s">
        <v>271</v>
      </c>
      <c r="F193" s="4" t="s">
        <v>272</v>
      </c>
      <c r="G193" s="4" t="s">
        <v>273</v>
      </c>
      <c r="H193" s="3">
        <v>0.16800000000000001</v>
      </c>
      <c r="I193" s="2">
        <v>1200</v>
      </c>
      <c r="J193" s="11" t="s">
        <v>360</v>
      </c>
      <c r="K193" s="1"/>
      <c r="L193" s="1"/>
    </row>
    <row r="194" spans="3:12">
      <c r="C194" s="4" t="s">
        <v>386</v>
      </c>
      <c r="D194" s="8">
        <v>26000121</v>
      </c>
      <c r="E194" s="4" t="s">
        <v>328</v>
      </c>
      <c r="F194" s="4" t="s">
        <v>329</v>
      </c>
      <c r="G194" s="4" t="s">
        <v>330</v>
      </c>
      <c r="H194" s="3">
        <v>0.54</v>
      </c>
      <c r="I194" s="2">
        <v>250</v>
      </c>
      <c r="J194" s="11" t="s">
        <v>360</v>
      </c>
      <c r="K194" s="1"/>
      <c r="L194" s="1"/>
    </row>
    <row r="195" spans="3:12">
      <c r="C195" s="4" t="s">
        <v>386</v>
      </c>
      <c r="D195" s="8">
        <v>26000122</v>
      </c>
      <c r="E195" s="4" t="s">
        <v>57</v>
      </c>
      <c r="F195" s="4" t="s">
        <v>58</v>
      </c>
      <c r="G195" s="4" t="s">
        <v>59</v>
      </c>
      <c r="H195" s="3">
        <v>1</v>
      </c>
      <c r="I195" s="2">
        <v>500</v>
      </c>
      <c r="J195" s="11" t="s">
        <v>364</v>
      </c>
      <c r="K195" s="1"/>
      <c r="L195" s="1"/>
    </row>
    <row r="196" spans="3:12">
      <c r="C196" s="4" t="s">
        <v>386</v>
      </c>
      <c r="D196" s="8">
        <v>26000125</v>
      </c>
      <c r="E196" s="4" t="s">
        <v>331</v>
      </c>
      <c r="F196" s="4" t="s">
        <v>332</v>
      </c>
      <c r="G196" s="4" t="s">
        <v>333</v>
      </c>
      <c r="H196" s="3">
        <v>7.15</v>
      </c>
      <c r="I196" s="2">
        <v>50</v>
      </c>
      <c r="J196" s="11" t="s">
        <v>360</v>
      </c>
      <c r="K196" s="1"/>
      <c r="L196" s="1"/>
    </row>
    <row r="197" spans="3:12">
      <c r="C197" s="4" t="s">
        <v>386</v>
      </c>
      <c r="D197" s="8">
        <v>26000136</v>
      </c>
      <c r="E197" s="4" t="s">
        <v>89</v>
      </c>
      <c r="F197" s="4" t="s">
        <v>90</v>
      </c>
      <c r="G197" s="4" t="s">
        <v>91</v>
      </c>
      <c r="H197" s="3">
        <v>0.23100000000000001</v>
      </c>
      <c r="I197" s="2">
        <v>500</v>
      </c>
      <c r="J197" s="11" t="s">
        <v>247</v>
      </c>
      <c r="K197" s="1"/>
      <c r="L197" s="1"/>
    </row>
    <row r="198" spans="3:12">
      <c r="C198" s="4" t="s">
        <v>386</v>
      </c>
      <c r="D198" s="8">
        <v>26000143</v>
      </c>
      <c r="E198" s="4" t="s">
        <v>342</v>
      </c>
      <c r="F198" s="4" t="s">
        <v>343</v>
      </c>
      <c r="G198" s="4" t="s">
        <v>344</v>
      </c>
      <c r="H198" s="3">
        <v>0.12</v>
      </c>
      <c r="I198" s="2">
        <v>2500</v>
      </c>
      <c r="J198" s="11" t="s">
        <v>346</v>
      </c>
      <c r="K198" s="1"/>
      <c r="L198" s="1"/>
    </row>
    <row r="199" spans="3:12">
      <c r="C199" s="4" t="s">
        <v>386</v>
      </c>
      <c r="D199" s="8">
        <v>26000144</v>
      </c>
      <c r="E199" s="4" t="s">
        <v>347</v>
      </c>
      <c r="F199" s="4" t="s">
        <v>348</v>
      </c>
      <c r="G199" s="4" t="s">
        <v>349</v>
      </c>
      <c r="H199" s="3">
        <v>0.17</v>
      </c>
      <c r="I199" s="2">
        <v>2500</v>
      </c>
      <c r="J199" s="11" t="s">
        <v>228</v>
      </c>
      <c r="K199" s="1"/>
      <c r="L199" s="1"/>
    </row>
    <row r="200" spans="3:12">
      <c r="C200" s="4" t="s">
        <v>386</v>
      </c>
      <c r="D200" s="8">
        <v>26000157</v>
      </c>
      <c r="E200" s="4" t="s">
        <v>350</v>
      </c>
      <c r="F200" s="9" t="s">
        <v>352</v>
      </c>
      <c r="G200" s="9" t="s">
        <v>351</v>
      </c>
      <c r="H200" s="10">
        <v>0.121</v>
      </c>
      <c r="I200" s="2">
        <v>25000</v>
      </c>
      <c r="J200" s="11" t="s">
        <v>498</v>
      </c>
      <c r="K200" s="1"/>
      <c r="L200" s="1"/>
    </row>
    <row r="201" spans="3:12">
      <c r="C201" s="4" t="s">
        <v>386</v>
      </c>
      <c r="D201" s="8">
        <v>26000161</v>
      </c>
      <c r="E201" s="4" t="s">
        <v>353</v>
      </c>
      <c r="F201" s="4" t="s">
        <v>354</v>
      </c>
      <c r="G201" s="4" t="s">
        <v>355</v>
      </c>
      <c r="H201" s="3">
        <v>0.2</v>
      </c>
      <c r="I201" s="2">
        <v>2500</v>
      </c>
      <c r="J201" s="11" t="s">
        <v>247</v>
      </c>
      <c r="K201" s="1"/>
      <c r="L201" s="1"/>
    </row>
    <row r="202" spans="3:12">
      <c r="C202" s="4" t="s">
        <v>386</v>
      </c>
      <c r="D202" s="8">
        <v>26000163</v>
      </c>
      <c r="E202" s="4" t="s">
        <v>113</v>
      </c>
      <c r="F202" s="4" t="s">
        <v>114</v>
      </c>
      <c r="G202" s="4" t="s">
        <v>115</v>
      </c>
      <c r="H202" s="3">
        <v>0.161</v>
      </c>
      <c r="I202" s="2">
        <v>25000</v>
      </c>
      <c r="J202" s="11" t="s">
        <v>468</v>
      </c>
      <c r="K202" s="1"/>
      <c r="L202" s="1"/>
    </row>
    <row r="203" spans="3:12">
      <c r="C203" s="4" t="s">
        <v>386</v>
      </c>
      <c r="D203" s="8">
        <v>26000164</v>
      </c>
      <c r="E203" s="4" t="s">
        <v>23</v>
      </c>
      <c r="F203" s="4" t="s">
        <v>24</v>
      </c>
      <c r="G203" s="4" t="s">
        <v>48</v>
      </c>
      <c r="H203" s="3">
        <v>0.28000000000000003</v>
      </c>
      <c r="I203" s="2">
        <v>10000</v>
      </c>
      <c r="J203" s="11" t="s">
        <v>356</v>
      </c>
      <c r="K203" s="1"/>
      <c r="L203" s="1"/>
    </row>
    <row r="204" spans="3:12">
      <c r="C204" s="4" t="s">
        <v>386</v>
      </c>
      <c r="D204" s="8">
        <v>26000166</v>
      </c>
      <c r="E204" s="4" t="s">
        <v>357</v>
      </c>
      <c r="F204" s="4" t="s">
        <v>358</v>
      </c>
      <c r="G204" s="4" t="s">
        <v>359</v>
      </c>
      <c r="H204" s="3">
        <v>0.152</v>
      </c>
      <c r="I204" s="2">
        <v>1000</v>
      </c>
      <c r="J204" s="11" t="s">
        <v>360</v>
      </c>
      <c r="K204" s="1"/>
      <c r="L204" s="1"/>
    </row>
    <row r="205" spans="3:12">
      <c r="C205" s="4" t="s">
        <v>386</v>
      </c>
      <c r="D205" s="8">
        <v>26000174</v>
      </c>
      <c r="E205" s="4" t="s">
        <v>361</v>
      </c>
      <c r="F205" s="4" t="s">
        <v>362</v>
      </c>
      <c r="G205" s="4" t="s">
        <v>363</v>
      </c>
      <c r="H205" s="3">
        <v>0.18</v>
      </c>
      <c r="I205" s="2">
        <v>300</v>
      </c>
      <c r="J205" s="11" t="s">
        <v>360</v>
      </c>
      <c r="K205" s="1"/>
      <c r="L205" s="1"/>
    </row>
    <row r="206" spans="3:12">
      <c r="C206" s="4" t="s">
        <v>386</v>
      </c>
      <c r="D206" s="8">
        <v>26000178</v>
      </c>
      <c r="E206" s="4" t="s">
        <v>365</v>
      </c>
      <c r="F206" s="4" t="s">
        <v>366</v>
      </c>
      <c r="G206" s="4" t="s">
        <v>367</v>
      </c>
      <c r="H206" s="3">
        <v>1.32</v>
      </c>
      <c r="I206" s="2">
        <v>500</v>
      </c>
      <c r="J206" s="11" t="s">
        <v>360</v>
      </c>
      <c r="K206" s="1"/>
      <c r="L206" s="1"/>
    </row>
    <row r="207" spans="3:12">
      <c r="C207" s="4" t="s">
        <v>386</v>
      </c>
      <c r="D207" s="8">
        <v>26000182</v>
      </c>
      <c r="E207" s="4" t="s">
        <v>368</v>
      </c>
      <c r="F207" s="4" t="s">
        <v>369</v>
      </c>
      <c r="G207" s="4" t="s">
        <v>370</v>
      </c>
      <c r="H207" s="3">
        <v>1.91</v>
      </c>
      <c r="I207" s="2">
        <v>50</v>
      </c>
      <c r="J207" s="11" t="s">
        <v>360</v>
      </c>
      <c r="K207" s="1"/>
      <c r="L207" s="1"/>
    </row>
    <row r="208" spans="3:12">
      <c r="C208" s="4" t="s">
        <v>386</v>
      </c>
      <c r="D208" s="8">
        <v>26000186</v>
      </c>
      <c r="E208" s="4" t="s">
        <v>371</v>
      </c>
      <c r="F208" s="4" t="s">
        <v>372</v>
      </c>
      <c r="G208" s="4" t="s">
        <v>373</v>
      </c>
      <c r="H208" s="3">
        <v>0.15</v>
      </c>
      <c r="I208" s="2">
        <v>1150</v>
      </c>
      <c r="J208" s="11" t="s">
        <v>374</v>
      </c>
      <c r="K208" s="1"/>
      <c r="L208" s="1"/>
    </row>
    <row r="209" spans="3:12">
      <c r="C209" s="4" t="s">
        <v>386</v>
      </c>
      <c r="D209" s="8">
        <v>26000186</v>
      </c>
      <c r="E209" s="4" t="s">
        <v>371</v>
      </c>
      <c r="F209" s="4" t="s">
        <v>372</v>
      </c>
      <c r="G209" s="4" t="s">
        <v>373</v>
      </c>
      <c r="H209" s="3">
        <v>0.15</v>
      </c>
      <c r="I209" s="2">
        <v>1500</v>
      </c>
      <c r="J209" s="11" t="s">
        <v>346</v>
      </c>
      <c r="K209" s="1"/>
      <c r="L209" s="1"/>
    </row>
    <row r="210" spans="3:12">
      <c r="C210" s="4" t="s">
        <v>386</v>
      </c>
      <c r="D210" s="8">
        <v>26000207</v>
      </c>
      <c r="E210" s="4" t="s">
        <v>375</v>
      </c>
      <c r="F210" s="4" t="s">
        <v>376</v>
      </c>
      <c r="G210" s="4" t="s">
        <v>377</v>
      </c>
      <c r="H210" s="3">
        <v>0.15</v>
      </c>
      <c r="I210" s="2">
        <v>1000</v>
      </c>
      <c r="J210" s="11" t="s">
        <v>378</v>
      </c>
      <c r="K210" s="1"/>
      <c r="L210" s="1"/>
    </row>
    <row r="211" spans="3:12">
      <c r="C211" s="4" t="s">
        <v>401</v>
      </c>
      <c r="D211" s="8">
        <v>26000234</v>
      </c>
      <c r="E211" s="4" t="s">
        <v>313</v>
      </c>
      <c r="F211" s="4" t="s">
        <v>314</v>
      </c>
      <c r="G211" s="4" t="s">
        <v>315</v>
      </c>
      <c r="H211" s="3">
        <v>2.4</v>
      </c>
      <c r="I211" s="2">
        <v>250</v>
      </c>
      <c r="J211" s="11" t="s">
        <v>364</v>
      </c>
      <c r="K211" s="1"/>
      <c r="L211" s="1"/>
    </row>
    <row r="212" spans="3:12">
      <c r="C212" s="4" t="s">
        <v>401</v>
      </c>
      <c r="D212" s="8">
        <v>26000234</v>
      </c>
      <c r="E212" s="4" t="s">
        <v>313</v>
      </c>
      <c r="F212" s="4" t="s">
        <v>314</v>
      </c>
      <c r="G212" s="4" t="s">
        <v>315</v>
      </c>
      <c r="H212" s="3">
        <v>2.4</v>
      </c>
      <c r="I212" s="2">
        <v>250</v>
      </c>
      <c r="J212" s="11" t="s">
        <v>360</v>
      </c>
      <c r="K212" s="1"/>
      <c r="L212" s="1"/>
    </row>
    <row r="213" spans="3:12">
      <c r="C213" s="4" t="s">
        <v>401</v>
      </c>
      <c r="D213" s="8">
        <v>26000235</v>
      </c>
      <c r="E213" s="4" t="s">
        <v>395</v>
      </c>
      <c r="F213" s="4" t="s">
        <v>396</v>
      </c>
      <c r="G213" s="4" t="s">
        <v>397</v>
      </c>
      <c r="H213" s="3">
        <v>0.115</v>
      </c>
      <c r="I213" s="2">
        <v>2000</v>
      </c>
      <c r="J213" s="11" t="s">
        <v>402</v>
      </c>
      <c r="K213" s="1"/>
      <c r="L213" s="1"/>
    </row>
    <row r="214" spans="3:12">
      <c r="C214" s="4" t="s">
        <v>401</v>
      </c>
      <c r="D214" s="8">
        <v>26000237</v>
      </c>
      <c r="E214" s="4" t="s">
        <v>398</v>
      </c>
      <c r="F214" s="4" t="s">
        <v>399</v>
      </c>
      <c r="G214" s="4" t="s">
        <v>400</v>
      </c>
      <c r="H214" s="3">
        <v>0.76</v>
      </c>
      <c r="I214" s="2">
        <v>140</v>
      </c>
      <c r="J214" s="11" t="s">
        <v>364</v>
      </c>
      <c r="K214" s="1"/>
      <c r="L214" s="1"/>
    </row>
    <row r="215" spans="3:12">
      <c r="C215" s="4" t="s">
        <v>401</v>
      </c>
      <c r="D215" s="8">
        <v>26000242</v>
      </c>
      <c r="E215" s="4" t="s">
        <v>55</v>
      </c>
      <c r="F215" s="4" t="s">
        <v>60</v>
      </c>
      <c r="G215" s="4" t="s">
        <v>56</v>
      </c>
      <c r="H215" s="3">
        <v>1.07</v>
      </c>
      <c r="I215" s="2">
        <v>800</v>
      </c>
      <c r="J215" s="11" t="s">
        <v>360</v>
      </c>
      <c r="K215" s="1"/>
      <c r="L215" s="1"/>
    </row>
    <row r="216" spans="3:12">
      <c r="C216" s="4" t="s">
        <v>401</v>
      </c>
      <c r="D216" s="8">
        <v>26000242</v>
      </c>
      <c r="E216" s="4" t="s">
        <v>55</v>
      </c>
      <c r="F216" s="4" t="s">
        <v>60</v>
      </c>
      <c r="G216" s="4" t="s">
        <v>56</v>
      </c>
      <c r="H216" s="3">
        <v>1.07</v>
      </c>
      <c r="I216" s="2">
        <v>400</v>
      </c>
      <c r="J216" s="11" t="s">
        <v>360</v>
      </c>
      <c r="K216" s="1"/>
      <c r="L216" s="1"/>
    </row>
    <row r="217" spans="3:12">
      <c r="C217" s="4" t="s">
        <v>444</v>
      </c>
      <c r="D217" s="8">
        <v>26000251</v>
      </c>
      <c r="E217" s="4" t="s">
        <v>67</v>
      </c>
      <c r="F217" s="4" t="s">
        <v>68</v>
      </c>
      <c r="G217" s="4" t="s">
        <v>69</v>
      </c>
      <c r="H217" s="3">
        <v>0.72</v>
      </c>
      <c r="I217" s="2">
        <v>350</v>
      </c>
      <c r="J217" s="11" t="s">
        <v>503</v>
      </c>
      <c r="K217" s="1"/>
      <c r="L217" s="1"/>
    </row>
    <row r="218" spans="3:12">
      <c r="C218" s="4" t="s">
        <v>511</v>
      </c>
      <c r="D218" s="8">
        <v>26000257</v>
      </c>
      <c r="E218" s="4" t="s">
        <v>403</v>
      </c>
      <c r="F218" s="4" t="s">
        <v>404</v>
      </c>
      <c r="G218" s="4" t="s">
        <v>405</v>
      </c>
      <c r="H218" s="3">
        <v>0.26500000000000001</v>
      </c>
      <c r="I218" s="2">
        <v>1750</v>
      </c>
      <c r="J218" s="11" t="s">
        <v>506</v>
      </c>
      <c r="K218" s="1"/>
      <c r="L218" s="1"/>
    </row>
    <row r="219" spans="3:12">
      <c r="C219" s="4" t="s">
        <v>444</v>
      </c>
      <c r="D219" s="8">
        <v>26000262</v>
      </c>
      <c r="E219" s="4" t="s">
        <v>403</v>
      </c>
      <c r="F219" s="4" t="s">
        <v>404</v>
      </c>
      <c r="G219" s="4" t="s">
        <v>405</v>
      </c>
      <c r="H219" s="3">
        <v>0.26500000000000001</v>
      </c>
      <c r="I219" s="2">
        <v>1750</v>
      </c>
      <c r="J219" s="11" t="s">
        <v>402</v>
      </c>
      <c r="K219" s="1"/>
      <c r="L219" s="1"/>
    </row>
    <row r="220" spans="3:12">
      <c r="C220" s="4" t="s">
        <v>444</v>
      </c>
      <c r="D220" s="8">
        <v>26000262</v>
      </c>
      <c r="E220" s="4" t="s">
        <v>403</v>
      </c>
      <c r="F220" s="4" t="s">
        <v>404</v>
      </c>
      <c r="G220" s="4" t="s">
        <v>405</v>
      </c>
      <c r="H220" s="3">
        <v>0.26500000000000001</v>
      </c>
      <c r="I220" s="2">
        <v>1750</v>
      </c>
      <c r="J220" s="11" t="s">
        <v>402</v>
      </c>
      <c r="K220" s="1"/>
      <c r="L220" s="1"/>
    </row>
    <row r="221" spans="3:12">
      <c r="C221" s="4" t="s">
        <v>511</v>
      </c>
      <c r="D221" s="8">
        <v>26000270</v>
      </c>
      <c r="E221" s="4" t="s">
        <v>409</v>
      </c>
      <c r="F221" s="4" t="s">
        <v>410</v>
      </c>
      <c r="G221" s="4" t="s">
        <v>411</v>
      </c>
      <c r="H221" s="3">
        <v>0.81</v>
      </c>
      <c r="I221" s="2">
        <v>40</v>
      </c>
      <c r="J221" s="11" t="s">
        <v>360</v>
      </c>
      <c r="K221" s="1"/>
      <c r="L221" s="1"/>
    </row>
    <row r="222" spans="3:12">
      <c r="C222" s="4" t="s">
        <v>511</v>
      </c>
      <c r="D222" s="8">
        <v>26000278</v>
      </c>
      <c r="E222" s="4" t="s">
        <v>432</v>
      </c>
      <c r="F222" s="4" t="s">
        <v>445</v>
      </c>
      <c r="G222" s="4" t="s">
        <v>433</v>
      </c>
      <c r="H222" s="3">
        <v>0.43</v>
      </c>
      <c r="I222" s="2">
        <v>500</v>
      </c>
      <c r="J222" s="11" t="s">
        <v>506</v>
      </c>
      <c r="K222" s="1"/>
      <c r="L222" s="1"/>
    </row>
    <row r="223" spans="3:12">
      <c r="C223" s="4" t="s">
        <v>511</v>
      </c>
      <c r="D223" s="8">
        <v>26000280</v>
      </c>
      <c r="E223" s="4" t="s">
        <v>434</v>
      </c>
      <c r="F223" s="4" t="s">
        <v>446</v>
      </c>
      <c r="G223" s="4" t="s">
        <v>435</v>
      </c>
      <c r="H223" s="3">
        <v>0.121</v>
      </c>
      <c r="I223" s="2">
        <v>300</v>
      </c>
      <c r="J223" s="11" t="s">
        <v>360</v>
      </c>
      <c r="K223" s="1"/>
      <c r="L223" s="1"/>
    </row>
    <row r="224" spans="3:12">
      <c r="C224" s="4" t="s">
        <v>511</v>
      </c>
      <c r="D224" s="8">
        <v>26000281</v>
      </c>
      <c r="E224" s="4" t="s">
        <v>436</v>
      </c>
      <c r="F224" s="4" t="s">
        <v>447</v>
      </c>
      <c r="G224" s="4" t="s">
        <v>437</v>
      </c>
      <c r="H224" s="3">
        <v>0.1</v>
      </c>
      <c r="I224" s="2">
        <v>800</v>
      </c>
      <c r="J224" s="11" t="s">
        <v>506</v>
      </c>
      <c r="K224" s="1"/>
      <c r="L224" s="1"/>
    </row>
    <row r="225" spans="3:12">
      <c r="C225" s="4" t="s">
        <v>444</v>
      </c>
      <c r="D225" s="8">
        <v>26000282</v>
      </c>
      <c r="E225" s="4" t="s">
        <v>438</v>
      </c>
      <c r="F225" s="4" t="s">
        <v>439</v>
      </c>
      <c r="G225" s="4" t="s">
        <v>440</v>
      </c>
      <c r="H225" s="3">
        <v>0.13500000000000001</v>
      </c>
      <c r="I225" s="2">
        <v>6000</v>
      </c>
      <c r="J225" s="11" t="s">
        <v>402</v>
      </c>
      <c r="K225" s="1"/>
      <c r="L225" s="1"/>
    </row>
    <row r="226" spans="3:12">
      <c r="C226" s="4" t="s">
        <v>444</v>
      </c>
      <c r="D226" s="8">
        <v>26000288</v>
      </c>
      <c r="E226" s="4" t="s">
        <v>441</v>
      </c>
      <c r="F226" s="4" t="s">
        <v>442</v>
      </c>
      <c r="G226" s="4" t="s">
        <v>443</v>
      </c>
      <c r="H226" s="3">
        <v>9.5500000000000007</v>
      </c>
      <c r="I226" s="2">
        <v>520</v>
      </c>
      <c r="J226" s="11" t="s">
        <v>506</v>
      </c>
      <c r="K226" s="1"/>
      <c r="L226" s="1"/>
    </row>
    <row r="227" spans="3:12">
      <c r="C227" s="4" t="s">
        <v>444</v>
      </c>
      <c r="D227" s="8">
        <v>26000288</v>
      </c>
      <c r="E227" s="4" t="s">
        <v>441</v>
      </c>
      <c r="F227" s="4" t="s">
        <v>442</v>
      </c>
      <c r="G227" s="4" t="s">
        <v>443</v>
      </c>
      <c r="H227" s="3">
        <v>9.5500000000000007</v>
      </c>
      <c r="I227" s="2">
        <v>400</v>
      </c>
      <c r="J227" s="11" t="s">
        <v>506</v>
      </c>
      <c r="K227" s="1"/>
      <c r="L227" s="1"/>
    </row>
    <row r="228" spans="3:12">
      <c r="C228" s="4" t="s">
        <v>511</v>
      </c>
      <c r="D228" s="8">
        <v>26000296</v>
      </c>
      <c r="E228" s="4" t="s">
        <v>61</v>
      </c>
      <c r="F228" s="4" t="s">
        <v>62</v>
      </c>
      <c r="G228" s="4" t="s">
        <v>63</v>
      </c>
      <c r="H228" s="3">
        <v>0.115</v>
      </c>
      <c r="I228" s="2">
        <v>20000</v>
      </c>
      <c r="J228" s="11" t="s">
        <v>507</v>
      </c>
      <c r="K228" s="1"/>
      <c r="L228" s="1"/>
    </row>
    <row r="229" spans="3:12">
      <c r="C229" s="4" t="s">
        <v>511</v>
      </c>
      <c r="D229" s="8">
        <v>26000297</v>
      </c>
      <c r="E229" s="4" t="s">
        <v>423</v>
      </c>
      <c r="F229" s="4" t="s">
        <v>424</v>
      </c>
      <c r="G229" s="4" t="s">
        <v>425</v>
      </c>
      <c r="H229" s="3">
        <v>0.17510000000000001</v>
      </c>
      <c r="I229" s="2">
        <v>5000</v>
      </c>
      <c r="J229" s="11" t="s">
        <v>506</v>
      </c>
      <c r="K229" s="1"/>
      <c r="L229" s="1"/>
    </row>
    <row r="230" spans="3:12">
      <c r="C230" s="4" t="s">
        <v>511</v>
      </c>
      <c r="D230" s="8">
        <v>26000298</v>
      </c>
      <c r="E230" s="4" t="s">
        <v>73</v>
      </c>
      <c r="F230" s="4" t="s">
        <v>75</v>
      </c>
      <c r="G230" s="4" t="s">
        <v>74</v>
      </c>
      <c r="H230" s="3">
        <v>0.1</v>
      </c>
      <c r="I230" s="2">
        <v>8000</v>
      </c>
      <c r="J230" s="11" t="s">
        <v>507</v>
      </c>
      <c r="K230" s="1"/>
    </row>
    <row r="231" spans="3:12">
      <c r="C231" s="4" t="s">
        <v>511</v>
      </c>
      <c r="D231" s="8">
        <v>26000301</v>
      </c>
      <c r="E231" s="4" t="s">
        <v>426</v>
      </c>
      <c r="F231" s="4" t="s">
        <v>427</v>
      </c>
      <c r="G231" s="4" t="s">
        <v>428</v>
      </c>
      <c r="H231" s="3">
        <v>0.17</v>
      </c>
      <c r="I231" s="2">
        <v>500</v>
      </c>
      <c r="J231" s="11" t="s">
        <v>402</v>
      </c>
      <c r="K231" s="1"/>
    </row>
    <row r="232" spans="3:12">
      <c r="C232" s="4" t="s">
        <v>511</v>
      </c>
      <c r="D232" s="8">
        <v>26000311</v>
      </c>
      <c r="E232" s="4" t="s">
        <v>23</v>
      </c>
      <c r="F232" s="4" t="s">
        <v>24</v>
      </c>
      <c r="G232" s="3" t="s">
        <v>48</v>
      </c>
      <c r="H232" s="3">
        <v>0.28000000000000003</v>
      </c>
      <c r="I232" s="2">
        <v>5500</v>
      </c>
      <c r="J232" s="1" t="s">
        <v>448</v>
      </c>
      <c r="K232" s="1"/>
    </row>
    <row r="233" spans="3:12">
      <c r="C233" s="4" t="s">
        <v>511</v>
      </c>
      <c r="D233" s="8">
        <v>26000312</v>
      </c>
      <c r="E233" s="4" t="s">
        <v>61</v>
      </c>
      <c r="F233" s="4" t="s">
        <v>62</v>
      </c>
      <c r="G233" s="4" t="s">
        <v>63</v>
      </c>
      <c r="H233" s="3">
        <v>0.115</v>
      </c>
      <c r="I233" s="2">
        <v>5000</v>
      </c>
      <c r="J233" s="11" t="s">
        <v>507</v>
      </c>
      <c r="K233" s="1"/>
    </row>
    <row r="234" spans="3:12">
      <c r="C234" s="4" t="s">
        <v>511</v>
      </c>
      <c r="D234" s="8">
        <v>26000313</v>
      </c>
      <c r="E234" s="4" t="s">
        <v>449</v>
      </c>
      <c r="F234" s="4" t="s">
        <v>450</v>
      </c>
      <c r="G234" s="4" t="s">
        <v>451</v>
      </c>
      <c r="H234" s="3">
        <v>0.4</v>
      </c>
      <c r="I234" s="2">
        <v>800</v>
      </c>
      <c r="J234" s="11" t="s">
        <v>402</v>
      </c>
      <c r="K234" s="1"/>
    </row>
    <row r="235" spans="3:12">
      <c r="C235" s="4" t="s">
        <v>138</v>
      </c>
      <c r="D235" s="8">
        <v>26000314</v>
      </c>
      <c r="E235" s="4" t="s">
        <v>110</v>
      </c>
      <c r="F235" s="4" t="s">
        <v>111</v>
      </c>
      <c r="G235" s="4" t="s">
        <v>452</v>
      </c>
      <c r="H235" s="3">
        <v>0.42</v>
      </c>
      <c r="I235" s="2">
        <v>200</v>
      </c>
      <c r="J235" s="11" t="s">
        <v>505</v>
      </c>
      <c r="K235" s="1"/>
    </row>
    <row r="236" spans="3:12">
      <c r="C236" s="4" t="s">
        <v>511</v>
      </c>
      <c r="D236" s="8">
        <v>26000316</v>
      </c>
      <c r="E236" s="4" t="s">
        <v>67</v>
      </c>
      <c r="F236" s="4" t="s">
        <v>68</v>
      </c>
      <c r="G236" s="4" t="s">
        <v>69</v>
      </c>
      <c r="H236" s="3">
        <v>0.72</v>
      </c>
      <c r="I236" s="2">
        <v>500</v>
      </c>
      <c r="J236" s="11" t="s">
        <v>402</v>
      </c>
      <c r="K236" s="1"/>
    </row>
    <row r="237" spans="3:12">
      <c r="C237" s="4" t="s">
        <v>511</v>
      </c>
      <c r="D237" s="8">
        <v>26000316</v>
      </c>
      <c r="E237" s="4" t="s">
        <v>67</v>
      </c>
      <c r="F237" s="4" t="s">
        <v>68</v>
      </c>
      <c r="G237" s="4" t="s">
        <v>69</v>
      </c>
      <c r="H237" s="3">
        <v>0.72</v>
      </c>
      <c r="I237" s="2">
        <v>500</v>
      </c>
      <c r="J237" s="11" t="s">
        <v>402</v>
      </c>
      <c r="K237" s="1"/>
    </row>
    <row r="238" spans="3:12">
      <c r="C238" s="4" t="s">
        <v>511</v>
      </c>
      <c r="D238" s="22">
        <v>26000324</v>
      </c>
      <c r="E238" s="23" t="s">
        <v>453</v>
      </c>
      <c r="F238" s="4" t="s">
        <v>508</v>
      </c>
      <c r="G238" s="3" t="s">
        <v>454</v>
      </c>
      <c r="H238" s="3">
        <v>0.81699999999999995</v>
      </c>
      <c r="I238" s="2">
        <v>140</v>
      </c>
      <c r="J238" s="11" t="s">
        <v>509</v>
      </c>
      <c r="K238" s="1"/>
    </row>
    <row r="239" spans="3:12">
      <c r="C239" s="4" t="s">
        <v>511</v>
      </c>
      <c r="D239" s="22">
        <v>26000325</v>
      </c>
      <c r="E239" s="4" t="s">
        <v>39</v>
      </c>
      <c r="F239" s="4" t="s">
        <v>41</v>
      </c>
      <c r="G239" s="4" t="s">
        <v>40</v>
      </c>
      <c r="H239" s="3">
        <v>0.15</v>
      </c>
      <c r="I239" s="2">
        <v>20000</v>
      </c>
      <c r="J239" s="11" t="s">
        <v>507</v>
      </c>
      <c r="K239" s="1"/>
    </row>
    <row r="240" spans="3:12">
      <c r="C240" s="4" t="s">
        <v>511</v>
      </c>
      <c r="D240" s="22">
        <v>26000328</v>
      </c>
      <c r="E240" s="23" t="s">
        <v>455</v>
      </c>
      <c r="F240" s="23" t="s">
        <v>516</v>
      </c>
      <c r="G240" s="3" t="s">
        <v>456</v>
      </c>
      <c r="H240" s="3">
        <v>1.75</v>
      </c>
      <c r="I240" s="23">
        <v>50</v>
      </c>
      <c r="J240" s="11" t="s">
        <v>506</v>
      </c>
      <c r="K240" s="1"/>
    </row>
    <row r="241" spans="3:11">
      <c r="C241" s="4" t="s">
        <v>511</v>
      </c>
      <c r="D241" s="22">
        <v>26000340</v>
      </c>
      <c r="E241" s="23" t="s">
        <v>457</v>
      </c>
      <c r="F241" s="23" t="s">
        <v>458</v>
      </c>
      <c r="G241" s="23" t="s">
        <v>459</v>
      </c>
      <c r="H241" s="3">
        <v>1.3</v>
      </c>
      <c r="I241" s="2">
        <v>600</v>
      </c>
      <c r="J241" s="11" t="s">
        <v>510</v>
      </c>
      <c r="K241" s="1"/>
    </row>
    <row r="242" spans="3:11">
      <c r="C242" s="4" t="s">
        <v>515</v>
      </c>
      <c r="D242" s="22">
        <v>26000350</v>
      </c>
      <c r="E242" s="4" t="s">
        <v>464</v>
      </c>
      <c r="F242" s="4" t="s">
        <v>465</v>
      </c>
      <c r="G242" s="4" t="s">
        <v>466</v>
      </c>
      <c r="H242" s="3">
        <v>1.0505</v>
      </c>
      <c r="I242" s="26">
        <v>400</v>
      </c>
      <c r="J242" s="11" t="s">
        <v>506</v>
      </c>
      <c r="K242" s="1"/>
    </row>
    <row r="243" spans="3:11">
      <c r="C243" s="4" t="s">
        <v>515</v>
      </c>
      <c r="D243" s="22">
        <v>26000371</v>
      </c>
      <c r="E243" s="4" t="s">
        <v>449</v>
      </c>
      <c r="F243" s="4" t="s">
        <v>450</v>
      </c>
      <c r="G243" s="4" t="s">
        <v>451</v>
      </c>
      <c r="H243" s="3">
        <v>0.4</v>
      </c>
      <c r="I243" s="2">
        <v>800</v>
      </c>
      <c r="J243" s="11" t="s">
        <v>507</v>
      </c>
      <c r="K243" s="1"/>
    </row>
    <row r="244" spans="3:11">
      <c r="C244" s="4" t="s">
        <v>515</v>
      </c>
      <c r="D244" s="22">
        <v>26000373</v>
      </c>
      <c r="E244" s="4" t="s">
        <v>409</v>
      </c>
      <c r="F244" s="4" t="s">
        <v>410</v>
      </c>
      <c r="G244" s="4" t="s">
        <v>411</v>
      </c>
      <c r="H244" s="3">
        <v>0.81</v>
      </c>
      <c r="I244" s="2">
        <v>260</v>
      </c>
      <c r="J244" s="11" t="s">
        <v>402</v>
      </c>
      <c r="K244" s="1"/>
    </row>
    <row r="245" spans="3:11">
      <c r="C245" s="4" t="s">
        <v>515</v>
      </c>
      <c r="D245" s="22">
        <v>26000375</v>
      </c>
      <c r="E245" s="4" t="s">
        <v>469</v>
      </c>
      <c r="F245" s="28" t="s">
        <v>471</v>
      </c>
      <c r="G245" s="4" t="s">
        <v>470</v>
      </c>
      <c r="H245" s="3">
        <v>2.8</v>
      </c>
      <c r="I245" s="2">
        <v>200</v>
      </c>
      <c r="J245" s="11" t="s">
        <v>510</v>
      </c>
      <c r="K245" s="1"/>
    </row>
    <row r="246" spans="3:11">
      <c r="C246" s="4" t="s">
        <v>515</v>
      </c>
      <c r="D246" s="22">
        <v>26000376</v>
      </c>
      <c r="E246" s="23" t="s">
        <v>474</v>
      </c>
      <c r="F246" s="4" t="s">
        <v>472</v>
      </c>
      <c r="G246" s="4" t="s">
        <v>473</v>
      </c>
      <c r="H246" s="3">
        <v>0.14610000000000001</v>
      </c>
      <c r="I246" s="2">
        <v>3000</v>
      </c>
      <c r="J246" s="11" t="s">
        <v>510</v>
      </c>
      <c r="K246" s="1"/>
    </row>
    <row r="247" spans="3:11">
      <c r="C247" s="4" t="s">
        <v>515</v>
      </c>
      <c r="D247" s="22">
        <v>26000395</v>
      </c>
      <c r="E247" s="23" t="s">
        <v>279</v>
      </c>
      <c r="F247" s="4" t="s">
        <v>280</v>
      </c>
      <c r="G247" s="4" t="s">
        <v>281</v>
      </c>
      <c r="H247" s="3">
        <v>0.37</v>
      </c>
      <c r="I247" s="2">
        <v>2000</v>
      </c>
      <c r="J247" s="11" t="s">
        <v>402</v>
      </c>
      <c r="K247" s="1"/>
    </row>
    <row r="248" spans="3:11">
      <c r="C248" s="4" t="s">
        <v>515</v>
      </c>
      <c r="D248" s="22">
        <v>26000400</v>
      </c>
      <c r="E248" s="23" t="s">
        <v>325</v>
      </c>
      <c r="F248" s="4" t="s">
        <v>326</v>
      </c>
      <c r="G248" s="4" t="s">
        <v>327</v>
      </c>
      <c r="H248" s="3">
        <v>0.23599999999999999</v>
      </c>
      <c r="I248" s="2">
        <v>2000</v>
      </c>
      <c r="J248" s="11" t="s">
        <v>402</v>
      </c>
      <c r="K248" s="1"/>
    </row>
    <row r="249" spans="3:11">
      <c r="C249" s="4" t="s">
        <v>515</v>
      </c>
      <c r="D249" s="22">
        <v>26000413</v>
      </c>
      <c r="E249" s="4" t="s">
        <v>477</v>
      </c>
      <c r="F249" s="4" t="s">
        <v>475</v>
      </c>
      <c r="G249" s="4" t="s">
        <v>476</v>
      </c>
      <c r="H249" s="3">
        <v>0.115</v>
      </c>
      <c r="I249" s="2">
        <v>12000</v>
      </c>
      <c r="J249" s="11" t="s">
        <v>510</v>
      </c>
      <c r="K249" s="1"/>
    </row>
    <row r="250" spans="3:11">
      <c r="C250" s="4" t="s">
        <v>515</v>
      </c>
      <c r="D250" s="22">
        <v>26000425</v>
      </c>
      <c r="E250" s="4" t="s">
        <v>375</v>
      </c>
      <c r="F250" s="4" t="s">
        <v>376</v>
      </c>
      <c r="G250" s="4" t="s">
        <v>377</v>
      </c>
      <c r="H250" s="3">
        <v>0.15</v>
      </c>
      <c r="I250" s="2">
        <v>2000</v>
      </c>
      <c r="J250" s="11" t="s">
        <v>507</v>
      </c>
      <c r="K250" s="1"/>
    </row>
    <row r="251" spans="3:11">
      <c r="C251" s="4" t="s">
        <v>515</v>
      </c>
      <c r="D251" s="22">
        <v>26000427</v>
      </c>
      <c r="E251" s="4" t="s">
        <v>61</v>
      </c>
      <c r="F251" s="4" t="s">
        <v>62</v>
      </c>
      <c r="G251" s="4" t="s">
        <v>63</v>
      </c>
      <c r="H251" s="3">
        <v>0.115</v>
      </c>
      <c r="I251" s="2">
        <v>5000</v>
      </c>
      <c r="J251" s="11" t="s">
        <v>510</v>
      </c>
      <c r="K251" s="1"/>
    </row>
    <row r="252" spans="3:11">
      <c r="C252" s="4" t="s">
        <v>515</v>
      </c>
      <c r="D252" s="22">
        <v>26000428</v>
      </c>
      <c r="E252" s="23" t="s">
        <v>80</v>
      </c>
      <c r="F252" s="4" t="s">
        <v>81</v>
      </c>
      <c r="G252" s="23" t="s">
        <v>82</v>
      </c>
      <c r="H252" s="3">
        <v>0.13800000000000001</v>
      </c>
      <c r="I252" s="2">
        <v>30000</v>
      </c>
      <c r="J252" s="11"/>
      <c r="K252" s="1"/>
    </row>
    <row r="253" spans="3:11">
      <c r="C253" s="4" t="s">
        <v>515</v>
      </c>
      <c r="D253" s="22">
        <v>26000429</v>
      </c>
      <c r="E253" s="4" t="s">
        <v>485</v>
      </c>
      <c r="F253" s="4" t="s">
        <v>486</v>
      </c>
      <c r="G253" s="4" t="s">
        <v>487</v>
      </c>
      <c r="H253" s="3">
        <v>0.13</v>
      </c>
      <c r="I253" s="26">
        <v>4000</v>
      </c>
      <c r="J253" s="11"/>
      <c r="K253" s="1"/>
    </row>
    <row r="254" spans="3:11">
      <c r="C254" s="4" t="s">
        <v>515</v>
      </c>
      <c r="D254" s="22">
        <v>26000430</v>
      </c>
      <c r="E254" s="4" t="s">
        <v>395</v>
      </c>
      <c r="F254" s="4" t="s">
        <v>396</v>
      </c>
      <c r="G254" s="4" t="s">
        <v>397</v>
      </c>
      <c r="H254" s="3">
        <v>0.115</v>
      </c>
      <c r="I254" s="2">
        <v>2000</v>
      </c>
      <c r="J254" s="11"/>
      <c r="K254" s="1"/>
    </row>
    <row r="255" spans="3:11">
      <c r="C255" s="4" t="s">
        <v>515</v>
      </c>
      <c r="D255" s="22">
        <v>26000431</v>
      </c>
      <c r="E255" s="23" t="s">
        <v>457</v>
      </c>
      <c r="F255" s="23" t="s">
        <v>458</v>
      </c>
      <c r="G255" s="23" t="s">
        <v>459</v>
      </c>
      <c r="H255" s="3">
        <v>1.3</v>
      </c>
      <c r="I255" s="2">
        <v>1500</v>
      </c>
      <c r="J255" s="11" t="s">
        <v>507</v>
      </c>
      <c r="K255" s="1"/>
    </row>
    <row r="256" spans="3:11">
      <c r="C256" s="4" t="s">
        <v>515</v>
      </c>
      <c r="D256" s="22">
        <v>26000431</v>
      </c>
      <c r="E256" s="23" t="s">
        <v>457</v>
      </c>
      <c r="F256" s="23" t="s">
        <v>458</v>
      </c>
      <c r="G256" s="23" t="s">
        <v>459</v>
      </c>
      <c r="H256" s="3">
        <v>1.3</v>
      </c>
      <c r="I256" s="2">
        <v>1000</v>
      </c>
      <c r="J256" s="11" t="s">
        <v>510</v>
      </c>
      <c r="K256" s="1"/>
    </row>
    <row r="257" spans="3:11">
      <c r="C257" s="4" t="s">
        <v>515</v>
      </c>
      <c r="D257" s="22">
        <v>26000431</v>
      </c>
      <c r="E257" s="23" t="s">
        <v>457</v>
      </c>
      <c r="F257" s="23" t="s">
        <v>458</v>
      </c>
      <c r="G257" s="23" t="s">
        <v>459</v>
      </c>
      <c r="H257" s="3">
        <v>1.3</v>
      </c>
      <c r="I257" s="2">
        <v>1000</v>
      </c>
      <c r="J257" s="11" t="s">
        <v>384</v>
      </c>
      <c r="K257" s="1"/>
    </row>
    <row r="258" spans="3:11">
      <c r="C258" s="4" t="s">
        <v>515</v>
      </c>
      <c r="D258" s="22">
        <v>26000432</v>
      </c>
      <c r="E258" s="4" t="s">
        <v>67</v>
      </c>
      <c r="F258" s="4" t="s">
        <v>68</v>
      </c>
      <c r="G258" s="4" t="s">
        <v>69</v>
      </c>
      <c r="H258" s="3">
        <v>0.72</v>
      </c>
      <c r="I258" s="2">
        <v>800</v>
      </c>
      <c r="J258" s="11" t="s">
        <v>507</v>
      </c>
      <c r="K258" s="1"/>
    </row>
    <row r="259" spans="3:11">
      <c r="C259" s="4" t="s">
        <v>515</v>
      </c>
      <c r="D259" s="22">
        <v>26000432</v>
      </c>
      <c r="E259" s="4" t="s">
        <v>67</v>
      </c>
      <c r="F259" s="4" t="s">
        <v>68</v>
      </c>
      <c r="G259" s="4" t="s">
        <v>69</v>
      </c>
      <c r="H259" s="3">
        <v>0.72</v>
      </c>
      <c r="I259" s="2">
        <v>800</v>
      </c>
      <c r="J259" s="11" t="s">
        <v>384</v>
      </c>
      <c r="K259" s="1"/>
    </row>
    <row r="260" spans="3:11">
      <c r="C260" s="4" t="s">
        <v>515</v>
      </c>
      <c r="D260" s="22">
        <v>26000434</v>
      </c>
      <c r="E260" s="4" t="s">
        <v>52</v>
      </c>
      <c r="F260" s="4" t="s">
        <v>53</v>
      </c>
      <c r="G260" s="4" t="s">
        <v>54</v>
      </c>
      <c r="H260" s="3">
        <v>1.177</v>
      </c>
      <c r="I260" s="2">
        <v>500</v>
      </c>
      <c r="J260" s="11" t="s">
        <v>506</v>
      </c>
      <c r="K260" s="1"/>
    </row>
    <row r="261" spans="3:11">
      <c r="C261" s="4" t="s">
        <v>515</v>
      </c>
      <c r="D261" s="22">
        <v>26000434</v>
      </c>
      <c r="E261" s="4" t="s">
        <v>52</v>
      </c>
      <c r="F261" s="4" t="s">
        <v>53</v>
      </c>
      <c r="G261" s="4" t="s">
        <v>54</v>
      </c>
      <c r="H261" s="3">
        <v>1.177</v>
      </c>
      <c r="I261" s="2">
        <v>500</v>
      </c>
      <c r="J261" s="11" t="s">
        <v>510</v>
      </c>
      <c r="K261" s="1"/>
    </row>
    <row r="262" spans="3:11">
      <c r="C262" s="4" t="s">
        <v>515</v>
      </c>
      <c r="D262" s="22">
        <v>26000434</v>
      </c>
      <c r="E262" s="4" t="s">
        <v>52</v>
      </c>
      <c r="F262" s="4" t="s">
        <v>53</v>
      </c>
      <c r="G262" s="4" t="s">
        <v>54</v>
      </c>
      <c r="H262" s="3">
        <v>1.177</v>
      </c>
      <c r="I262" s="2">
        <v>500</v>
      </c>
      <c r="J262" s="11" t="s">
        <v>380</v>
      </c>
      <c r="K262" s="1"/>
    </row>
    <row r="263" spans="3:11">
      <c r="C263" s="4" t="s">
        <v>515</v>
      </c>
      <c r="D263" s="22">
        <v>26000436</v>
      </c>
      <c r="E263" s="4" t="s">
        <v>116</v>
      </c>
      <c r="F263" s="4" t="s">
        <v>117</v>
      </c>
      <c r="G263" s="4" t="s">
        <v>118</v>
      </c>
      <c r="H263" s="3">
        <v>1.1287</v>
      </c>
      <c r="I263" s="2">
        <v>1000</v>
      </c>
      <c r="J263" s="11" t="s">
        <v>510</v>
      </c>
      <c r="K263" s="1"/>
    </row>
    <row r="264" spans="3:11">
      <c r="C264" s="4" t="s">
        <v>515</v>
      </c>
      <c r="D264" s="22">
        <v>26000436</v>
      </c>
      <c r="E264" s="4" t="s">
        <v>116</v>
      </c>
      <c r="F264" s="4" t="s">
        <v>117</v>
      </c>
      <c r="G264" s="4" t="s">
        <v>118</v>
      </c>
      <c r="H264" s="3">
        <v>1.1287</v>
      </c>
      <c r="I264" s="2">
        <v>1000</v>
      </c>
      <c r="J264" s="11" t="s">
        <v>384</v>
      </c>
      <c r="K264" s="1"/>
    </row>
    <row r="265" spans="3:11">
      <c r="C265" s="4" t="s">
        <v>515</v>
      </c>
      <c r="D265" s="22">
        <v>26000437</v>
      </c>
      <c r="E265" s="4" t="s">
        <v>11</v>
      </c>
      <c r="F265" s="4" t="s">
        <v>12</v>
      </c>
      <c r="G265" s="4" t="s">
        <v>13</v>
      </c>
      <c r="H265" s="3">
        <v>1.24</v>
      </c>
      <c r="I265" s="2">
        <v>500</v>
      </c>
      <c r="J265" s="11" t="s">
        <v>402</v>
      </c>
      <c r="K265" s="1"/>
    </row>
    <row r="266" spans="3:11">
      <c r="C266" s="4" t="s">
        <v>515</v>
      </c>
      <c r="D266" s="22">
        <v>26000437</v>
      </c>
      <c r="E266" s="4" t="s">
        <v>11</v>
      </c>
      <c r="F266" s="4" t="s">
        <v>12</v>
      </c>
      <c r="G266" s="4" t="s">
        <v>13</v>
      </c>
      <c r="H266" s="3">
        <v>1.24</v>
      </c>
      <c r="I266" s="2">
        <v>500</v>
      </c>
      <c r="J266" s="11" t="s">
        <v>506</v>
      </c>
      <c r="K266" s="1"/>
    </row>
    <row r="267" spans="3:11">
      <c r="C267" s="4" t="s">
        <v>515</v>
      </c>
      <c r="D267" s="22">
        <v>26000437</v>
      </c>
      <c r="E267" s="4" t="s">
        <v>11</v>
      </c>
      <c r="F267" s="4" t="s">
        <v>12</v>
      </c>
      <c r="G267" s="4" t="s">
        <v>13</v>
      </c>
      <c r="H267" s="3">
        <v>1.24</v>
      </c>
      <c r="I267" s="2">
        <v>500</v>
      </c>
      <c r="J267" s="11" t="s">
        <v>384</v>
      </c>
      <c r="K267" s="1"/>
    </row>
    <row r="268" spans="3:11">
      <c r="C268" s="4" t="s">
        <v>515</v>
      </c>
      <c r="D268" s="22">
        <v>26000438</v>
      </c>
      <c r="E268" s="4" t="s">
        <v>313</v>
      </c>
      <c r="F268" s="4" t="s">
        <v>314</v>
      </c>
      <c r="G268" s="4" t="s">
        <v>315</v>
      </c>
      <c r="H268" s="3">
        <v>2.4</v>
      </c>
      <c r="I268" s="2">
        <v>250</v>
      </c>
      <c r="J268" s="11" t="s">
        <v>510</v>
      </c>
      <c r="K268" s="1"/>
    </row>
    <row r="269" spans="3:11">
      <c r="C269" s="4" t="s">
        <v>515</v>
      </c>
      <c r="D269" s="22">
        <v>26000438</v>
      </c>
      <c r="E269" s="4" t="s">
        <v>313</v>
      </c>
      <c r="F269" s="4" t="s">
        <v>314</v>
      </c>
      <c r="G269" s="4" t="s">
        <v>315</v>
      </c>
      <c r="H269" s="3">
        <v>2.4</v>
      </c>
      <c r="I269" s="2">
        <v>250</v>
      </c>
      <c r="J269" s="11" t="s">
        <v>383</v>
      </c>
      <c r="K269" s="1"/>
    </row>
    <row r="270" spans="3:11">
      <c r="C270" s="4" t="s">
        <v>515</v>
      </c>
      <c r="D270" s="22">
        <v>26000438</v>
      </c>
      <c r="E270" s="4" t="s">
        <v>313</v>
      </c>
      <c r="F270" s="4" t="s">
        <v>314</v>
      </c>
      <c r="G270" s="4" t="s">
        <v>315</v>
      </c>
      <c r="H270" s="3">
        <v>2.4</v>
      </c>
      <c r="I270" s="2">
        <v>250</v>
      </c>
      <c r="J270" s="11" t="s">
        <v>384</v>
      </c>
      <c r="K270" s="1"/>
    </row>
    <row r="271" spans="3:11">
      <c r="C271" s="4" t="s">
        <v>515</v>
      </c>
      <c r="D271" s="22">
        <v>26000440</v>
      </c>
      <c r="E271" s="4" t="s">
        <v>488</v>
      </c>
      <c r="F271" s="4" t="s">
        <v>489</v>
      </c>
      <c r="G271" s="4" t="s">
        <v>490</v>
      </c>
      <c r="H271" s="3">
        <v>2.7</v>
      </c>
      <c r="I271" s="2">
        <v>250</v>
      </c>
      <c r="J271" s="11" t="s">
        <v>507</v>
      </c>
      <c r="K271" s="1"/>
    </row>
    <row r="272" spans="3:11">
      <c r="C272" s="4" t="s">
        <v>515</v>
      </c>
      <c r="D272" s="22">
        <v>26000440</v>
      </c>
      <c r="E272" s="4" t="s">
        <v>488</v>
      </c>
      <c r="F272" s="4" t="s">
        <v>489</v>
      </c>
      <c r="G272" s="4" t="s">
        <v>490</v>
      </c>
      <c r="H272" s="3">
        <v>2.7</v>
      </c>
      <c r="I272" s="2">
        <v>250</v>
      </c>
      <c r="J272" s="11" t="s">
        <v>510</v>
      </c>
      <c r="K272" s="1"/>
    </row>
    <row r="273" spans="3:11">
      <c r="C273" s="4" t="s">
        <v>515</v>
      </c>
      <c r="D273" s="22">
        <v>26000440</v>
      </c>
      <c r="E273" s="4" t="s">
        <v>488</v>
      </c>
      <c r="F273" s="4" t="s">
        <v>489</v>
      </c>
      <c r="G273" s="4" t="s">
        <v>490</v>
      </c>
      <c r="H273" s="3">
        <v>2.7</v>
      </c>
      <c r="I273" s="2">
        <v>250</v>
      </c>
      <c r="J273" s="11" t="s">
        <v>380</v>
      </c>
      <c r="K273" s="1"/>
    </row>
    <row r="274" spans="3:11">
      <c r="C274" s="4" t="s">
        <v>515</v>
      </c>
      <c r="D274" s="22">
        <v>26000440</v>
      </c>
      <c r="E274" s="4" t="s">
        <v>488</v>
      </c>
      <c r="F274" s="4" t="s">
        <v>489</v>
      </c>
      <c r="G274" s="4" t="s">
        <v>490</v>
      </c>
      <c r="H274" s="3">
        <v>2.7</v>
      </c>
      <c r="I274" s="2">
        <v>250</v>
      </c>
      <c r="J274" s="11" t="s">
        <v>384</v>
      </c>
      <c r="K274" s="1"/>
    </row>
    <row r="275" spans="3:11">
      <c r="C275" s="4" t="s">
        <v>515</v>
      </c>
      <c r="D275" s="22">
        <v>26000444</v>
      </c>
      <c r="E275" s="4" t="s">
        <v>191</v>
      </c>
      <c r="F275" s="4" t="s">
        <v>192</v>
      </c>
      <c r="G275" s="4" t="s">
        <v>193</v>
      </c>
      <c r="H275" s="3">
        <v>1.22</v>
      </c>
      <c r="I275" s="2">
        <v>400</v>
      </c>
      <c r="J275" s="11" t="s">
        <v>510</v>
      </c>
      <c r="K275" s="1"/>
    </row>
    <row r="276" spans="3:11">
      <c r="C276" s="4" t="s">
        <v>515</v>
      </c>
      <c r="D276" s="22">
        <v>26000444</v>
      </c>
      <c r="E276" s="4" t="s">
        <v>191</v>
      </c>
      <c r="F276" s="4" t="s">
        <v>192</v>
      </c>
      <c r="G276" s="4" t="s">
        <v>193</v>
      </c>
      <c r="H276" s="3">
        <v>1.22</v>
      </c>
      <c r="I276" s="2">
        <v>400</v>
      </c>
      <c r="J276" s="11" t="s">
        <v>384</v>
      </c>
      <c r="K276" s="1"/>
    </row>
    <row r="277" spans="3:11">
      <c r="C277" s="4" t="s">
        <v>515</v>
      </c>
      <c r="D277" s="22">
        <v>26000444</v>
      </c>
      <c r="E277" s="4" t="s">
        <v>191</v>
      </c>
      <c r="F277" s="4" t="s">
        <v>192</v>
      </c>
      <c r="G277" s="4" t="s">
        <v>193</v>
      </c>
      <c r="H277" s="3">
        <v>1.22</v>
      </c>
      <c r="I277" s="2">
        <v>400</v>
      </c>
      <c r="J277" s="11" t="s">
        <v>382</v>
      </c>
      <c r="K277" s="1"/>
    </row>
    <row r="278" spans="3:11">
      <c r="C278" s="4" t="s">
        <v>515</v>
      </c>
      <c r="D278" s="22">
        <v>26000459</v>
      </c>
      <c r="E278" s="4" t="s">
        <v>491</v>
      </c>
      <c r="F278" s="9" t="s">
        <v>492</v>
      </c>
      <c r="G278" s="9" t="s">
        <v>493</v>
      </c>
      <c r="H278" s="3">
        <v>1.18</v>
      </c>
      <c r="I278" s="2">
        <v>150</v>
      </c>
      <c r="J278" s="11" t="s">
        <v>402</v>
      </c>
      <c r="K278" s="1"/>
    </row>
    <row r="279" spans="3:11">
      <c r="C279" s="4" t="s">
        <v>515</v>
      </c>
      <c r="D279" s="22">
        <v>26000459</v>
      </c>
      <c r="E279" s="4" t="s">
        <v>491</v>
      </c>
      <c r="F279" s="9" t="s">
        <v>492</v>
      </c>
      <c r="G279" s="9" t="s">
        <v>493</v>
      </c>
      <c r="H279" s="3">
        <v>1.18</v>
      </c>
      <c r="I279" s="2">
        <v>150</v>
      </c>
      <c r="J279" s="11" t="s">
        <v>380</v>
      </c>
      <c r="K279" s="1"/>
    </row>
    <row r="280" spans="3:11">
      <c r="C280" s="4" t="s">
        <v>515</v>
      </c>
      <c r="D280" s="22">
        <v>26000459</v>
      </c>
      <c r="E280" s="4" t="s">
        <v>491</v>
      </c>
      <c r="F280" s="9" t="s">
        <v>492</v>
      </c>
      <c r="G280" s="9" t="s">
        <v>493</v>
      </c>
      <c r="H280" s="3">
        <v>1.18</v>
      </c>
      <c r="I280" s="2">
        <v>150</v>
      </c>
      <c r="J280" s="11" t="s">
        <v>382</v>
      </c>
      <c r="K280" s="1"/>
    </row>
    <row r="281" spans="3:11">
      <c r="C281" s="4" t="s">
        <v>515</v>
      </c>
      <c r="D281" s="22">
        <v>26000464</v>
      </c>
      <c r="E281" s="4" t="s">
        <v>494</v>
      </c>
      <c r="F281" s="4" t="s">
        <v>495</v>
      </c>
      <c r="G281" s="4" t="s">
        <v>496</v>
      </c>
      <c r="H281" s="3">
        <v>0.79200000000000004</v>
      </c>
      <c r="I281" s="2">
        <v>200</v>
      </c>
      <c r="J281" s="11" t="s">
        <v>402</v>
      </c>
      <c r="K281" s="1"/>
    </row>
    <row r="282" spans="3:11">
      <c r="C282" s="4" t="s">
        <v>515</v>
      </c>
      <c r="D282" s="22">
        <v>26000465</v>
      </c>
      <c r="E282" s="4" t="s">
        <v>85</v>
      </c>
      <c r="F282" s="4" t="s">
        <v>83</v>
      </c>
      <c r="G282" s="4" t="s">
        <v>84</v>
      </c>
      <c r="H282" s="3">
        <v>6.8</v>
      </c>
      <c r="I282" s="2">
        <v>500</v>
      </c>
      <c r="J282" s="11"/>
      <c r="K282" s="1"/>
    </row>
    <row r="283" spans="3:11">
      <c r="C283" s="4" t="s">
        <v>515</v>
      </c>
      <c r="D283" s="22">
        <v>26000465</v>
      </c>
      <c r="E283" s="4" t="s">
        <v>85</v>
      </c>
      <c r="F283" s="4" t="s">
        <v>83</v>
      </c>
      <c r="G283" s="4" t="s">
        <v>84</v>
      </c>
      <c r="H283" s="3">
        <v>6.8</v>
      </c>
      <c r="I283" s="2">
        <v>500</v>
      </c>
      <c r="J283" s="11"/>
      <c r="K283" s="1"/>
    </row>
    <row r="284" spans="3:11">
      <c r="C284" s="4" t="s">
        <v>515</v>
      </c>
      <c r="D284" s="22">
        <v>26000465</v>
      </c>
      <c r="E284" s="4" t="s">
        <v>85</v>
      </c>
      <c r="F284" s="4" t="s">
        <v>83</v>
      </c>
      <c r="G284" s="4" t="s">
        <v>84</v>
      </c>
      <c r="H284" s="3">
        <v>6.8</v>
      </c>
      <c r="I284" s="2">
        <v>500</v>
      </c>
      <c r="J284" s="11"/>
      <c r="K284" s="1"/>
    </row>
    <row r="285" spans="3:11">
      <c r="C285" s="4" t="s">
        <v>515</v>
      </c>
      <c r="D285" s="22">
        <v>26000472</v>
      </c>
      <c r="E285" s="9" t="s">
        <v>319</v>
      </c>
      <c r="F285" s="9" t="s">
        <v>320</v>
      </c>
      <c r="G285" s="9" t="s">
        <v>321</v>
      </c>
      <c r="H285" s="3">
        <v>6.8</v>
      </c>
      <c r="I285" s="2">
        <v>100</v>
      </c>
      <c r="J285" s="11"/>
      <c r="K285" s="1"/>
    </row>
    <row r="286" spans="3:11">
      <c r="C286" s="4" t="s">
        <v>515</v>
      </c>
      <c r="D286" s="22">
        <v>26000472</v>
      </c>
      <c r="E286" s="9" t="s">
        <v>319</v>
      </c>
      <c r="F286" s="9" t="s">
        <v>320</v>
      </c>
      <c r="G286" s="9" t="s">
        <v>321</v>
      </c>
      <c r="H286" s="3">
        <v>6.8</v>
      </c>
      <c r="I286" s="2">
        <v>100</v>
      </c>
      <c r="J286" s="11"/>
      <c r="K286" s="1"/>
    </row>
    <row r="287" spans="3:11">
      <c r="C287" s="4" t="s">
        <v>515</v>
      </c>
      <c r="D287" s="22">
        <v>26000472</v>
      </c>
      <c r="E287" s="9" t="s">
        <v>319</v>
      </c>
      <c r="F287" s="9" t="s">
        <v>320</v>
      </c>
      <c r="G287" s="9" t="s">
        <v>321</v>
      </c>
      <c r="H287" s="3">
        <v>6.8</v>
      </c>
      <c r="I287" s="2">
        <v>200</v>
      </c>
      <c r="J287" s="11"/>
      <c r="K287" s="1"/>
    </row>
    <row r="288" spans="3:11">
      <c r="C288" s="4" t="s">
        <v>515</v>
      </c>
      <c r="D288" s="22">
        <v>26000483</v>
      </c>
      <c r="E288" s="23" t="s">
        <v>271</v>
      </c>
      <c r="F288" s="4" t="s">
        <v>272</v>
      </c>
      <c r="G288" s="4" t="s">
        <v>273</v>
      </c>
      <c r="H288" s="3">
        <v>0.16800000000000001</v>
      </c>
      <c r="I288" s="2">
        <v>1200</v>
      </c>
      <c r="J288" s="11" t="s">
        <v>506</v>
      </c>
      <c r="K288" s="1"/>
    </row>
    <row r="289" spans="3:11">
      <c r="C289" s="4" t="s">
        <v>515</v>
      </c>
      <c r="D289" s="22">
        <v>26000495</v>
      </c>
      <c r="E289" s="23" t="s">
        <v>512</v>
      </c>
      <c r="F289" s="4" t="s">
        <v>513</v>
      </c>
      <c r="G289" s="4" t="s">
        <v>514</v>
      </c>
      <c r="H289" s="3">
        <v>4.3600000000000003</v>
      </c>
      <c r="I289" s="2">
        <v>450</v>
      </c>
      <c r="J289" s="11" t="s">
        <v>507</v>
      </c>
      <c r="K289" s="1"/>
    </row>
    <row r="290" spans="3:11">
      <c r="C290" s="20"/>
      <c r="D290" s="22"/>
      <c r="E290" s="20"/>
      <c r="F290" s="20"/>
      <c r="G290" s="20"/>
      <c r="H290" s="31"/>
      <c r="I290" s="2"/>
      <c r="J290" s="21"/>
    </row>
    <row r="291" spans="3:11">
      <c r="C291" s="20"/>
      <c r="D291" s="22"/>
      <c r="E291" s="20"/>
      <c r="F291" s="20"/>
      <c r="G291" s="20"/>
      <c r="H291" s="31"/>
      <c r="I291" s="2"/>
      <c r="J291" s="21"/>
    </row>
    <row r="292" spans="3:11">
      <c r="C292" s="20"/>
      <c r="D292" s="22"/>
      <c r="E292" s="20"/>
      <c r="F292" s="20"/>
      <c r="G292" s="20"/>
      <c r="H292" s="31"/>
      <c r="I292" s="2"/>
      <c r="J292" s="21"/>
    </row>
    <row r="293" spans="3:11">
      <c r="C293" s="20"/>
      <c r="D293" s="22"/>
      <c r="E293" s="20"/>
      <c r="F293" s="20"/>
      <c r="G293" s="20"/>
      <c r="H293" s="31"/>
      <c r="I293" s="2"/>
      <c r="J293" s="21"/>
    </row>
    <row r="294" spans="3:11">
      <c r="C294" s="20"/>
      <c r="D294" s="22"/>
      <c r="E294" s="20"/>
      <c r="F294" s="20"/>
      <c r="G294" s="20"/>
      <c r="H294" s="31"/>
      <c r="I294" s="2"/>
      <c r="J294" s="21"/>
    </row>
    <row r="295" spans="3:11">
      <c r="C295" s="20"/>
      <c r="D295" s="22"/>
      <c r="E295" s="20"/>
      <c r="F295" s="20"/>
      <c r="G295" s="20"/>
      <c r="H295" s="31"/>
      <c r="I295" s="2"/>
      <c r="J295" s="21"/>
    </row>
    <row r="296" spans="3:11">
      <c r="C296" s="20"/>
      <c r="D296" s="22"/>
      <c r="E296" s="20"/>
      <c r="F296" s="20"/>
      <c r="G296" s="20"/>
      <c r="H296" s="31"/>
      <c r="I296" s="2"/>
      <c r="J296" s="21"/>
    </row>
    <row r="297" spans="3:11">
      <c r="C297" s="20"/>
      <c r="D297" s="22"/>
      <c r="E297" s="20"/>
      <c r="F297" s="20"/>
      <c r="G297" s="20"/>
      <c r="H297" s="31"/>
      <c r="I297" s="2"/>
      <c r="J297" s="21"/>
    </row>
    <row r="298" spans="3:11">
      <c r="C298" s="20"/>
      <c r="D298" s="22"/>
      <c r="E298" s="20"/>
      <c r="F298" s="20"/>
      <c r="G298" s="20"/>
      <c r="H298" s="31"/>
      <c r="I298" s="2"/>
      <c r="J298" s="21"/>
    </row>
    <row r="299" spans="3:11">
      <c r="C299" s="20"/>
      <c r="D299" s="22"/>
      <c r="E299" s="20"/>
      <c r="F299" s="20"/>
      <c r="G299" s="20"/>
      <c r="H299" s="31"/>
      <c r="I299" s="2"/>
      <c r="J299" s="21"/>
    </row>
    <row r="300" spans="3:11">
      <c r="C300" s="20"/>
      <c r="D300" s="22"/>
      <c r="E300" s="20"/>
      <c r="F300" s="20"/>
      <c r="G300" s="20"/>
      <c r="H300" s="31"/>
      <c r="I300" s="2"/>
      <c r="J300" s="21"/>
    </row>
    <row r="301" spans="3:11">
      <c r="C301" s="20"/>
      <c r="D301" s="22"/>
      <c r="E301" s="20"/>
      <c r="F301" s="20"/>
      <c r="G301" s="20"/>
      <c r="H301" s="31"/>
      <c r="I301" s="2"/>
      <c r="J301" s="21"/>
    </row>
  </sheetData>
  <mergeCells count="11">
    <mergeCell ref="C165:J165"/>
    <mergeCell ref="C134:J134"/>
    <mergeCell ref="C120:J120"/>
    <mergeCell ref="C12:J12"/>
    <mergeCell ref="C31:J31"/>
    <mergeCell ref="C50:J50"/>
    <mergeCell ref="C75:J75"/>
    <mergeCell ref="C86:J86"/>
    <mergeCell ref="C106:J106"/>
    <mergeCell ref="C147:J147"/>
    <mergeCell ref="C149:J149"/>
  </mergeCells>
  <conditionalFormatting sqref="G6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2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5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25" right="0.25" top="0.75" bottom="0.75" header="0.3" footer="0.3"/>
  <pageSetup paperSize="9" scale="1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8"/>
  <sheetViews>
    <sheetView topLeftCell="A3" workbookViewId="0">
      <selection activeCell="C8" sqref="C8"/>
    </sheetView>
  </sheetViews>
  <sheetFormatPr defaultRowHeight="15"/>
  <cols>
    <col min="1" max="1" width="12.42578125" bestFit="1" customWidth="1"/>
    <col min="2" max="2" width="24.7109375" bestFit="1" customWidth="1"/>
    <col min="3" max="3" width="17.7109375" bestFit="1" customWidth="1"/>
    <col min="4" max="4" width="59.85546875" bestFit="1" customWidth="1"/>
    <col min="5" max="5" width="9.5703125" customWidth="1"/>
    <col min="6" max="6" width="11.5703125" bestFit="1" customWidth="1"/>
    <col min="7" max="7" width="13.7109375" bestFit="1" customWidth="1"/>
  </cols>
  <sheetData>
    <row r="1" spans="1:7">
      <c r="A1" s="7"/>
      <c r="E1" s="1"/>
    </row>
    <row r="2" spans="1:7">
      <c r="A2" s="7"/>
      <c r="E2" s="1"/>
    </row>
    <row r="3" spans="1:7">
      <c r="A3" s="7"/>
      <c r="E3" s="1"/>
    </row>
    <row r="4" spans="1:7">
      <c r="A4" s="7"/>
      <c r="E4" s="1"/>
    </row>
    <row r="5" spans="1:7">
      <c r="A5" s="7"/>
      <c r="C5" s="35" t="s">
        <v>243</v>
      </c>
      <c r="D5" s="35"/>
      <c r="E5" s="1"/>
    </row>
    <row r="6" spans="1:7">
      <c r="A6" s="7"/>
      <c r="C6" s="35"/>
      <c r="D6" s="35"/>
      <c r="E6" s="1"/>
    </row>
    <row r="7" spans="1:7">
      <c r="A7" s="7"/>
      <c r="C7" s="36">
        <v>46093</v>
      </c>
      <c r="D7" s="37"/>
      <c r="E7" s="1"/>
    </row>
    <row r="8" spans="1:7">
      <c r="A8" s="7"/>
      <c r="E8" s="1"/>
    </row>
    <row r="9" spans="1:7">
      <c r="A9" s="7"/>
      <c r="E9" s="1"/>
    </row>
    <row r="10" spans="1:7">
      <c r="A10" s="7"/>
      <c r="E10" s="1"/>
    </row>
    <row r="11" spans="1:7">
      <c r="A11" s="15" t="s">
        <v>244</v>
      </c>
      <c r="B11" s="14" t="s">
        <v>1</v>
      </c>
      <c r="C11" s="14" t="s">
        <v>225</v>
      </c>
      <c r="D11" s="14" t="s">
        <v>2</v>
      </c>
      <c r="E11" s="16" t="s">
        <v>3</v>
      </c>
      <c r="F11" s="14" t="s">
        <v>4</v>
      </c>
      <c r="G11" s="14" t="s">
        <v>246</v>
      </c>
    </row>
    <row r="12" spans="1:7">
      <c r="A12" s="22">
        <v>26000495</v>
      </c>
      <c r="B12" s="23" t="s">
        <v>512</v>
      </c>
      <c r="C12" s="4" t="s">
        <v>513</v>
      </c>
      <c r="D12" s="4" t="s">
        <v>514</v>
      </c>
      <c r="E12" s="3">
        <v>4.3600000000000003</v>
      </c>
      <c r="F12" s="2">
        <v>450</v>
      </c>
      <c r="G12" s="18">
        <f>F12*E12</f>
        <v>1962.0000000000002</v>
      </c>
    </row>
    <row r="13" spans="1:7">
      <c r="A13" s="22"/>
      <c r="B13" s="4"/>
      <c r="C13" s="4"/>
      <c r="D13" s="4"/>
      <c r="E13" s="3"/>
      <c r="F13" s="2"/>
      <c r="G13" s="18">
        <f t="shared" ref="G13:G27" si="0">F13*E13</f>
        <v>0</v>
      </c>
    </row>
    <row r="14" spans="1:7">
      <c r="A14" s="22"/>
      <c r="B14" s="4"/>
      <c r="C14" s="28"/>
      <c r="D14" s="4"/>
      <c r="E14" s="3"/>
      <c r="F14" s="2"/>
      <c r="G14" s="18">
        <f t="shared" si="0"/>
        <v>0</v>
      </c>
    </row>
    <row r="15" spans="1:7">
      <c r="A15" s="22"/>
      <c r="B15" s="23"/>
      <c r="C15" s="4"/>
      <c r="D15" s="4"/>
      <c r="E15" s="3"/>
      <c r="F15" s="2"/>
      <c r="G15" s="18">
        <f t="shared" si="0"/>
        <v>0</v>
      </c>
    </row>
    <row r="16" spans="1:7">
      <c r="A16" s="22"/>
      <c r="B16" s="23"/>
      <c r="C16" s="4"/>
      <c r="D16" s="4"/>
      <c r="E16" s="3"/>
      <c r="F16" s="2"/>
      <c r="G16" s="18">
        <f t="shared" si="0"/>
        <v>0</v>
      </c>
    </row>
    <row r="17" spans="1:7">
      <c r="A17" s="22"/>
      <c r="B17" s="23"/>
      <c r="C17" s="4"/>
      <c r="D17" s="4"/>
      <c r="E17" s="3"/>
      <c r="F17" s="2"/>
      <c r="G17" s="18">
        <f t="shared" si="0"/>
        <v>0</v>
      </c>
    </row>
    <row r="18" spans="1:7">
      <c r="A18" s="8"/>
      <c r="B18" s="4"/>
      <c r="C18" s="4"/>
      <c r="D18" s="4"/>
      <c r="E18" s="3"/>
      <c r="F18" s="2"/>
      <c r="G18" s="18">
        <f t="shared" si="0"/>
        <v>0</v>
      </c>
    </row>
    <row r="19" spans="1:7">
      <c r="A19" s="8"/>
      <c r="B19" s="4"/>
      <c r="C19" s="4"/>
      <c r="D19" s="4"/>
      <c r="E19" s="3"/>
      <c r="F19" s="2"/>
      <c r="G19" s="18">
        <f t="shared" si="0"/>
        <v>0</v>
      </c>
    </row>
    <row r="20" spans="1:7">
      <c r="A20" s="8"/>
      <c r="B20" s="4"/>
      <c r="C20" s="4"/>
      <c r="D20" s="4"/>
      <c r="E20" s="3"/>
      <c r="F20" s="2"/>
      <c r="G20" s="18">
        <f t="shared" si="0"/>
        <v>0</v>
      </c>
    </row>
    <row r="21" spans="1:7">
      <c r="A21" s="8"/>
      <c r="B21" s="4"/>
      <c r="C21" s="4"/>
      <c r="D21" s="4"/>
      <c r="E21" s="3"/>
      <c r="F21" s="2"/>
      <c r="G21" s="18">
        <f t="shared" si="0"/>
        <v>0</v>
      </c>
    </row>
    <row r="22" spans="1:7">
      <c r="A22" s="8"/>
      <c r="B22" s="4"/>
      <c r="C22" s="4"/>
      <c r="D22" s="4"/>
      <c r="E22" s="3"/>
      <c r="F22" s="2"/>
      <c r="G22" s="18">
        <f t="shared" si="0"/>
        <v>0</v>
      </c>
    </row>
    <row r="23" spans="1:7">
      <c r="A23" s="8"/>
      <c r="B23" s="4"/>
      <c r="C23" s="4"/>
      <c r="D23" s="4"/>
      <c r="E23" s="3"/>
      <c r="F23" s="2"/>
      <c r="G23" s="18">
        <f t="shared" si="0"/>
        <v>0</v>
      </c>
    </row>
    <row r="24" spans="1:7">
      <c r="A24" s="8"/>
      <c r="B24" s="4"/>
      <c r="C24" s="4"/>
      <c r="D24" s="4"/>
      <c r="E24" s="3"/>
      <c r="F24" s="2"/>
      <c r="G24" s="18">
        <f t="shared" si="0"/>
        <v>0</v>
      </c>
    </row>
    <row r="25" spans="1:7">
      <c r="A25" s="8"/>
      <c r="B25" s="4"/>
      <c r="C25" s="4"/>
      <c r="D25" s="4"/>
      <c r="E25" s="3"/>
      <c r="F25" s="2"/>
      <c r="G25" s="18">
        <f t="shared" si="0"/>
        <v>0</v>
      </c>
    </row>
    <row r="26" spans="1:7">
      <c r="A26" s="8"/>
      <c r="B26" s="4"/>
      <c r="C26" s="4"/>
      <c r="D26" s="4"/>
      <c r="E26" s="3"/>
      <c r="F26" s="2"/>
      <c r="G26" s="18">
        <f t="shared" si="0"/>
        <v>0</v>
      </c>
    </row>
    <row r="27" spans="1:7">
      <c r="A27" s="8"/>
      <c r="B27" s="4"/>
      <c r="C27" s="4"/>
      <c r="D27" s="4"/>
      <c r="E27" s="3"/>
      <c r="F27" s="2"/>
      <c r="G27" s="18">
        <f t="shared" si="0"/>
        <v>0</v>
      </c>
    </row>
    <row r="28" spans="1:7">
      <c r="F28" s="17" t="s">
        <v>245</v>
      </c>
      <c r="G28" s="18">
        <f>SUM(G12:G27)</f>
        <v>1962.0000000000002</v>
      </c>
    </row>
  </sheetData>
  <mergeCells count="2">
    <mergeCell ref="C5:D6"/>
    <mergeCell ref="C7:D7"/>
  </mergeCells>
  <pageMargins left="0.7" right="0.7" top="0.75" bottom="0.75" header="0.3" footer="0.3"/>
  <pageSetup paperSize="9" scale="88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MAHMUT ALHAS</dc:creator>
  <cp:lastModifiedBy>Mahmut ALHAS</cp:lastModifiedBy>
  <cp:lastPrinted>2026-03-15T13:29:58Z</cp:lastPrinted>
  <dcterms:created xsi:type="dcterms:W3CDTF">2017-11-14T11:36:38Z</dcterms:created>
  <dcterms:modified xsi:type="dcterms:W3CDTF">2026-03-16T07:23:39Z</dcterms:modified>
</cp:coreProperties>
</file>