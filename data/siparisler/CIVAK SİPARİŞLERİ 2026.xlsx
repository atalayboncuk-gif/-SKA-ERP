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İHRACAT\SİPARİŞLER\2026\"/>
    </mc:Choice>
  </mc:AlternateContent>
  <xr:revisionPtr revIDLastSave="0" documentId="13_ncr:1_{3542D31B-AD5E-449C-BFD5-ADB996779B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İptaller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3" i="1" l="1"/>
  <c r="M404" i="1"/>
  <c r="M405" i="1"/>
  <c r="M406" i="1"/>
  <c r="M408" i="1"/>
  <c r="M391" i="1"/>
  <c r="M392" i="1"/>
  <c r="M393" i="1"/>
  <c r="M394" i="1"/>
  <c r="M395" i="1"/>
  <c r="M396" i="1"/>
  <c r="M397" i="1"/>
  <c r="M401" i="1"/>
  <c r="M376" i="1"/>
  <c r="M377" i="1"/>
  <c r="M378" i="1"/>
  <c r="M379" i="1"/>
  <c r="M380" i="1"/>
  <c r="M381" i="1"/>
  <c r="M382" i="1"/>
  <c r="M383" i="1"/>
  <c r="M384" i="1"/>
  <c r="K257" i="1"/>
  <c r="K255" i="1"/>
  <c r="K251" i="1"/>
  <c r="K241" i="1"/>
  <c r="K22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31" i="1"/>
  <c r="M342" i="1" l="1"/>
  <c r="M343" i="1"/>
  <c r="M344" i="1"/>
  <c r="M345" i="1"/>
  <c r="M346" i="1"/>
  <c r="M347" i="1"/>
  <c r="M348" i="1"/>
  <c r="M369" i="1"/>
  <c r="M370" i="1"/>
  <c r="M371" i="1"/>
  <c r="M372" i="1"/>
  <c r="M373" i="1"/>
  <c r="M374" i="1"/>
  <c r="M375" i="1"/>
  <c r="M389" i="1"/>
  <c r="M390" i="1"/>
  <c r="M416" i="1"/>
  <c r="M417" i="1"/>
  <c r="M418" i="1"/>
  <c r="M419" i="1"/>
  <c r="M420" i="1"/>
  <c r="M421" i="1"/>
  <c r="M422" i="1"/>
  <c r="M423" i="1"/>
  <c r="M424" i="1"/>
  <c r="M425" i="1"/>
  <c r="M426" i="1"/>
  <c r="M428" i="1"/>
  <c r="M429" i="1"/>
  <c r="M430" i="1"/>
  <c r="M365" i="1" l="1"/>
  <c r="M366" i="1"/>
  <c r="M367" i="1"/>
  <c r="M368" i="1"/>
  <c r="M337" i="1"/>
  <c r="M338" i="1"/>
  <c r="M339" i="1"/>
  <c r="M340" i="1"/>
  <c r="M341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215" i="1"/>
  <c r="K207" i="1"/>
  <c r="K204" i="1"/>
  <c r="M411" i="1"/>
  <c r="M412" i="1"/>
  <c r="M413" i="1"/>
  <c r="M414" i="1"/>
  <c r="M415" i="1"/>
  <c r="M409" i="1"/>
  <c r="M410" i="1"/>
  <c r="K315" i="1"/>
  <c r="K202" i="1"/>
  <c r="K195" i="1"/>
  <c r="K193" i="1"/>
  <c r="K191" i="1"/>
  <c r="K190" i="1"/>
  <c r="K170" i="1"/>
  <c r="K184" i="1"/>
  <c r="M332" i="1"/>
  <c r="M333" i="1"/>
  <c r="M334" i="1"/>
  <c r="M335" i="1"/>
  <c r="M336" i="1"/>
  <c r="M330" i="1" l="1"/>
  <c r="M331" i="1"/>
  <c r="M323" i="1"/>
  <c r="M324" i="1"/>
  <c r="M325" i="1"/>
  <c r="M326" i="1"/>
  <c r="M327" i="1"/>
  <c r="M328" i="1"/>
  <c r="M329" i="1"/>
  <c r="M320" i="1"/>
  <c r="M321" i="1"/>
  <c r="M322" i="1"/>
  <c r="M317" i="1"/>
  <c r="M318" i="1"/>
  <c r="M319" i="1"/>
  <c r="M277" i="1"/>
  <c r="M278" i="1"/>
  <c r="M279" i="1"/>
  <c r="M280" i="1"/>
  <c r="M388" i="1"/>
  <c r="M312" i="1"/>
  <c r="M313" i="1"/>
  <c r="M314" i="1"/>
  <c r="M315" i="1"/>
  <c r="M316" i="1"/>
  <c r="M297" i="1"/>
  <c r="M298" i="1"/>
  <c r="M299" i="1"/>
  <c r="M300" i="1"/>
  <c r="M301" i="1"/>
  <c r="M293" i="1"/>
  <c r="M294" i="1"/>
  <c r="M295" i="1"/>
  <c r="M296" i="1"/>
  <c r="M303" i="1"/>
  <c r="M304" i="1"/>
  <c r="M305" i="1"/>
  <c r="M306" i="1"/>
  <c r="M307" i="1"/>
  <c r="M308" i="1"/>
  <c r="M309" i="1"/>
  <c r="M310" i="1"/>
  <c r="M311" i="1"/>
  <c r="M386" i="1"/>
  <c r="M387" i="1"/>
  <c r="K159" i="1" l="1"/>
  <c r="K158" i="1"/>
  <c r="K185" i="1"/>
  <c r="K153" i="1"/>
  <c r="M289" i="1" l="1"/>
  <c r="M290" i="1"/>
  <c r="M291" i="1"/>
  <c r="M292" i="1"/>
  <c r="M276" i="1" l="1"/>
  <c r="M287" i="1"/>
  <c r="M288" i="1"/>
  <c r="M275" i="1"/>
  <c r="M286" i="1"/>
  <c r="M283" i="1"/>
  <c r="M284" i="1"/>
  <c r="M285" i="1"/>
  <c r="M274" i="1"/>
  <c r="M273" i="1" l="1"/>
  <c r="K161" i="1" l="1"/>
  <c r="K148" i="1"/>
  <c r="M269" i="1" l="1"/>
  <c r="M270" i="1"/>
  <c r="M271" i="1"/>
  <c r="M272" i="1"/>
  <c r="M268" i="1" l="1"/>
  <c r="M267" i="1" l="1"/>
  <c r="M264" i="1"/>
  <c r="K149" i="1"/>
  <c r="K129" i="1"/>
  <c r="M248" i="1" l="1"/>
  <c r="M249" i="1"/>
  <c r="M250" i="1"/>
  <c r="M266" i="1"/>
  <c r="M282" i="1"/>
  <c r="M256" i="1"/>
  <c r="M257" i="1"/>
  <c r="M258" i="1"/>
  <c r="M259" i="1"/>
  <c r="M260" i="1"/>
  <c r="M261" i="1"/>
  <c r="M262" i="1"/>
  <c r="M263" i="1"/>
  <c r="K120" i="1" l="1"/>
  <c r="K92" i="1"/>
  <c r="M252" i="1" l="1"/>
  <c r="M253" i="1"/>
  <c r="M254" i="1"/>
  <c r="M255" i="1"/>
  <c r="M246" i="1" l="1"/>
  <c r="M247" i="1"/>
  <c r="M251" i="1"/>
  <c r="M245" i="1" l="1"/>
  <c r="M244" i="1" l="1"/>
  <c r="M239" i="1"/>
  <c r="M240" i="1"/>
  <c r="M241" i="1"/>
  <c r="M242" i="1"/>
  <c r="M243" i="1"/>
  <c r="M234" i="1" l="1"/>
  <c r="M235" i="1"/>
  <c r="M236" i="1"/>
  <c r="M237" i="1"/>
  <c r="M238" i="1"/>
  <c r="M233" i="1" l="1"/>
  <c r="M228" i="1" l="1"/>
  <c r="M229" i="1"/>
  <c r="M230" i="1"/>
  <c r="M231" i="1"/>
  <c r="M232" i="1"/>
  <c r="K118" i="1" l="1"/>
  <c r="K83" i="1"/>
  <c r="K79" i="1"/>
  <c r="K75" i="1"/>
  <c r="K72" i="1"/>
  <c r="K70" i="1"/>
  <c r="K64" i="1"/>
  <c r="K63" i="1"/>
  <c r="M226" i="1" l="1"/>
  <c r="M227" i="1"/>
  <c r="K28" i="1" l="1"/>
  <c r="K61" i="1"/>
  <c r="K56" i="1"/>
  <c r="K55" i="1"/>
  <c r="K54" i="1"/>
  <c r="M224" i="1" l="1"/>
  <c r="M225" i="1"/>
  <c r="M219" i="1" l="1"/>
  <c r="M220" i="1"/>
  <c r="M221" i="1"/>
  <c r="M222" i="1"/>
  <c r="M223" i="1"/>
  <c r="M216" i="1" l="1"/>
  <c r="M217" i="1"/>
  <c r="M218" i="1"/>
  <c r="K81" i="1" l="1"/>
</calcChain>
</file>

<file path=xl/sharedStrings.xml><?xml version="1.0" encoding="utf-8"?>
<sst xmlns="http://schemas.openxmlformats.org/spreadsheetml/2006/main" count="2165" uniqueCount="1078">
  <si>
    <t>NETSIS</t>
  </si>
  <si>
    <t xml:space="preserve">İSKA KODU </t>
  </si>
  <si>
    <t xml:space="preserve">ÜRÜN AÇILIMI </t>
  </si>
  <si>
    <t xml:space="preserve">FİYAT </t>
  </si>
  <si>
    <t>ADET</t>
  </si>
  <si>
    <t>NOTLAR</t>
  </si>
  <si>
    <t xml:space="preserve">Sevkiyat Tarihi </t>
  </si>
  <si>
    <t xml:space="preserve">Müşteri Adı </t>
  </si>
  <si>
    <t>CIVAK</t>
  </si>
  <si>
    <t>Müşteri Sip. Kodu</t>
  </si>
  <si>
    <t xml:space="preserve">A-NR-55-WH-30*15-M8*20-M8*20 </t>
  </si>
  <si>
    <t>T3931</t>
  </si>
  <si>
    <t>A VE D TİPİ İSE TEKNİK RESİME GEREK YOK. SOMUNSUZSA</t>
  </si>
  <si>
    <t>2025-102795</t>
  </si>
  <si>
    <t>504 adetlik paketler halinde</t>
  </si>
  <si>
    <t>D-NR-55-WH-20*15-M4*10</t>
  </si>
  <si>
    <t>125 adetlik poşetler halinde</t>
  </si>
  <si>
    <t xml:space="preserve">A-NR-55-WH-25*10-M6*18-M6*18 </t>
  </si>
  <si>
    <t>T4707</t>
  </si>
  <si>
    <t>2025-102882</t>
  </si>
  <si>
    <t>2025-102897</t>
  </si>
  <si>
    <t>KD-NR-55-WH-20*17-M5*18</t>
  </si>
  <si>
    <t>T4818</t>
  </si>
  <si>
    <t>T3243</t>
  </si>
  <si>
    <t>T2619</t>
  </si>
  <si>
    <t>B-NR-55-WH-30*25-M8*23-M8*8</t>
  </si>
  <si>
    <t>T4821</t>
  </si>
  <si>
    <t>AT-NR-35-WH-30*20*40-M8*23-M8*14</t>
  </si>
  <si>
    <t xml:space="preserve">A-NR-55-WH-30*15-M8*15-M8*23 </t>
  </si>
  <si>
    <t>T4828</t>
  </si>
  <si>
    <t>T4831</t>
  </si>
  <si>
    <t>A-NR-70-WH-30*40-M8*16-M8*16</t>
  </si>
  <si>
    <t xml:space="preserve">D-NR-55-WH-30*17-M8*20 </t>
  </si>
  <si>
    <t xml:space="preserve">D-NR-60-WH-30*17-M8*20 </t>
  </si>
  <si>
    <t>T3375</t>
  </si>
  <si>
    <t>T2912</t>
  </si>
  <si>
    <t>Hamur Max. 45 Shore olacak / Numune Gidecek</t>
  </si>
  <si>
    <t>TERMİN BEKLENİYOR</t>
  </si>
  <si>
    <t>C-NR-70-WH-30*25-M8*8-M8*8</t>
  </si>
  <si>
    <t>2025-102996</t>
  </si>
  <si>
    <t xml:space="preserve">Müş. Kodu </t>
  </si>
  <si>
    <t>E-NR-55-WH-20*12-M6</t>
  </si>
  <si>
    <t>T4882</t>
  </si>
  <si>
    <t>T2324</t>
  </si>
  <si>
    <t>T4884</t>
  </si>
  <si>
    <t>D-NR-45-WH-20*20-M6*18</t>
  </si>
  <si>
    <t>A-NR-55-WH-25*20-M6*18-M6*18</t>
  </si>
  <si>
    <t>D-NR-55-WH-30*17-M8*23</t>
  </si>
  <si>
    <t>T4838</t>
  </si>
  <si>
    <t>T2237</t>
  </si>
  <si>
    <t>T3214</t>
  </si>
  <si>
    <t>B-NR-55-WH-30*30-M8*20-M8*8-CLOSED</t>
  </si>
  <si>
    <t>D-NR-55-WH-30*10-M8*20</t>
  </si>
  <si>
    <t>A-NR-55-WH-30*30-M8*23-M8*23</t>
  </si>
  <si>
    <t>B-NR-70-WH-25*15-M6*18-M6*6-AISI 304-OPEN</t>
  </si>
  <si>
    <t>T4899</t>
  </si>
  <si>
    <t>B-NR-55-WH-20*15-M6*18-M6*6</t>
  </si>
  <si>
    <t>B-NR-55-WH-40*40-M8*23-M8*8</t>
  </si>
  <si>
    <t>T3483</t>
  </si>
  <si>
    <t>T2896</t>
  </si>
  <si>
    <t>T2422</t>
  </si>
  <si>
    <t>B-NR-55-WH-20*25-M6*18-M6*6</t>
  </si>
  <si>
    <t>T4901</t>
  </si>
  <si>
    <t>IHR-0656</t>
  </si>
  <si>
    <t>T4894</t>
  </si>
  <si>
    <t xml:space="preserve">D-NR-55-WH-15*13-M4*12 </t>
  </si>
  <si>
    <t>2025-103083</t>
  </si>
  <si>
    <t xml:space="preserve">A-NR-55-WH-20*15-M6*18-M6*12 </t>
  </si>
  <si>
    <t xml:space="preserve">DP-NBR-55-WH-30*36-M8*20 </t>
  </si>
  <si>
    <t xml:space="preserve">A-NR-55-WH-50*30-M10*26-M10*22 </t>
  </si>
  <si>
    <t xml:space="preserve">A-NR-55-WH-15*15-M5*8-M5*8 </t>
  </si>
  <si>
    <t>KD-NR-80-WH-25*17-M6*25</t>
  </si>
  <si>
    <t>T4850</t>
  </si>
  <si>
    <t>DP-NR-70-WH-32*36-M8*50</t>
  </si>
  <si>
    <t>T4837</t>
  </si>
  <si>
    <t>T4844</t>
  </si>
  <si>
    <t>T4846</t>
  </si>
  <si>
    <t>T4849</t>
  </si>
  <si>
    <t>D-NR-55-WH-30*15-M8*30</t>
  </si>
  <si>
    <t xml:space="preserve">D-NR-55-WH-20*15-M6*18-AISI 304 </t>
  </si>
  <si>
    <t>T4891</t>
  </si>
  <si>
    <t>T4853</t>
  </si>
  <si>
    <t>T4851</t>
  </si>
  <si>
    <t>T4848</t>
  </si>
  <si>
    <t>baskı diye bir not eklemiş</t>
  </si>
  <si>
    <t>IHR-0676</t>
  </si>
  <si>
    <t>T4886</t>
  </si>
  <si>
    <t>B-NR-55-WH-20*15-M6*10-M6*6-CLOSED</t>
  </si>
  <si>
    <t>T4921</t>
  </si>
  <si>
    <t>T4919</t>
  </si>
  <si>
    <t>T4918</t>
  </si>
  <si>
    <t>T4915</t>
  </si>
  <si>
    <t>T4914</t>
  </si>
  <si>
    <t>T4912</t>
  </si>
  <si>
    <t>B-NR-55-WH-15*15-M4*6-M4*4-CLOSED</t>
  </si>
  <si>
    <t>T3202</t>
  </si>
  <si>
    <t>T2941</t>
  </si>
  <si>
    <t>B-NR-55-WH-25*15-M6*18-M6*6-CLOSED</t>
  </si>
  <si>
    <t>T4859</t>
  </si>
  <si>
    <t>A-NR-55-WH-30*15-M8*12-M8*12</t>
  </si>
  <si>
    <t>T4880</t>
  </si>
  <si>
    <t>D-NR-55-WH-20*10-M6*8</t>
  </si>
  <si>
    <t>T4887</t>
  </si>
  <si>
    <t>CT-NR-55-WH-20*16*15-M6*6-M6*6-OPEN</t>
  </si>
  <si>
    <t xml:space="preserve">B-NR-55-WH-30*20-M8*20-M8 </t>
  </si>
  <si>
    <t xml:space="preserve">A-NR-35-WH-25*20-M6*20-M6*15 </t>
  </si>
  <si>
    <t>T4865</t>
  </si>
  <si>
    <t>D-NR-55-WH-25*17-M6*23</t>
  </si>
  <si>
    <t>T2187</t>
  </si>
  <si>
    <t xml:space="preserve">D-NR-55-WH-30*20-M8*23 </t>
  </si>
  <si>
    <t>T4925</t>
  </si>
  <si>
    <t>AT-NR-55-WH-30*25*20-M8*23-M8*23</t>
  </si>
  <si>
    <t xml:space="preserve">D-NR-55-WH-20*20-M6*18 </t>
  </si>
  <si>
    <t>T4929</t>
  </si>
  <si>
    <t>T2950</t>
  </si>
  <si>
    <t>IHR-0721</t>
  </si>
  <si>
    <t>15.01.2026 SEVKİYATI</t>
  </si>
  <si>
    <t>2025-103221</t>
  </si>
  <si>
    <t>T2413</t>
  </si>
  <si>
    <t>T4941</t>
  </si>
  <si>
    <t>T4943</t>
  </si>
  <si>
    <t>T4944</t>
  </si>
  <si>
    <t>2025-103256</t>
  </si>
  <si>
    <t>A-NR-55-WH-30*15-M8*23-M8*23</t>
  </si>
  <si>
    <t>T4947</t>
  </si>
  <si>
    <t>C-NR-65-WH-30*20-M8*8,2-M8*8,2-OPEN</t>
  </si>
  <si>
    <t>2025-103309</t>
  </si>
  <si>
    <t>T4956</t>
  </si>
  <si>
    <t>T4957</t>
  </si>
  <si>
    <t>IHR-0767</t>
  </si>
  <si>
    <t>T2726</t>
  </si>
  <si>
    <t>IHR-0768</t>
  </si>
  <si>
    <t>2025-103326</t>
  </si>
  <si>
    <t>numune  11.11.</t>
  </si>
  <si>
    <t>2025-103386</t>
  </si>
  <si>
    <t>2025-103389</t>
  </si>
  <si>
    <t xml:space="preserve">B-NR-55-WH-10*15-M4*12-M4 </t>
  </si>
  <si>
    <t xml:space="preserve">E-NR-55-WH-50*25-M10*10 </t>
  </si>
  <si>
    <t xml:space="preserve">B-NR-60-WH-30*20-M8*20-M8*8 </t>
  </si>
  <si>
    <t>2025-103394</t>
  </si>
  <si>
    <t xml:space="preserve">BT-NR-45-WH-20*16*15-M6*18-M6 </t>
  </si>
  <si>
    <t>2025-103393</t>
  </si>
  <si>
    <t>A-NR-55-WH-30*30-M8*20-M8*20</t>
  </si>
  <si>
    <t>2025-103392</t>
  </si>
  <si>
    <t xml:space="preserve">B-NR-55-WH-8*8-M3*6-M3*4,5 </t>
  </si>
  <si>
    <t xml:space="preserve">DP-NR-55-WH-20*24-M6*10 </t>
  </si>
  <si>
    <t>T2362</t>
  </si>
  <si>
    <t>T4965</t>
  </si>
  <si>
    <t>T4964</t>
  </si>
  <si>
    <t>T2905</t>
  </si>
  <si>
    <t>T4966</t>
  </si>
  <si>
    <t>T4967</t>
  </si>
  <si>
    <t>2025-103427</t>
  </si>
  <si>
    <t xml:space="preserve">B-NR-40-WH-25*15-M6*18-M6 </t>
  </si>
  <si>
    <t>2025-103426</t>
  </si>
  <si>
    <t xml:space="preserve">B-NR-60-WH-50*40-M10*28-M10 </t>
  </si>
  <si>
    <t>2025-103425</t>
  </si>
  <si>
    <t>2025-103424</t>
  </si>
  <si>
    <t xml:space="preserve">D-NR-55-WH-20*30-M6*18 </t>
  </si>
  <si>
    <t>2025-103422</t>
  </si>
  <si>
    <t xml:space="preserve">B-NBR-55-WH-20*15-M6*15-M6 </t>
  </si>
  <si>
    <t>2025-103414</t>
  </si>
  <si>
    <t>D-NR-55-WH-25*15-M6*18</t>
  </si>
  <si>
    <t>D-NR-55-WH-20*10-M6*18</t>
  </si>
  <si>
    <t>D-NR-55-WH-20*15-M6*18</t>
  </si>
  <si>
    <t>E-NR-55-WH-25*20-M6</t>
  </si>
  <si>
    <t>2025-103412</t>
  </si>
  <si>
    <t>A-NR-55-WH-20*8-M6*15-M6*15</t>
  </si>
  <si>
    <t>B-NR-55-WH-15*10-M4*10-M4-AISI 304</t>
  </si>
  <si>
    <t>DP-NR-55-WH-20*15-M8*18</t>
  </si>
  <si>
    <t>IHR-0790</t>
  </si>
  <si>
    <t>Sipariş 30.000 adettir. 5000 adedi 04.12.'de gidecek</t>
  </si>
  <si>
    <t>IHR-0791</t>
  </si>
  <si>
    <t>IHR-0798</t>
  </si>
  <si>
    <t>T4971</t>
  </si>
  <si>
    <t>IHR-0799</t>
  </si>
  <si>
    <t>2025-103431</t>
  </si>
  <si>
    <t xml:space="preserve">B-EPDM-45-WH-15*15-M5*12-M5*5 </t>
  </si>
  <si>
    <t>2025-103442</t>
  </si>
  <si>
    <t>A-NR-55-WH-15*15-M5*12-M5*12</t>
  </si>
  <si>
    <t>A-NBR-50-WH-15*30-M4*12-M4*12</t>
  </si>
  <si>
    <t>B-NR-40-WH-15*15-M5*12-M5*5</t>
  </si>
  <si>
    <t>D-NBR-55-WH-30*15-M8*23</t>
  </si>
  <si>
    <t>D-NR-55-WH-30*15-M8*18</t>
  </si>
  <si>
    <t>E-NR-55-WH-30*20-M8</t>
  </si>
  <si>
    <t>2025-103453</t>
  </si>
  <si>
    <t xml:space="preserve">E-NR-55-WH-08*08-M3-Açık </t>
  </si>
  <si>
    <t xml:space="preserve">B-NR-55-WH-40*30-M8*20-M8*8 </t>
  </si>
  <si>
    <t>2025-103462</t>
  </si>
  <si>
    <t>T3026</t>
  </si>
  <si>
    <t>2025-103464</t>
  </si>
  <si>
    <t>2025-103466</t>
  </si>
  <si>
    <t>D-NR-55-WH-25*20-M6*18-AISI 304</t>
  </si>
  <si>
    <t>D-NR-55-WH-30*30-M8*23-AISI 304</t>
  </si>
  <si>
    <t>D-NR-55-WH-25*10-M6*18</t>
  </si>
  <si>
    <t xml:space="preserve">A-NR-55-WH-25*10-M6*12-M6*12 </t>
  </si>
  <si>
    <t>2025-103467</t>
  </si>
  <si>
    <t xml:space="preserve">D-NR-50-WH-25*25-M6*10 </t>
  </si>
  <si>
    <t>2025-103468</t>
  </si>
  <si>
    <t xml:space="preserve">A-NR-55-WH-50*20-M8*25-M8*25 </t>
  </si>
  <si>
    <t>2025-103469</t>
  </si>
  <si>
    <t>2025-103476</t>
  </si>
  <si>
    <t>2025-103477</t>
  </si>
  <si>
    <t>T4980</t>
  </si>
  <si>
    <t>T4981</t>
  </si>
  <si>
    <t>T4972</t>
  </si>
  <si>
    <t>T2018</t>
  </si>
  <si>
    <t>T4336</t>
  </si>
  <si>
    <t>T4973</t>
  </si>
  <si>
    <t> T2425</t>
  </si>
  <si>
    <t> T3529</t>
  </si>
  <si>
    <t> T3530</t>
  </si>
  <si>
    <t> T0530</t>
  </si>
  <si>
    <t> T4974</t>
  </si>
  <si>
    <t> T4975</t>
  </si>
  <si>
    <t> T4976</t>
  </si>
  <si>
    <t>IHR-0803</t>
  </si>
  <si>
    <t>IHR-0804</t>
  </si>
  <si>
    <t>IHR-0805</t>
  </si>
  <si>
    <t>2025-103482</t>
  </si>
  <si>
    <t>2025-103486</t>
  </si>
  <si>
    <t>2025-103496</t>
  </si>
  <si>
    <t>2025-103500</t>
  </si>
  <si>
    <r>
      <t>D-NR-55-WH-10*08-M4*</t>
    </r>
    <r>
      <rPr>
        <b/>
        <sz val="11"/>
        <color theme="1"/>
        <rFont val="Bookman Old Style"/>
        <family val="1"/>
        <charset val="162"/>
      </rPr>
      <t>10</t>
    </r>
  </si>
  <si>
    <t>E-NR-55-WH-25*30-M6*6-CLOSED</t>
  </si>
  <si>
    <t>D-NR-55-WH-25*8-M6*18</t>
  </si>
  <si>
    <t>T4496</t>
  </si>
  <si>
    <t>T0533</t>
  </si>
  <si>
    <t>T4982</t>
  </si>
  <si>
    <t>T4983</t>
  </si>
  <si>
    <t>T3531</t>
  </si>
  <si>
    <t>A-NR-55-WH-25*15-M8*20-M8*20</t>
  </si>
  <si>
    <t>T4388</t>
  </si>
  <si>
    <t>T4992</t>
  </si>
  <si>
    <t>KD-NR-55-WH-25*17-M6*18</t>
  </si>
  <si>
    <t>T4991</t>
  </si>
  <si>
    <t>T4979</t>
  </si>
  <si>
    <t>IHR-0812</t>
  </si>
  <si>
    <t>T4993</t>
  </si>
  <si>
    <t>T4994</t>
  </si>
  <si>
    <t>IHR-0813</t>
  </si>
  <si>
    <t>IHR-0814</t>
  </si>
  <si>
    <t>İPTAL</t>
  </si>
  <si>
    <t>T4995</t>
  </si>
  <si>
    <t>T4996</t>
  </si>
  <si>
    <t>T4997</t>
  </si>
  <si>
    <t>T4998</t>
  </si>
  <si>
    <t>T4999</t>
  </si>
  <si>
    <t>T0535</t>
  </si>
  <si>
    <t>IHR-0815</t>
  </si>
  <si>
    <t>T5000</t>
  </si>
  <si>
    <t>IHR-0819</t>
  </si>
  <si>
    <t>IHR-0820</t>
  </si>
  <si>
    <t>IHR-0821</t>
  </si>
  <si>
    <t>IHR-0822</t>
  </si>
  <si>
    <t>IHR-0823</t>
  </si>
  <si>
    <t>IHR-0824</t>
  </si>
  <si>
    <t>IHR-0825</t>
  </si>
  <si>
    <t>IHR-0826</t>
  </si>
  <si>
    <t xml:space="preserve">C-NR-55-WH-25*15-M6-M6-Open </t>
  </si>
  <si>
    <t>2025-103520</t>
  </si>
  <si>
    <t xml:space="preserve">C-NR-60-WH-30*40-M8*8-M8*8 </t>
  </si>
  <si>
    <t>2025-103521</t>
  </si>
  <si>
    <t>100'er adet paketlenecek</t>
  </si>
  <si>
    <t xml:space="preserve">C-NR-45-WH-40*40-M8*8-M8*8 </t>
  </si>
  <si>
    <t>2025-103526</t>
  </si>
  <si>
    <t>T3370</t>
  </si>
  <si>
    <t xml:space="preserve">B-NR-55-WH-25*30-M6*18-M6*6 </t>
  </si>
  <si>
    <t>T5005</t>
  </si>
  <si>
    <t>B-NR-55-WH-15*17-M4*13-M4*4</t>
  </si>
  <si>
    <t>T1641</t>
  </si>
  <si>
    <t>T5003</t>
  </si>
  <si>
    <t>IHR-0840</t>
  </si>
  <si>
    <t>IHR-0841</t>
  </si>
  <si>
    <t>IHR-0842</t>
  </si>
  <si>
    <t>T3059</t>
  </si>
  <si>
    <t>IHR-0843</t>
  </si>
  <si>
    <t>IHR-0844</t>
  </si>
  <si>
    <t>IHR-0845</t>
  </si>
  <si>
    <t>IHR-0846</t>
  </si>
  <si>
    <t>2025-103566</t>
  </si>
  <si>
    <t>IHR-0852</t>
  </si>
  <si>
    <t>BEKLE</t>
  </si>
  <si>
    <t>IHR-0853</t>
  </si>
  <si>
    <t>IHR-0855</t>
  </si>
  <si>
    <t>IHR-0856</t>
  </si>
  <si>
    <t> T4977</t>
  </si>
  <si>
    <t>CT-NR-55-WH-15*15-M4*4-M4*4</t>
  </si>
  <si>
    <t>2025-103025</t>
  </si>
  <si>
    <t>T4840</t>
  </si>
  <si>
    <t>A-NR-55-WH-30*20-M8*20-M8*11</t>
  </si>
  <si>
    <t>2025-103599</t>
  </si>
  <si>
    <t>2025-103600</t>
  </si>
  <si>
    <t xml:space="preserve">B-NR-55-WH-25*20-M6*18-M6 </t>
  </si>
  <si>
    <t>T3061</t>
  </si>
  <si>
    <t>2025-103623</t>
  </si>
  <si>
    <t xml:space="preserve">DP-NR-55-WH-30*36-M8*8 </t>
  </si>
  <si>
    <t>2025-103627</t>
  </si>
  <si>
    <t>T5013</t>
  </si>
  <si>
    <t>2025-103634</t>
  </si>
  <si>
    <t>IHR-0865</t>
  </si>
  <si>
    <t>2025-103635</t>
  </si>
  <si>
    <t xml:space="preserve">D-NR-65-WH-16*04-M4*10 </t>
  </si>
  <si>
    <t>2025-103638</t>
  </si>
  <si>
    <t>IHR-0868</t>
  </si>
  <si>
    <t>IHR-0869</t>
  </si>
  <si>
    <t>IHR-0875</t>
  </si>
  <si>
    <t>T5022</t>
  </si>
  <si>
    <t>IHR-0879</t>
  </si>
  <si>
    <t>2025-103644</t>
  </si>
  <si>
    <t>IHR-0883</t>
  </si>
  <si>
    <t>T5025</t>
  </si>
  <si>
    <t>D-NR-55-WH-8*8-M3*6-OTOMAT CIVATA</t>
  </si>
  <si>
    <t>IHR-0885</t>
  </si>
  <si>
    <t>IHR-0886</t>
  </si>
  <si>
    <t xml:space="preserve">Insert cost for  D-NR-65-WH-16*04-M4*10 </t>
  </si>
  <si>
    <t>--</t>
  </si>
  <si>
    <t>IHR-0887</t>
  </si>
  <si>
    <t>Numune Gidecek</t>
  </si>
  <si>
    <t>2025-103659</t>
  </si>
  <si>
    <t>A-NR-55-WH-40*30-M8*23-M8*23</t>
  </si>
  <si>
    <t>2025-103667</t>
  </si>
  <si>
    <t>T2940</t>
  </si>
  <si>
    <t>2025-103681</t>
  </si>
  <si>
    <t>IHR-0893</t>
  </si>
  <si>
    <t>IHR-0897</t>
  </si>
  <si>
    <t>2025-103699</t>
  </si>
  <si>
    <t xml:space="preserve">D-NR-65-WH-18*7,5-M6*16 </t>
  </si>
  <si>
    <t>T5031</t>
  </si>
  <si>
    <t>2025-103700</t>
  </si>
  <si>
    <t>D-NR-55-WH-50*60-M10*25</t>
  </si>
  <si>
    <t>T5032</t>
  </si>
  <si>
    <t>2025-103702</t>
  </si>
  <si>
    <t>T5033</t>
  </si>
  <si>
    <t>2025-103705</t>
  </si>
  <si>
    <t>T5034</t>
  </si>
  <si>
    <t>2025-103710</t>
  </si>
  <si>
    <t>2025-103712</t>
  </si>
  <si>
    <t>2025-103717</t>
  </si>
  <si>
    <t>T5035</t>
  </si>
  <si>
    <t>B-NR-55-WH-25*15-M6*12-M6*6</t>
  </si>
  <si>
    <t>Müşteriden bilgi bekleniyor / 1000 adetlik poşetler halinde</t>
  </si>
  <si>
    <t>13x14.5 mm, EPDM 75° Shore A, AG  M6x27.5 mm, 8.8</t>
  </si>
  <si>
    <t>29.01.2026 SEVKİYATI</t>
  </si>
  <si>
    <t>IHR-0908</t>
  </si>
  <si>
    <t>IHR-0909</t>
  </si>
  <si>
    <t>IHR-0910</t>
  </si>
  <si>
    <r>
      <t>A-NR-</t>
    </r>
    <r>
      <rPr>
        <b/>
        <sz val="11"/>
        <color theme="1"/>
        <rFont val="Bookman Old Style"/>
        <family val="1"/>
        <charset val="162"/>
      </rPr>
      <t>35</t>
    </r>
    <r>
      <rPr>
        <sz val="11"/>
        <color theme="1"/>
        <rFont val="Bookman Old Style"/>
        <family val="1"/>
        <charset val="162"/>
      </rPr>
      <t>-WH-30*40-M8*12-M8*14</t>
    </r>
  </si>
  <si>
    <t>IHR-0911</t>
  </si>
  <si>
    <t>IHR-0912</t>
  </si>
  <si>
    <t>IHR-0913</t>
  </si>
  <si>
    <t>IHR-0914</t>
  </si>
  <si>
    <t>2025-103725</t>
  </si>
  <si>
    <t>D-NR-55-WH-30*15-M8*20</t>
  </si>
  <si>
    <t>T3079</t>
  </si>
  <si>
    <t>2025-103727</t>
  </si>
  <si>
    <t>200811/100</t>
  </si>
  <si>
    <t>500 adet halinde</t>
  </si>
  <si>
    <t>2025-103729</t>
  </si>
  <si>
    <t>2025-103728</t>
  </si>
  <si>
    <t xml:space="preserve">A-NR-55-WH-25*10-M6*20-M6*20 </t>
  </si>
  <si>
    <t>T5037</t>
  </si>
  <si>
    <t>T3946</t>
  </si>
  <si>
    <t>2025-103744</t>
  </si>
  <si>
    <t>2025-103751</t>
  </si>
  <si>
    <t xml:space="preserve">A-NR-55-WH-20*08-M6*10-M6*10 </t>
  </si>
  <si>
    <t>IHR-0920</t>
  </si>
  <si>
    <t>IHR-0921</t>
  </si>
  <si>
    <t>IHR-0922</t>
  </si>
  <si>
    <t>IHR-0923</t>
  </si>
  <si>
    <t>T5038</t>
  </si>
  <si>
    <t>IHR-0924</t>
  </si>
  <si>
    <t>IHR-0925</t>
  </si>
  <si>
    <t>2025-103766</t>
  </si>
  <si>
    <t xml:space="preserve">A-NR-35-WH-25*25-M8*12-M8*12 </t>
  </si>
  <si>
    <t>2025-103772</t>
  </si>
  <si>
    <t>2025-103777</t>
  </si>
  <si>
    <r>
      <rPr>
        <b/>
        <sz val="11"/>
        <color rgb="FFFF0000"/>
        <rFont val="Bookman Old Style"/>
        <family val="1"/>
        <charset val="162"/>
      </rPr>
      <t>BEKLE</t>
    </r>
    <r>
      <rPr>
        <sz val="11"/>
        <color theme="1"/>
        <rFont val="Bookman Old Style"/>
        <family val="1"/>
        <charset val="162"/>
      </rPr>
      <t xml:space="preserve">    D-NR-60-WH-25*20-M6*12-GRİ- lekelemez</t>
    </r>
  </si>
  <si>
    <r>
      <rPr>
        <b/>
        <sz val="11"/>
        <color rgb="FFFF0000"/>
        <rFont val="Bookman Old Style"/>
        <family val="1"/>
        <charset val="162"/>
      </rPr>
      <t xml:space="preserve">BEKLE </t>
    </r>
    <r>
      <rPr>
        <sz val="11"/>
        <color theme="1"/>
        <rFont val="Bookman Old Style"/>
        <family val="1"/>
        <charset val="162"/>
      </rPr>
      <t xml:space="preserve">       D-NR-55-WH-30*10-M8*20-GRİ</t>
    </r>
  </si>
  <si>
    <r>
      <rPr>
        <b/>
        <sz val="11"/>
        <color rgb="FFFF0000"/>
        <rFont val="Bookman Old Style"/>
        <family val="1"/>
        <charset val="162"/>
      </rPr>
      <t>BEKLE</t>
    </r>
    <r>
      <rPr>
        <sz val="11"/>
        <color theme="1"/>
        <rFont val="Bookman Old Style"/>
        <family val="1"/>
        <charset val="162"/>
      </rPr>
      <t xml:space="preserve">     DS-NBR-45-WH-15*14-M4*8-RAL 9002-LEKELEMEZ</t>
    </r>
  </si>
  <si>
    <r>
      <rPr>
        <b/>
        <sz val="11"/>
        <color rgb="FFFF0000"/>
        <rFont val="Bookman Old Style"/>
        <family val="1"/>
        <charset val="162"/>
      </rPr>
      <t>BEKLE</t>
    </r>
    <r>
      <rPr>
        <sz val="11"/>
        <color theme="1"/>
        <rFont val="Bookman Old Style"/>
        <family val="1"/>
        <charset val="162"/>
      </rPr>
      <t xml:space="preserve">              KD-NR-65-WH-30*15-M8*38-GRİ</t>
    </r>
  </si>
  <si>
    <r>
      <rPr>
        <b/>
        <sz val="11"/>
        <color rgb="FFFF0000"/>
        <rFont val="Bookman Old Style"/>
        <family val="1"/>
        <charset val="162"/>
      </rPr>
      <t xml:space="preserve">    BEKLE</t>
    </r>
    <r>
      <rPr>
        <sz val="11"/>
        <color theme="1"/>
        <rFont val="Bookman Old Style"/>
        <family val="1"/>
        <charset val="162"/>
      </rPr>
      <t xml:space="preserve">     D-NR-60-WH-15*6-M4*12-GRİ-Ral 7035</t>
    </r>
  </si>
  <si>
    <t>2025-103782</t>
  </si>
  <si>
    <t>2025-103788</t>
  </si>
  <si>
    <t xml:space="preserve">A-NR-55-WH-25*10-M8*15-M8*15 </t>
  </si>
  <si>
    <t>2025-103789</t>
  </si>
  <si>
    <t>2025-103790</t>
  </si>
  <si>
    <t xml:space="preserve">A-NR-45-WH-30*20-M8*23-M8*23-AISI 304 </t>
  </si>
  <si>
    <t>T5041</t>
  </si>
  <si>
    <t>T4308</t>
  </si>
  <si>
    <t>C-NR-45-WH-20*20-M6*6-M6*6</t>
  </si>
  <si>
    <t>T5042</t>
  </si>
  <si>
    <t>2025-103797</t>
  </si>
  <si>
    <t>IHR-0938</t>
  </si>
  <si>
    <t>IHR-0939</t>
  </si>
  <si>
    <t>IHR-0940</t>
  </si>
  <si>
    <t>IHR-0941</t>
  </si>
  <si>
    <t>IHR-0943</t>
  </si>
  <si>
    <t>IHR-0944</t>
  </si>
  <si>
    <t>IHR-0945</t>
  </si>
  <si>
    <t>IHR-0946</t>
  </si>
  <si>
    <t>2025-103807</t>
  </si>
  <si>
    <t>2025-103810</t>
  </si>
  <si>
    <t>T5044</t>
  </si>
  <si>
    <t xml:space="preserve">A-NR-43-WH-20*15-M6*10-M6*10 </t>
  </si>
  <si>
    <t>2025-103814</t>
  </si>
  <si>
    <t>2025-103831</t>
  </si>
  <si>
    <t>T5047</t>
  </si>
  <si>
    <t>2025-103839</t>
  </si>
  <si>
    <t xml:space="preserve">B-NR-55-WH-30*20-M8*23-M8 </t>
  </si>
  <si>
    <t>T2504</t>
  </si>
  <si>
    <t>C-NR-75-WH-100*75-M16*16-M16*16</t>
  </si>
  <si>
    <t>2025-103842</t>
  </si>
  <si>
    <t>IHR-0951</t>
  </si>
  <si>
    <t>IHR-0952</t>
  </si>
  <si>
    <t>2025-103865</t>
  </si>
  <si>
    <t>T5049</t>
  </si>
  <si>
    <t>2025-103872</t>
  </si>
  <si>
    <t>2025-103873</t>
  </si>
  <si>
    <t>2025-103875</t>
  </si>
  <si>
    <t>2025-103895</t>
  </si>
  <si>
    <t>IHR-0955</t>
  </si>
  <si>
    <t>2025-103900</t>
  </si>
  <si>
    <t>IHR-0957</t>
  </si>
  <si>
    <t>IHR-0958</t>
  </si>
  <si>
    <t>IHR-0959</t>
  </si>
  <si>
    <t>2025-103904</t>
  </si>
  <si>
    <t>2025-103911</t>
  </si>
  <si>
    <t>2025-103917</t>
  </si>
  <si>
    <t>T3622</t>
  </si>
  <si>
    <t>B-NR-50-WH-30*20-M8*20-M8</t>
  </si>
  <si>
    <t>12.02.2026 SEVKİYATI</t>
  </si>
  <si>
    <t>IHR-0965</t>
  </si>
  <si>
    <t>IHR-0966</t>
  </si>
  <si>
    <t>IHR-0967</t>
  </si>
  <si>
    <t>IHR-0968</t>
  </si>
  <si>
    <t>IHR-0970</t>
  </si>
  <si>
    <t>2025-103951</t>
  </si>
  <si>
    <t>IHR-0971</t>
  </si>
  <si>
    <t>IHR-0972</t>
  </si>
  <si>
    <t>IHR-0973</t>
  </si>
  <si>
    <t>IHR-0974</t>
  </si>
  <si>
    <t>2025-103974</t>
  </si>
  <si>
    <t>POS</t>
  </si>
  <si>
    <t>2025-104010</t>
  </si>
  <si>
    <t xml:space="preserve">A-NR-70-WH-10*10-M4*8-M4*4 </t>
  </si>
  <si>
    <t>T5058</t>
  </si>
  <si>
    <t>IHR-0986</t>
  </si>
  <si>
    <t>2025-104029</t>
  </si>
  <si>
    <t>IHR-0992</t>
  </si>
  <si>
    <t>IHR-0993</t>
  </si>
  <si>
    <t>IHR-0994</t>
  </si>
  <si>
    <t>2025-104043</t>
  </si>
  <si>
    <t>2025-104060</t>
  </si>
  <si>
    <t xml:space="preserve">A-NR-40-WH-30*30-M8*20-M8*20 </t>
  </si>
  <si>
    <t>IHR-1000</t>
  </si>
  <si>
    <t>2025-104072</t>
  </si>
  <si>
    <t>2025-104077</t>
  </si>
  <si>
    <t>2025-104078</t>
  </si>
  <si>
    <t xml:space="preserve">B-NR-45-WH-25*20-M6*15-M6 </t>
  </si>
  <si>
    <t>2025-104079</t>
  </si>
  <si>
    <t xml:space="preserve">B-NBR-55-WH-25*15-M6*18-M6 </t>
  </si>
  <si>
    <t>2025-104080</t>
  </si>
  <si>
    <t>2025-104081</t>
  </si>
  <si>
    <t>2025-104082</t>
  </si>
  <si>
    <t>IHR-1011</t>
  </si>
  <si>
    <t>IHR-1012</t>
  </si>
  <si>
    <t>T5063</t>
  </si>
  <si>
    <t>IHR-1013</t>
  </si>
  <si>
    <t>2025-104093</t>
  </si>
  <si>
    <t>A-NR-45-WH-25*20-M6*12-M6*10</t>
  </si>
  <si>
    <t>T5066</t>
  </si>
  <si>
    <t>T5065</t>
  </si>
  <si>
    <t>T5068</t>
  </si>
  <si>
    <t>IHR-1017</t>
  </si>
  <si>
    <t>MUTLAKA GİTMELİDİR</t>
  </si>
  <si>
    <t>2025-104113</t>
  </si>
  <si>
    <t>2025-104117</t>
  </si>
  <si>
    <t>"Metalde yazı" diye not eklenmiş,</t>
  </si>
  <si>
    <t>2025-104120</t>
  </si>
  <si>
    <t>250 adetlik poşetler halinde</t>
  </si>
  <si>
    <t>IHR-1020</t>
  </si>
  <si>
    <t>IHR-1021</t>
  </si>
  <si>
    <t>IHR-1022</t>
  </si>
  <si>
    <t>IHR-1023</t>
  </si>
  <si>
    <t>IHR-1024</t>
  </si>
  <si>
    <t>IHR-1025</t>
  </si>
  <si>
    <t>2025-104145</t>
  </si>
  <si>
    <t>T5069</t>
  </si>
  <si>
    <t>GM PUFFER-EPDM-50-WH-Ø24*22*Ø15</t>
  </si>
  <si>
    <t>D-NR-55-WH-25*30-M6*18</t>
  </si>
  <si>
    <t>T2104</t>
  </si>
  <si>
    <t>IHR-1044</t>
  </si>
  <si>
    <t>IHR-1045</t>
  </si>
  <si>
    <t>26.02.2026 SEVKİYATI</t>
  </si>
  <si>
    <t>2025-104202</t>
  </si>
  <si>
    <t>2025-104203</t>
  </si>
  <si>
    <t>Kalıp Cilas'tan gelecek. Birim fiyat sadece bu 5.000 için geçerli</t>
  </si>
  <si>
    <t>2025-104134</t>
  </si>
  <si>
    <t>T5075</t>
  </si>
  <si>
    <t>B-NR-55-WH-6*7-M3*3,5-M3*4-OPEN</t>
  </si>
  <si>
    <t>2025-104215</t>
  </si>
  <si>
    <t>IHR-1052</t>
  </si>
  <si>
    <t>2025-104223</t>
  </si>
  <si>
    <t>2025-104232</t>
  </si>
  <si>
    <t>T5077</t>
  </si>
  <si>
    <t>2025-104244</t>
  </si>
  <si>
    <t>2025-104253</t>
  </si>
  <si>
    <t>2025-104257</t>
  </si>
  <si>
    <t>IHR-1061</t>
  </si>
  <si>
    <t>IHR-1062</t>
  </si>
  <si>
    <t>IHR-1063</t>
  </si>
  <si>
    <t>IHR-1064</t>
  </si>
  <si>
    <t>IHR-1065</t>
  </si>
  <si>
    <t>05.02.2025 SEVKİYATI</t>
  </si>
  <si>
    <t>IHR-1066</t>
  </si>
  <si>
    <t>C-NR-45-WH-10*20-M4-M4-Pirinç</t>
  </si>
  <si>
    <t>T5078</t>
  </si>
  <si>
    <t>A-NR-30-WH-30*40-M8*25-M8*25</t>
  </si>
  <si>
    <t>IHR-1069</t>
  </si>
  <si>
    <t>IHR-1070</t>
  </si>
  <si>
    <t>IHR-1071</t>
  </si>
  <si>
    <t>IHR-1072</t>
  </si>
  <si>
    <t>sipariş adedi 50 idi. 42 adedi 25.12'de gitti</t>
  </si>
  <si>
    <t>sipariş adedi 5000 idi. 4750 adedi 25.12'de gitti</t>
  </si>
  <si>
    <t>sipariş adedi 5000 idi. 3000 adedi 25.12'de gitti</t>
  </si>
  <si>
    <t>hiç gitmedi</t>
  </si>
  <si>
    <t>sipariş adedi 1000 idi. 600 adedi 25.12'de gitti</t>
  </si>
  <si>
    <t>Sipariş adedi 6000 idi. 25.12'de 2550 gitti. Kalan miktar 3450</t>
  </si>
  <si>
    <t>C-NR-55-WH-20*20-M6*6-M6*6-OPEN-AISI 304-special</t>
  </si>
  <si>
    <t>B-NR-60-WH-15*15-M4*8-M4*4-CLOSED-special bolt - not electrical conductor</t>
  </si>
  <si>
    <t>B-NR-40-WH-15*15-M4*8-M4*4-CLOSED-special bolt - not electrical conductor</t>
  </si>
  <si>
    <t>B-NR-40-WH-200*100-M20*50-M20-AISI 304-welded</t>
  </si>
  <si>
    <t>B-NR-60-WH-15*15-M4*8-M4*4-special bolt - not electrical conductor</t>
  </si>
  <si>
    <t>A-NR-55-WH-30*25-M8*23-M8*23-AISI 304-welded</t>
  </si>
  <si>
    <t>B-NR-45-WH-15*30-M4*8-M4*4-CLOSED-special bolt</t>
  </si>
  <si>
    <r>
      <t>D-NR-55-WH-30*8-M8*13-AISI 304-</t>
    </r>
    <r>
      <rPr>
        <sz val="11"/>
        <rFont val="Bookman Old Style"/>
        <family val="1"/>
        <charset val="162"/>
      </rPr>
      <t>welded</t>
    </r>
  </si>
  <si>
    <t>B-NR-40-WH-100*75-M16*41-M16-AISI 304-welded</t>
  </si>
  <si>
    <t>B-NR-40-WH-150*75-M16*43-M16-AISI 304-welded</t>
  </si>
  <si>
    <t>2026-100007</t>
  </si>
  <si>
    <t>2026-100057</t>
  </si>
  <si>
    <t>bu fiyat sadece bu tek seferlik 1500 adet içindir.</t>
  </si>
  <si>
    <t>T4928</t>
  </si>
  <si>
    <t xml:space="preserve">D-NR-55-WH-25*13-M6*18 </t>
  </si>
  <si>
    <t>T4864</t>
  </si>
  <si>
    <t>D-NR-55-WH-10*10-M4*10-AISI 304</t>
  </si>
  <si>
    <t>Mutlaka gitmelidir</t>
  </si>
  <si>
    <t>IHR-003</t>
  </si>
  <si>
    <t>IHR-004</t>
  </si>
  <si>
    <t>T5085</t>
  </si>
  <si>
    <t>B-NR-55-WH-30*15-M8*20-M8-OPEN</t>
  </si>
  <si>
    <t>T5084</t>
  </si>
  <si>
    <t>D-NR-55-WH-12,5*13,5-M5*10</t>
  </si>
  <si>
    <t>2026-100065</t>
  </si>
  <si>
    <t>2026-100081</t>
  </si>
  <si>
    <t>T3512</t>
  </si>
  <si>
    <t xml:space="preserve">C-NR-55-WH-08*08-M3-M3 </t>
  </si>
  <si>
    <t>2026-100105</t>
  </si>
  <si>
    <t>2026-100106</t>
  </si>
  <si>
    <t>2026-100121</t>
  </si>
  <si>
    <t>2026-100124</t>
  </si>
  <si>
    <t>C-NR-55-WH-60*40-M10*10-M10*10</t>
  </si>
  <si>
    <t>T5087</t>
  </si>
  <si>
    <t>B-NR-55-WH-15*10-M4*12-M4*4-OPEN</t>
  </si>
  <si>
    <t>2026-100137</t>
  </si>
  <si>
    <t>T4704</t>
  </si>
  <si>
    <t>B-NR-55-WH-25*20-M6*18-M6*6-OPEN-AISI 304</t>
  </si>
  <si>
    <t>IHR-012</t>
  </si>
  <si>
    <t>IHR-013</t>
  </si>
  <si>
    <t>2026-100143</t>
  </si>
  <si>
    <t>2026-100144</t>
  </si>
  <si>
    <t>IHR-017</t>
  </si>
  <si>
    <t>2026-100141</t>
  </si>
  <si>
    <t>T5088</t>
  </si>
  <si>
    <t>A-NR-57-WH-25*10-M8*12-M8*18-Fe//ZnNİ8-16</t>
  </si>
  <si>
    <t>T4845</t>
  </si>
  <si>
    <t>D-NR-55-WH-30*20-M8*20-Fe//ZnNİ8-16</t>
  </si>
  <si>
    <t>IHR-018</t>
  </si>
  <si>
    <t>IHR-019</t>
  </si>
  <si>
    <t>2026-100180</t>
  </si>
  <si>
    <t>T3125</t>
  </si>
  <si>
    <t xml:space="preserve">D-NR-55-WH-25*28-M6*18 </t>
  </si>
  <si>
    <t>22.01.2026 SEVKİYATI</t>
  </si>
  <si>
    <t>sipariş adedi 2800 idi. 1165 adedi 15.01.'de gitti</t>
  </si>
  <si>
    <t>sipariş adedi 25.000 idi. 23260 adedi 15.01.'de gitti</t>
  </si>
  <si>
    <t>sipariş adedi 1000 idi. 950 adedi 15.01.'de gitti</t>
  </si>
  <si>
    <t>sipariş adedi 4500 idi. 3940 adedi 15.01.'de gitti</t>
  </si>
  <si>
    <t>sipariş adedi 5000 idi. 2166 adedi 15.01.'de gitti</t>
  </si>
  <si>
    <t>sipariş adedi 4000 idi. 3750 adedi 15.01.'de gitti</t>
  </si>
  <si>
    <t>sipariş adedi 20.000 idi. 8215 adedi 15.01.'de gitti</t>
  </si>
  <si>
    <t>sipariş adedi 2500 idi. 1660 adedi 15.01.'de gitti</t>
  </si>
  <si>
    <t>2026-100190</t>
  </si>
  <si>
    <t>2026-100195</t>
  </si>
  <si>
    <t>2026-100196</t>
  </si>
  <si>
    <t xml:space="preserve">D-NR-70-WH-25*28-M6*18 </t>
  </si>
  <si>
    <t>T5089</t>
  </si>
  <si>
    <t>T5090</t>
  </si>
  <si>
    <t>2026-100206</t>
  </si>
  <si>
    <t>2026-100208</t>
  </si>
  <si>
    <t>2026-100213</t>
  </si>
  <si>
    <t>2026-100214</t>
  </si>
  <si>
    <t xml:space="preserve">A-NBR-60-WH-30*30-M8*23-M8*23 </t>
  </si>
  <si>
    <t>T0534</t>
  </si>
  <si>
    <t>E-NR-55-WH-30*15-M8*8-CLOSED</t>
  </si>
  <si>
    <t>2026-100215</t>
  </si>
  <si>
    <t xml:space="preserve">A-NR-70-WH-25*30-M6*18-M6*18 </t>
  </si>
  <si>
    <t>T4917</t>
  </si>
  <si>
    <t>T0342</t>
  </si>
  <si>
    <t>T5093</t>
  </si>
  <si>
    <t>IHR-033</t>
  </si>
  <si>
    <t>IHR-034</t>
  </si>
  <si>
    <r>
      <t>A-NR-68-WH-30*20-M8*20-M8*1</t>
    </r>
    <r>
      <rPr>
        <b/>
        <sz val="11"/>
        <rFont val="Bookman Old Style"/>
        <family val="1"/>
        <charset val="162"/>
      </rPr>
      <t xml:space="preserve">5 </t>
    </r>
  </si>
  <si>
    <t>IHR-038</t>
  </si>
  <si>
    <t>IHR-039</t>
  </si>
  <si>
    <t>IHR-040</t>
  </si>
  <si>
    <t>IHR-041</t>
  </si>
  <si>
    <t>IHR-042</t>
  </si>
  <si>
    <t>IHR-043</t>
  </si>
  <si>
    <t>IHR-044</t>
  </si>
  <si>
    <t>2026-100223</t>
  </si>
  <si>
    <t>T4854</t>
  </si>
  <si>
    <t>D-NR-68-WH-20*15-M6*18</t>
  </si>
  <si>
    <t>T5092</t>
  </si>
  <si>
    <t>Elektrik iletmeyen, özel cıvata</t>
  </si>
  <si>
    <t xml:space="preserve">B-NR-60-WH-15*10-M4*8-M4*4 </t>
  </si>
  <si>
    <t>T5094</t>
  </si>
  <si>
    <t>KD-NR-55-WH-15*10-M4*10</t>
  </si>
  <si>
    <t>IHR-048</t>
  </si>
  <si>
    <t>2026-100235</t>
  </si>
  <si>
    <t xml:space="preserve">E-NR-55-WH-20*15-M6 </t>
  </si>
  <si>
    <t>2026-100239</t>
  </si>
  <si>
    <t>2026-100253</t>
  </si>
  <si>
    <t xml:space="preserve">B-NR-75-WH-25*15-M6*12-M6*6 </t>
  </si>
  <si>
    <t>T0524</t>
  </si>
  <si>
    <t>T5096</t>
  </si>
  <si>
    <t>IHR-050</t>
  </si>
  <si>
    <t>2026-100254</t>
  </si>
  <si>
    <t xml:space="preserve">D-NR-55-WH-18*7,5-M6*16-ZnNi </t>
  </si>
  <si>
    <t>kaplamaya dikkat</t>
  </si>
  <si>
    <t>IHR-051</t>
  </si>
  <si>
    <t>IHR-052</t>
  </si>
  <si>
    <t>12.03.2026 SEVKİYATI</t>
  </si>
  <si>
    <t>IHR-053</t>
  </si>
  <si>
    <t>IHR-054</t>
  </si>
  <si>
    <t>2026-100261</t>
  </si>
  <si>
    <t>T3156</t>
  </si>
  <si>
    <t>A-NR-55-WH-20*20-M6*18-M6*18</t>
  </si>
  <si>
    <t>IHR-055</t>
  </si>
  <si>
    <t>IHR-056</t>
  </si>
  <si>
    <t>IHR-057</t>
  </si>
  <si>
    <t>IHR-058</t>
  </si>
  <si>
    <t>T5098</t>
  </si>
  <si>
    <t>2026-100262</t>
  </si>
  <si>
    <t>2026-100264</t>
  </si>
  <si>
    <t xml:space="preserve">B-NR-55-WH-20*25-M6*18-M6 </t>
  </si>
  <si>
    <t>2026-100267</t>
  </si>
  <si>
    <t>T4867</t>
  </si>
  <si>
    <t>B-NR-55-WH-25*15-M6*10-M6*6-CLOSED</t>
  </si>
  <si>
    <t>2026-100268</t>
  </si>
  <si>
    <t>2026-100269</t>
  </si>
  <si>
    <t>çıkan yollanacak. Sipariş adedi 15.000 idi. 3000 gitti</t>
  </si>
  <si>
    <t>125 adetlik poşetler halinde / MUTLAKA GİTMELİDİR / sipariş 15.000, 3000 adedi 22.01.'de gitti</t>
  </si>
  <si>
    <t>Sipariş adedi 16.000 idi. 4500 adet gitti</t>
  </si>
  <si>
    <t>C-NR-45-WH-10*20-M4-M4-Brass</t>
  </si>
  <si>
    <t>Pirinç / Sipariş adedi 16.000 idi. 4500 adet 22.01.'de gitti</t>
  </si>
  <si>
    <t>2026-100286</t>
  </si>
  <si>
    <t xml:space="preserve">A-NR-60-WH-25*20-M6*16-M6*16 </t>
  </si>
  <si>
    <t>2026-100290</t>
  </si>
  <si>
    <t>T5100</t>
  </si>
  <si>
    <t>2026-100296</t>
  </si>
  <si>
    <t>T4898</t>
  </si>
  <si>
    <t>B-NR-65-WH-30*30-M8*10-M8*8-OPEN</t>
  </si>
  <si>
    <t>2026-100309</t>
  </si>
  <si>
    <t xml:space="preserve">B-NR-80-WH-50*50-M10*28-M10 </t>
  </si>
  <si>
    <t>IHR-063</t>
  </si>
  <si>
    <t>IHR-064</t>
  </si>
  <si>
    <t>IHR-065</t>
  </si>
  <si>
    <t>T5102</t>
  </si>
  <si>
    <t>2026-100313</t>
  </si>
  <si>
    <t>IHR-070</t>
  </si>
  <si>
    <t>IHR-069</t>
  </si>
  <si>
    <t>T5103</t>
  </si>
  <si>
    <t>C-NR-55-WH-30*20-M8*8,5-M8*8,5-OPEN-DÜBEL PİMLİ-YUVALI</t>
  </si>
  <si>
    <t>2026-100326</t>
  </si>
  <si>
    <t>IHR-071</t>
  </si>
  <si>
    <t>IHR-072</t>
  </si>
  <si>
    <t>09.04.2026 SEVKİYATI</t>
  </si>
  <si>
    <t>IHR-073</t>
  </si>
  <si>
    <t>26.03.2026 SEVKİYATI</t>
  </si>
  <si>
    <t>IHR-074</t>
  </si>
  <si>
    <t>Müşteri kalıbını kendisi gönderdi.</t>
  </si>
  <si>
    <t>2026-100288</t>
  </si>
  <si>
    <t>30X17 D (M8X21-NK 75 SH)</t>
  </si>
  <si>
    <t>IHR-076</t>
  </si>
  <si>
    <t>IHR-077</t>
  </si>
  <si>
    <t>IHR-078</t>
  </si>
  <si>
    <t>IHR-080</t>
  </si>
  <si>
    <t>D-NR-55-WH-8*8-M3*6-Automatic screw</t>
  </si>
  <si>
    <t>otomat cıvata</t>
  </si>
  <si>
    <t>IHR-086</t>
  </si>
  <si>
    <t>2026-100333</t>
  </si>
  <si>
    <t>2026-100316</t>
  </si>
  <si>
    <t>2026-100368</t>
  </si>
  <si>
    <t>IHR-087</t>
  </si>
  <si>
    <t>125 adetlik poşetler halinde  / sipariş 20.000 idi, 15.000 adedi 29.01.'de gitti</t>
  </si>
  <si>
    <t>sipariş 2000 idi, 1568 adedi 29.01.'de gitti</t>
  </si>
  <si>
    <t>IHR-090</t>
  </si>
  <si>
    <t>2026-100379</t>
  </si>
  <si>
    <t>T4900</t>
  </si>
  <si>
    <t>A-NR-55-WH-20*8-M6*18-M6*18</t>
  </si>
  <si>
    <t>T2368</t>
  </si>
  <si>
    <t>D-NR-55-WH-30*15-M8*23</t>
  </si>
  <si>
    <t>T3534</t>
  </si>
  <si>
    <t>D-NR-55-WH-30*30-M8*23</t>
  </si>
  <si>
    <t>T5109</t>
  </si>
  <si>
    <t>C-NR-55-WH-10*10-M4*3-M4*3-AISI 304-OPEN</t>
  </si>
  <si>
    <t>2026-100383</t>
  </si>
  <si>
    <t>E-NR-55-WH-08*08-M3-open</t>
  </si>
  <si>
    <t>2026-100391</t>
  </si>
  <si>
    <t>E-NR-55-WH-30*17-M8*8-AISI 304-welded</t>
  </si>
  <si>
    <r>
      <t>A-NR-</t>
    </r>
    <r>
      <rPr>
        <b/>
        <sz val="11"/>
        <rFont val="Bookman Old Style"/>
        <family val="1"/>
        <charset val="162"/>
      </rPr>
      <t>35</t>
    </r>
    <r>
      <rPr>
        <sz val="11"/>
        <rFont val="Bookman Old Style"/>
        <family val="1"/>
        <charset val="162"/>
      </rPr>
      <t>-WH-30*40-M8*12-M8*14</t>
    </r>
  </si>
  <si>
    <t>D-NR-55-WH-30*8-M8*13-AISI 304-welded</t>
  </si>
  <si>
    <t xml:space="preserve">D-NR-65-WH-18*7,5-M6*20 </t>
  </si>
  <si>
    <t>2026-100394</t>
  </si>
  <si>
    <t xml:space="preserve">D-CR-70-WH-30*26-M8*23 </t>
  </si>
  <si>
    <t>T5110</t>
  </si>
  <si>
    <t>2026-100395</t>
  </si>
  <si>
    <t xml:space="preserve">B-NR-55-WH-30*30-M8*20-M8 </t>
  </si>
  <si>
    <t>T5111</t>
  </si>
  <si>
    <t>2026-100398</t>
  </si>
  <si>
    <t>2026-100408</t>
  </si>
  <si>
    <t>T5112</t>
  </si>
  <si>
    <t>Somunda logo olacak</t>
  </si>
  <si>
    <t>B-NR-70-WH-20*25-M6*6-M6</t>
  </si>
  <si>
    <t>2026-100426</t>
  </si>
  <si>
    <r>
      <t>A-NR-</t>
    </r>
    <r>
      <rPr>
        <b/>
        <sz val="11"/>
        <rFont val="Bookman Old Style"/>
        <family val="1"/>
        <charset val="162"/>
      </rPr>
      <t>35</t>
    </r>
    <r>
      <rPr>
        <sz val="11"/>
        <rFont val="Bookman Old Style"/>
        <family val="1"/>
        <charset val="162"/>
      </rPr>
      <t xml:space="preserve">-WH-50*45-M10*28-M10*28 </t>
    </r>
  </si>
  <si>
    <t>2026-100425</t>
  </si>
  <si>
    <t>2026-100431</t>
  </si>
  <si>
    <t>T4909</t>
  </si>
  <si>
    <t xml:space="preserve">C-NR-70-WH-70*45-M10*10-M10*10-CLOSED </t>
  </si>
  <si>
    <t>T5113</t>
  </si>
  <si>
    <t>IHR-094</t>
  </si>
  <si>
    <t>IHR-095</t>
  </si>
  <si>
    <t>IHR-096</t>
  </si>
  <si>
    <t>2026-100434</t>
  </si>
  <si>
    <t>2026-100439</t>
  </si>
  <si>
    <t>2026-100440</t>
  </si>
  <si>
    <t>kaynaklı</t>
  </si>
  <si>
    <t>C-NR-55-WH-25*25-M6-M6-AISI 304-open-welded</t>
  </si>
  <si>
    <t>T5115</t>
  </si>
  <si>
    <t>30.04.2026 SEVKİYATI</t>
  </si>
  <si>
    <t>IHR-100</t>
  </si>
  <si>
    <t>IHR-101</t>
  </si>
  <si>
    <t>IHR-102</t>
  </si>
  <si>
    <t>2026-100442</t>
  </si>
  <si>
    <t>T5117</t>
  </si>
  <si>
    <t>B-NR-75-WH-30*20-M8*8-M8*8</t>
  </si>
  <si>
    <t>Sipariş 4000 adet idi. 2000 adedi 05.02'de gitti</t>
  </si>
  <si>
    <t>2026-100446</t>
  </si>
  <si>
    <t>B-CR-70-WH-30*20-M8*20-M8</t>
  </si>
  <si>
    <t xml:space="preserve">IHR-105 </t>
  </si>
  <si>
    <t>T5120</t>
  </si>
  <si>
    <t>2026-100452</t>
  </si>
  <si>
    <t>2026-100454</t>
  </si>
  <si>
    <t>2026-100455</t>
  </si>
  <si>
    <t xml:space="preserve">D-NR-55-WH-30*15-M8*15 </t>
  </si>
  <si>
    <t>2026-100456</t>
  </si>
  <si>
    <t xml:space="preserve">A-NR-50-WH-30*20-M8*20-M8*15 </t>
  </si>
  <si>
    <t>2026-100457</t>
  </si>
  <si>
    <t xml:space="preserve">A-NR-60-WH-30*15-M8*12-M8*12 </t>
  </si>
  <si>
    <t>2026-100458</t>
  </si>
  <si>
    <t>T4978</t>
  </si>
  <si>
    <t xml:space="preserve">A-NR-55-WH-15*15-M4*8-M4*8 </t>
  </si>
  <si>
    <t>T5123</t>
  </si>
  <si>
    <t>T5122</t>
  </si>
  <si>
    <t>M8*15 OLACAK</t>
  </si>
  <si>
    <t>IHR-106</t>
  </si>
  <si>
    <t>IHR-107</t>
  </si>
  <si>
    <t>IHR-108</t>
  </si>
  <si>
    <t>IHR-109</t>
  </si>
  <si>
    <t>IHR-110</t>
  </si>
  <si>
    <t>IHR-111</t>
  </si>
  <si>
    <t>IHR-112</t>
  </si>
  <si>
    <t>IHR-113</t>
  </si>
  <si>
    <t>T2278</t>
  </si>
  <si>
    <t>B-NR-60-WH-20*20-M6*10-M6*6-OPEN</t>
  </si>
  <si>
    <t>T5124</t>
  </si>
  <si>
    <t>IHR-114</t>
  </si>
  <si>
    <t>IHR-116</t>
  </si>
  <si>
    <t>IHR-119</t>
  </si>
  <si>
    <t>2026-100474</t>
  </si>
  <si>
    <t>2026-100483</t>
  </si>
  <si>
    <t>B-NR-55-WH-40*30-M8*23-M8*8</t>
  </si>
  <si>
    <t>B-NR-55-WH-20*25-M6*6-M6*6</t>
  </si>
  <si>
    <t>2026-100489</t>
  </si>
  <si>
    <t>200 adetlik poşetler halinde</t>
  </si>
  <si>
    <t>2026-100491</t>
  </si>
  <si>
    <t>2026-100494</t>
  </si>
  <si>
    <t>D-NR-60-WH-35*30-M10*25-V2A</t>
  </si>
  <si>
    <t>2026-100500</t>
  </si>
  <si>
    <t>T0310</t>
  </si>
  <si>
    <t>C-NR-55-WH-30*25-M8*8-M8*8-CLOSED</t>
  </si>
  <si>
    <t>IHR-126</t>
  </si>
  <si>
    <t>2026-100505</t>
  </si>
  <si>
    <t>T2953</t>
  </si>
  <si>
    <t xml:space="preserve">D-NR-70-WH-30*20-M8*20 </t>
  </si>
  <si>
    <t>2026-100509</t>
  </si>
  <si>
    <t>T5128</t>
  </si>
  <si>
    <t>A-NR-45-WH-30*40-M8*25-M8*25</t>
  </si>
  <si>
    <t>T5129</t>
  </si>
  <si>
    <t>IHR-129</t>
  </si>
  <si>
    <t>2026-100512</t>
  </si>
  <si>
    <t>21.05.2026 SEVKİYATI</t>
  </si>
  <si>
    <t>IHR-130</t>
  </si>
  <si>
    <t>yanlışlıkla M6*15 gitmiş. M6*15-M6*35 olmalıdır ürün</t>
  </si>
  <si>
    <t>A-NR-55-WH-20*8-M6*15-M6*35</t>
  </si>
  <si>
    <t>2026-100524</t>
  </si>
  <si>
    <t>C-NR-30-WH-40*30-M8*8-M8*8-AISI 304-welded</t>
  </si>
  <si>
    <t>mutlaka gitmelidir</t>
  </si>
  <si>
    <t>T5131</t>
  </si>
  <si>
    <t>T2943</t>
  </si>
  <si>
    <t>T5130</t>
  </si>
  <si>
    <t>T5132</t>
  </si>
  <si>
    <t>2026-100535</t>
  </si>
  <si>
    <t>Sipariş 500 adet idi. 100 adedi 12.02'de gitti</t>
  </si>
  <si>
    <t>Sipariş 2000 adet idi. 392 adedi 12.02'de gitti</t>
  </si>
  <si>
    <t>19.02.2026 SEVKİYATI</t>
  </si>
  <si>
    <t>100 adet gitti</t>
  </si>
  <si>
    <t>392 adet gitti</t>
  </si>
  <si>
    <r>
      <t xml:space="preserve">Mutlaka gitmelidir - </t>
    </r>
    <r>
      <rPr>
        <sz val="11"/>
        <color theme="1"/>
        <rFont val="Bookman Old Style"/>
        <family val="1"/>
        <charset val="162"/>
      </rPr>
      <t>935 gitti</t>
    </r>
  </si>
  <si>
    <t>125 adetlik poşetler halinde  / Mutlaka gitmelidir - 16000 gitti</t>
  </si>
  <si>
    <r>
      <t xml:space="preserve">Mutlaka gitmelidir / </t>
    </r>
    <r>
      <rPr>
        <sz val="11"/>
        <color theme="1"/>
        <rFont val="Bookman Old Style"/>
        <family val="1"/>
        <charset val="162"/>
      </rPr>
      <t>Sipariş 2800 adet idi. 935 adedi 12.02'de gitti</t>
    </r>
  </si>
  <si>
    <r>
      <t>125 adetlik poşetler halinde/Mutlaka gitmelidir/</t>
    </r>
    <r>
      <rPr>
        <sz val="11"/>
        <color theme="1"/>
        <rFont val="Bookman Old Style"/>
        <family val="1"/>
        <charset val="162"/>
      </rPr>
      <t>Sipariş 20.000 adet idi. 16000 adedi 12.02'de gitti</t>
    </r>
  </si>
  <si>
    <t>2026-100567</t>
  </si>
  <si>
    <t>D-NR-55-WH-10*20-M4*10</t>
  </si>
  <si>
    <t>T5133</t>
  </si>
  <si>
    <t>IHR-145</t>
  </si>
  <si>
    <t>IHR-146</t>
  </si>
  <si>
    <t>IHR-147</t>
  </si>
  <si>
    <t>14.05.2026 SEVKİYATI</t>
  </si>
  <si>
    <t>IHR-148</t>
  </si>
  <si>
    <t>IHR-149</t>
  </si>
  <si>
    <t>IHR-151</t>
  </si>
  <si>
    <t>IHR-152</t>
  </si>
  <si>
    <t>IHR-154</t>
  </si>
  <si>
    <t>IHR-155</t>
  </si>
  <si>
    <t>MUTLAKA GİTMELİDİR-(express sevkiyat yapabilir haber verilecek) İnsert yapılmalı 600 €. İnsert bedeli by ISKA</t>
  </si>
  <si>
    <t>MUTLAKA GİTMELİDİR / Sipariş 4000 adet idi. 580 adedi 05.02'de gitti</t>
  </si>
  <si>
    <t>2026-100568</t>
  </si>
  <si>
    <t>T5134</t>
  </si>
  <si>
    <t>B-NR-55-WH-15*15-M4*5-M4*4-CLOSED</t>
  </si>
  <si>
    <t>2026-100569</t>
  </si>
  <si>
    <t>2026-100570</t>
  </si>
  <si>
    <t xml:space="preserve">ES-NBR-80-WH-25*25-M6*6 </t>
  </si>
  <si>
    <t>2026-100571</t>
  </si>
  <si>
    <t>2026-100572</t>
  </si>
  <si>
    <t>T4563</t>
  </si>
  <si>
    <t>B-NR-45-WH-50*50-M10*28-M10*10</t>
  </si>
  <si>
    <t>T5135</t>
  </si>
  <si>
    <t>T5136</t>
  </si>
  <si>
    <t>T5137</t>
  </si>
  <si>
    <t>2026-100584</t>
  </si>
  <si>
    <t>B-NR-55-WH-40*20-M8*23-M8</t>
  </si>
  <si>
    <t>2026-100598</t>
  </si>
  <si>
    <t>KD-NR-55-WH-8*7-M3*12-non-staining</t>
  </si>
  <si>
    <t>Lekelemez</t>
  </si>
  <si>
    <t>Insert cost for KD-NR-55-WH-8*7-M3*12-non-staining</t>
  </si>
  <si>
    <t>Insert</t>
  </si>
  <si>
    <t>T5139</t>
  </si>
  <si>
    <t>2026-100604</t>
  </si>
  <si>
    <t>IHR-161</t>
  </si>
  <si>
    <t>IHR-163</t>
  </si>
  <si>
    <t>IHR-164</t>
  </si>
  <si>
    <t>IHR-165</t>
  </si>
  <si>
    <t>Kenarsız</t>
  </si>
  <si>
    <t>DP-NR-55-WH-30*36-M8*20-borderless</t>
  </si>
  <si>
    <t>IHR-166</t>
  </si>
  <si>
    <t xml:space="preserve">Elektrik geçirmeyen </t>
  </si>
  <si>
    <t xml:space="preserve">A-NBR-55-WH-20*15-M6*15-M6*15-Non-conductive </t>
  </si>
  <si>
    <t>T3487</t>
  </si>
  <si>
    <t>IHR-167</t>
  </si>
  <si>
    <t>IHR-169</t>
  </si>
  <si>
    <t>IHR-170</t>
  </si>
  <si>
    <t>2026-100619</t>
  </si>
  <si>
    <t xml:space="preserve">D-NR-55-WH-30*30-M8*14 </t>
  </si>
  <si>
    <t>2026-100622</t>
  </si>
  <si>
    <t xml:space="preserve">B-NR-40-WH-30*20-M8*20-M8 </t>
  </si>
  <si>
    <t>MUTLAKA GİTMELİDİR / Kalıp üretime teslim edildi.</t>
  </si>
  <si>
    <t>T5140</t>
  </si>
  <si>
    <t>T2956</t>
  </si>
  <si>
    <t>2026-100626</t>
  </si>
  <si>
    <t>2026-100627</t>
  </si>
  <si>
    <t>2026-100642</t>
  </si>
  <si>
    <t>125 adetlik poşetler halinde / sipariş 20.000 adetti, 8000 adedi 19.02'de gitti</t>
  </si>
  <si>
    <t>125 adetlik poşetler halinde, 8000 adet gitti.</t>
  </si>
  <si>
    <t>T5142</t>
  </si>
  <si>
    <t>B-EPDM-55-WH-20*15-M6*8-M6*8-OPEN</t>
  </si>
  <si>
    <t>2026-100647</t>
  </si>
  <si>
    <t xml:space="preserve">D-NR-55-WH-30*10-M6*38 </t>
  </si>
  <si>
    <t>T5144</t>
  </si>
  <si>
    <t>2026-100654</t>
  </si>
  <si>
    <t xml:space="preserve">A-NR-55-WH-30*15-M8*15-M8*15 </t>
  </si>
  <si>
    <t>2026-100658</t>
  </si>
  <si>
    <t>A-NR-35-WH-30*42,5-M8*20-M8*20</t>
  </si>
  <si>
    <t>Orta parça yapılacak</t>
  </si>
  <si>
    <t>2026-100660</t>
  </si>
  <si>
    <t>AT-NR-55-WH-20*16*15-M6*18-M6*18</t>
  </si>
  <si>
    <t xml:space="preserve">CT-NR-55-WH-20*16*15-M6*6-M6*6-Open </t>
  </si>
  <si>
    <t>T4657</t>
  </si>
  <si>
    <t>T5147</t>
  </si>
  <si>
    <t>T5148</t>
  </si>
  <si>
    <t>2026-100668</t>
  </si>
  <si>
    <t>T5105</t>
  </si>
  <si>
    <t>D-NR-75-WH-30*17-M8*21</t>
  </si>
  <si>
    <t>500 adet karton içi</t>
  </si>
  <si>
    <t>2026-100664</t>
  </si>
  <si>
    <t xml:space="preserve">C-NR-55-WH-30*40-M8-M8 </t>
  </si>
  <si>
    <t>2026-100673</t>
  </si>
  <si>
    <t xml:space="preserve">B-NR-65-WH-30*20-M8*20-M8 </t>
  </si>
  <si>
    <t>2026-100674</t>
  </si>
  <si>
    <t>Tam adedinde üretim</t>
  </si>
  <si>
    <t>2026-100678</t>
  </si>
  <si>
    <t>T0314</t>
  </si>
  <si>
    <t>IHR-193</t>
  </si>
  <si>
    <t>IHR-194</t>
  </si>
  <si>
    <t>IHR-195</t>
  </si>
  <si>
    <t>IHR-196</t>
  </si>
  <si>
    <t>IHR-197</t>
  </si>
  <si>
    <t>IHR-198</t>
  </si>
  <si>
    <t>T5151</t>
  </si>
  <si>
    <t>T5152</t>
  </si>
  <si>
    <t>D-NR-55-WH-30*33-M8*33</t>
  </si>
  <si>
    <t>IHR-199</t>
  </si>
  <si>
    <t>IHR-200</t>
  </si>
  <si>
    <t>IHR-201</t>
  </si>
  <si>
    <t>IHR-202</t>
  </si>
  <si>
    <t>IHR-203</t>
  </si>
  <si>
    <t>2026-100721</t>
  </si>
  <si>
    <t>2026-100725</t>
  </si>
  <si>
    <t xml:space="preserve">D-NR-55-WH-30*05-M8*23 </t>
  </si>
  <si>
    <t xml:space="preserve">Middle part cost for D-NR-55-WH-30*05-M8*23 </t>
  </si>
  <si>
    <t xml:space="preserve">orta parça yapılacak </t>
  </si>
  <si>
    <t>-</t>
  </si>
  <si>
    <t>Middle Part</t>
  </si>
  <si>
    <t>2026-100733</t>
  </si>
  <si>
    <t>T4841</t>
  </si>
  <si>
    <t>A-NR-50-WH-30*15-M8*12-M8*20</t>
  </si>
  <si>
    <t>T5154</t>
  </si>
  <si>
    <r>
      <rPr>
        <b/>
        <sz val="11"/>
        <color theme="1"/>
        <rFont val="Bookman Old Style"/>
        <family val="1"/>
        <charset val="162"/>
      </rPr>
      <t xml:space="preserve">HF020 </t>
    </r>
    <r>
      <rPr>
        <sz val="11"/>
        <color theme="1"/>
        <rFont val="Bookman Old Style"/>
        <family val="1"/>
        <charset val="162"/>
      </rPr>
      <t xml:space="preserve">yazılacak </t>
    </r>
  </si>
  <si>
    <t>Sipariş 2000 adet idi. 1000 adedi 26.02'de gitti</t>
  </si>
  <si>
    <t>125 adetlik poşetler halinde / sipariş 20.000 adetti, 8000 +9000 gitti</t>
  </si>
  <si>
    <t>mutlaka gitmelidir / sipariş adedi 3000. 1825 tanesi 26.02'de gitti</t>
  </si>
  <si>
    <t>sipariş 200 adet. 47 tanesi 26.02'de gitti</t>
  </si>
  <si>
    <t>sipariş 874 adet. 228 tanesi 26.02.'de gitti</t>
  </si>
  <si>
    <t>Mutlaka gitmelidir/Kalıp teslim edildi.Sipariş 10.000adet. 4500 ad. 26.02'de gitti</t>
  </si>
  <si>
    <t>2026-100734</t>
  </si>
  <si>
    <t>2026-100744</t>
  </si>
  <si>
    <t xml:space="preserve">Mutlaka gitmelidir. </t>
  </si>
  <si>
    <t>sipariş adedi 2000. 1000 adedi 09.04'de gidecek / mutlaka gitmelidir</t>
  </si>
  <si>
    <t>2026-100747</t>
  </si>
  <si>
    <t>05.03.2026 SEVKİYATI</t>
  </si>
  <si>
    <t>2026-100753</t>
  </si>
  <si>
    <t>2026-100756</t>
  </si>
  <si>
    <t>G00008153</t>
  </si>
  <si>
    <t xml:space="preserve">C-NR-55-WH-25*20-M6-M6 </t>
  </si>
  <si>
    <t>2026-100762</t>
  </si>
  <si>
    <t>2026-100764</t>
  </si>
  <si>
    <t>2026-100765</t>
  </si>
  <si>
    <t xml:space="preserve">A-NR-35-WH-30*32-M8*5,8-M8*22 </t>
  </si>
  <si>
    <t xml:space="preserve">Middle part cost for A-NR-35-WH-30*32-M8*5,8-M8*22 </t>
  </si>
  <si>
    <t>T0303</t>
  </si>
  <si>
    <t>T5157</t>
  </si>
  <si>
    <t>2026-100768</t>
  </si>
  <si>
    <t>2026-100773</t>
  </si>
  <si>
    <t>T3484</t>
  </si>
  <si>
    <t>B-NR-55-WH-20*20-M6*18-M6*6-CLOSED</t>
  </si>
  <si>
    <t>MUTLAKA GİTMELİDİR / üretimden ciktiginda müşteriye bilgi verilecek ki belki express ile aldırır</t>
  </si>
  <si>
    <t>2026-100778</t>
  </si>
  <si>
    <t xml:space="preserve">A-NR-55-WH-15*08-M4*8-M4*6 </t>
  </si>
  <si>
    <t>T5158</t>
  </si>
  <si>
    <t>2026-100782</t>
  </si>
  <si>
    <t>T4078</t>
  </si>
  <si>
    <t>C-NR-55-WH-40*30-M8*8-M8*8-CLOSED</t>
  </si>
  <si>
    <t>2026-100785</t>
  </si>
  <si>
    <t>2026-100789</t>
  </si>
  <si>
    <t>T5024</t>
  </si>
  <si>
    <t>A-NR-40-WH-25*25-M8*25-M8*15</t>
  </si>
  <si>
    <t>2026-100793</t>
  </si>
  <si>
    <t>T4048</t>
  </si>
  <si>
    <t>C-NBR-45-WH-30*30-M8*8*-M8*8-CLOSED</t>
  </si>
  <si>
    <t>2026-100799</t>
  </si>
  <si>
    <t>KD-NR-55-WH-30*15-M8*20</t>
  </si>
  <si>
    <t>Insert cost for KD-NR-55-WH-30*15-M8*20</t>
  </si>
  <si>
    <t>T5159</t>
  </si>
  <si>
    <t>2026-100807</t>
  </si>
  <si>
    <t>2026-100829</t>
  </si>
  <si>
    <t xml:space="preserve">DP-NBR-55-WH-20*15-M5*18 </t>
  </si>
  <si>
    <t>sipariş adedi 900 idi. 500 adedi 05.03'de gitti. Kalan 400 adet</t>
  </si>
  <si>
    <t>IHR-212</t>
  </si>
  <si>
    <t>IHR-213</t>
  </si>
  <si>
    <t>IHR-214</t>
  </si>
  <si>
    <t>IHR-215</t>
  </si>
  <si>
    <t>IHR-216</t>
  </si>
  <si>
    <t>IHR-217</t>
  </si>
  <si>
    <t>IHR-218</t>
  </si>
  <si>
    <t>IHR-220</t>
  </si>
  <si>
    <t>IHR-221</t>
  </si>
  <si>
    <t>IHR-222</t>
  </si>
  <si>
    <t>IHR-223</t>
  </si>
  <si>
    <t>IHR-224</t>
  </si>
  <si>
    <t>IHR-225</t>
  </si>
  <si>
    <t>IHR-226</t>
  </si>
  <si>
    <t>2026-100808</t>
  </si>
  <si>
    <t>2026-100815</t>
  </si>
  <si>
    <t xml:space="preserve">B-NR-55-WH-40*30-M8*15-M8 </t>
  </si>
  <si>
    <t>T5160</t>
  </si>
  <si>
    <t>2026-100843</t>
  </si>
  <si>
    <t>T5161</t>
  </si>
  <si>
    <t>IHR-227</t>
  </si>
  <si>
    <t>IHR-228</t>
  </si>
  <si>
    <t>2026-100856</t>
  </si>
  <si>
    <t>T4911</t>
  </si>
  <si>
    <t>C-NR-55-WH-15*15-M4*4-M4*4-CLOSED</t>
  </si>
  <si>
    <t>2026-100864</t>
  </si>
  <si>
    <t>2026-100865</t>
  </si>
  <si>
    <t xml:space="preserve">KE-NR-65-WH-30*20-M8-OPEN-AISI 304 </t>
  </si>
  <si>
    <t>Middle part</t>
  </si>
  <si>
    <t xml:space="preserve">Middle part for KE-NR-65-WH-30*20-M8-OPEN-AISI 304 </t>
  </si>
  <si>
    <t>2026-100866</t>
  </si>
  <si>
    <t xml:space="preserve">B-EPDM-55-WH-30*25-M8*18-M8*8-welded-AISI 304 </t>
  </si>
  <si>
    <t>IHR-229</t>
  </si>
  <si>
    <t>IHR-230</t>
  </si>
  <si>
    <t>IHR-231</t>
  </si>
  <si>
    <t>T5164</t>
  </si>
  <si>
    <t>T5163</t>
  </si>
  <si>
    <t>2026-100862</t>
  </si>
  <si>
    <t>2026-100859</t>
  </si>
  <si>
    <t>2026-100871</t>
  </si>
  <si>
    <t>IHR-234</t>
  </si>
  <si>
    <t>IHR-235</t>
  </si>
  <si>
    <t>IHR-236</t>
  </si>
  <si>
    <t>IHR-237</t>
  </si>
  <si>
    <t>IHR-238</t>
  </si>
  <si>
    <t>IHR-239</t>
  </si>
  <si>
    <t>18.06.2026 SEVKİYATI</t>
  </si>
  <si>
    <t>IHR-240</t>
  </si>
  <si>
    <t>2026-100878</t>
  </si>
  <si>
    <t xml:space="preserve">B-NR-40-WH-25*20-M6*18-M6*6 </t>
  </si>
  <si>
    <t>T5165</t>
  </si>
  <si>
    <t>2026-100879</t>
  </si>
  <si>
    <t xml:space="preserve">C-NR-55-WH-30*30-M8-M8-AISI 304 </t>
  </si>
  <si>
    <t>IHR-243</t>
  </si>
  <si>
    <t>2026-100889</t>
  </si>
  <si>
    <t>T3077</t>
  </si>
  <si>
    <t>D-NR-55-WH-20*5-M6*18</t>
  </si>
  <si>
    <t>T4952</t>
  </si>
  <si>
    <t>D-NR-55-WH-20*12-M6*20</t>
  </si>
  <si>
    <t>T5166</t>
  </si>
  <si>
    <t>2026-100881</t>
  </si>
  <si>
    <t>125 adetlik poşetler halinde / sipariş 20.000 adetti, 8000 +9000 +2000 gitti. KALAN 1000 ADET</t>
  </si>
  <si>
    <t>Sipariş miktarı 5000. 3300 adedi 12.03'de gitti</t>
  </si>
  <si>
    <r>
      <t>MUTLAKA GİTMELİDİR-</t>
    </r>
    <r>
      <rPr>
        <sz val="11"/>
        <color theme="1"/>
        <rFont val="Bookman Old Style"/>
        <family val="1"/>
        <charset val="162"/>
      </rPr>
      <t xml:space="preserve"> İnsert yapılmalı 600 €. İnsert bedeli by ISKA / sipariş 20.000. 9000 adedi 12.03'de gitti</t>
    </r>
  </si>
  <si>
    <t>sipariş adedi 736. 583 tanesi 12.03'de gitti</t>
  </si>
  <si>
    <r>
      <t xml:space="preserve">MUTLAKA GİTMELİDİR / </t>
    </r>
    <r>
      <rPr>
        <sz val="11"/>
        <color theme="1"/>
        <rFont val="Bookman Old Style"/>
        <family val="1"/>
        <charset val="162"/>
      </rPr>
      <t>sipariş 10.000. 6750 tanesi 12.03'de gitti</t>
    </r>
  </si>
  <si>
    <t>18.03.2026 SEVKİYATI</t>
  </si>
  <si>
    <t>+</t>
  </si>
  <si>
    <t>sipariş adedi 20.000. 2500 adedi 12.03.'de gitti / KALIP BOZULDU ÜMİTTEN BİLGİ BEKLENİYOR</t>
  </si>
  <si>
    <t>2026-100913</t>
  </si>
  <si>
    <t xml:space="preserve">D-NR-55-WH-10*10-M4*10 </t>
  </si>
  <si>
    <t>2026-100918</t>
  </si>
  <si>
    <t xml:space="preserve">A-NR-60-WH-30*20-M8*23-M8*23 </t>
  </si>
  <si>
    <t>2026-100919</t>
  </si>
  <si>
    <t>KD-NR-55-WH-8*7-M4*8</t>
  </si>
  <si>
    <t>Middle part for KD-NR-55-WH-8*7-M4*8</t>
  </si>
  <si>
    <t>T2045</t>
  </si>
  <si>
    <t>T2499</t>
  </si>
  <si>
    <t>IHR-248</t>
  </si>
  <si>
    <t>IHR-250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</si>
</sst>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[$€-1]"/>
    <numFmt numFmtId="165" formatCode="#,##0.0000\ [$€-1]"/>
    <numFmt numFmtId="166" formatCode="_-&quot;€&quot;\ * #,##0.00_-;\-&quot;€&quot;\ * #,##0.00_-;_-&quot;€&quot;\ * &quot;-&quot;??_-;_-@_-"/>
    <numFmt numFmtId="167" formatCode="#,##0.00\ [$€-1];[Red]\-#,##0.00\ [$€-1]"/>
  </numFmts>
  <fonts count="3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Bookman Old Style"/>
      <family val="1"/>
      <charset val="162"/>
    </font>
    <font>
      <b/>
      <sz val="11"/>
      <color rgb="FF000000"/>
      <name val="Bookman Old Style"/>
      <family val="1"/>
      <charset val="162"/>
    </font>
    <font>
      <sz val="11"/>
      <name val="Bookman Old Style"/>
      <family val="1"/>
      <charset val="162"/>
    </font>
    <font>
      <b/>
      <sz val="11"/>
      <name val="Bookman Old Style"/>
      <family val="1"/>
      <charset val="162"/>
    </font>
    <font>
      <sz val="11"/>
      <color theme="1"/>
      <name val="Bookman Old Style"/>
      <family val="1"/>
      <charset val="162"/>
    </font>
    <font>
      <b/>
      <sz val="11"/>
      <color rgb="FFFF0000"/>
      <name val="Bookman Old Style"/>
      <family val="1"/>
      <charset val="162"/>
    </font>
    <font>
      <b/>
      <sz val="11"/>
      <color theme="1"/>
      <name val="Calibri"/>
      <family val="2"/>
      <charset val="162"/>
      <scheme val="minor"/>
    </font>
    <font>
      <sz val="11"/>
      <color rgb="FFFF0000"/>
      <name val="Bookman Old Style"/>
      <family val="1"/>
      <charset val="162"/>
    </font>
    <font>
      <sz val="11"/>
      <color rgb="FF000000"/>
      <name val="Bookman Old Style"/>
      <family val="1"/>
      <charset val="162"/>
    </font>
    <font>
      <sz val="11"/>
      <color rgb="FF000000"/>
      <name val="Calibri"/>
      <family val="2"/>
      <charset val="162"/>
    </font>
    <font>
      <b/>
      <sz val="12"/>
      <color rgb="FFFF0000"/>
      <name val="Bookman Old Style"/>
      <family val="1"/>
      <charset val="162"/>
    </font>
    <font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0"/>
      <name val="Bookman Old Style"/>
      <family val="1"/>
      <charset val="162"/>
    </font>
    <font>
      <sz val="8"/>
      <name val="Calibri"/>
      <family val="2"/>
      <charset val="16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5" applyNumberFormat="0" applyAlignment="0" applyProtection="0"/>
    <xf numFmtId="0" fontId="10" fillId="7" borderId="6" applyNumberFormat="0" applyAlignment="0" applyProtection="0"/>
    <xf numFmtId="0" fontId="11" fillId="7" borderId="5" applyNumberFormat="0" applyAlignment="0" applyProtection="0"/>
    <xf numFmtId="0" fontId="12" fillId="0" borderId="7" applyNumberFormat="0" applyFill="0" applyAlignment="0" applyProtection="0"/>
    <xf numFmtId="0" fontId="13" fillId="8" borderId="8" applyNumberFormat="0" applyAlignment="0" applyProtection="0"/>
    <xf numFmtId="0" fontId="14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</cellStyleXfs>
  <cellXfs count="109">
    <xf numFmtId="0" fontId="0" fillId="0" borderId="0" xfId="0"/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14" fontId="2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0" fillId="34" borderId="1" xfId="0" applyFill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3" fontId="18" fillId="0" borderId="1" xfId="0" applyNumberFormat="1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/>
    </xf>
    <xf numFmtId="0" fontId="18" fillId="0" borderId="0" xfId="0" applyFont="1"/>
    <xf numFmtId="0" fontId="20" fillId="0" borderId="1" xfId="0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164" fontId="21" fillId="0" borderId="0" xfId="0" applyNumberFormat="1" applyFont="1"/>
    <xf numFmtId="0" fontId="24" fillId="35" borderId="1" xfId="0" applyFont="1" applyFill="1" applyBorder="1" applyAlignment="1">
      <alignment horizontal="center"/>
    </xf>
    <xf numFmtId="0" fontId="22" fillId="0" borderId="11" xfId="0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0" fontId="24" fillId="34" borderId="1" xfId="0" applyFont="1" applyFill="1" applyBorder="1" applyAlignment="1">
      <alignment horizontal="center"/>
    </xf>
    <xf numFmtId="3" fontId="25" fillId="0" borderId="1" xfId="0" applyNumberFormat="1" applyFont="1" applyBorder="1" applyAlignment="1">
      <alignment horizontal="center"/>
    </xf>
    <xf numFmtId="0" fontId="20" fillId="34" borderId="1" xfId="0" applyFont="1" applyFill="1" applyBorder="1" applyAlignment="1">
      <alignment horizontal="left"/>
    </xf>
    <xf numFmtId="14" fontId="20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11" xfId="0" applyFont="1" applyBorder="1" applyAlignment="1">
      <alignment horizontal="center" vertical="center" wrapText="1"/>
    </xf>
    <xf numFmtId="165" fontId="20" fillId="0" borderId="11" xfId="0" applyNumberFormat="1" applyFont="1" applyBorder="1" applyAlignment="1">
      <alignment horizontal="center" vertical="center"/>
    </xf>
    <xf numFmtId="3" fontId="22" fillId="0" borderId="11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167" fontId="22" fillId="0" borderId="1" xfId="0" applyNumberFormat="1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wrapText="1"/>
    </xf>
    <xf numFmtId="3" fontId="26" fillId="0" borderId="11" xfId="0" applyNumberFormat="1" applyFont="1" applyBorder="1" applyAlignment="1">
      <alignment horizontal="center" vertical="center"/>
    </xf>
    <xf numFmtId="0" fontId="27" fillId="34" borderId="11" xfId="0" applyFont="1" applyFill="1" applyBorder="1" applyAlignment="1">
      <alignment vertical="center"/>
    </xf>
    <xf numFmtId="14" fontId="26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14" fontId="2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8" fillId="0" borderId="1" xfId="0" applyFont="1" applyBorder="1" applyAlignment="1">
      <alignment horizontal="center"/>
    </xf>
    <xf numFmtId="165" fontId="21" fillId="0" borderId="1" xfId="0" applyNumberFormat="1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0" fillId="0" borderId="1" xfId="0" applyFont="1" applyBorder="1" applyAlignment="1">
      <alignment horizontal="left"/>
    </xf>
    <xf numFmtId="164" fontId="28" fillId="0" borderId="12" xfId="0" applyNumberFormat="1" applyFont="1" applyBorder="1"/>
    <xf numFmtId="164" fontId="23" fillId="0" borderId="0" xfId="0" applyNumberFormat="1" applyFont="1"/>
    <xf numFmtId="0" fontId="29" fillId="0" borderId="0" xfId="0" applyFont="1"/>
    <xf numFmtId="0" fontId="0" fillId="0" borderId="1" xfId="0" applyBorder="1"/>
    <xf numFmtId="0" fontId="22" fillId="36" borderId="1" xfId="0" applyFont="1" applyFill="1" applyBorder="1" applyAlignment="1">
      <alignment horizontal="center"/>
    </xf>
    <xf numFmtId="14" fontId="22" fillId="36" borderId="1" xfId="0" applyNumberFormat="1" applyFont="1" applyFill="1" applyBorder="1" applyAlignment="1">
      <alignment horizontal="center"/>
    </xf>
    <xf numFmtId="0" fontId="22" fillId="36" borderId="1" xfId="0" applyFont="1" applyFill="1" applyBorder="1" applyAlignment="1">
      <alignment horizontal="center" vertical="center"/>
    </xf>
    <xf numFmtId="0" fontId="22" fillId="36" borderId="1" xfId="0" applyFont="1" applyFill="1" applyBorder="1" applyAlignment="1">
      <alignment horizontal="center" vertical="center" wrapText="1"/>
    </xf>
    <xf numFmtId="165" fontId="20" fillId="36" borderId="1" xfId="0" applyNumberFormat="1" applyFont="1" applyFill="1" applyBorder="1" applyAlignment="1">
      <alignment horizontal="center" vertical="center"/>
    </xf>
    <xf numFmtId="3" fontId="22" fillId="36" borderId="1" xfId="0" applyNumberFormat="1" applyFont="1" applyFill="1" applyBorder="1" applyAlignment="1">
      <alignment horizontal="center"/>
    </xf>
    <xf numFmtId="0" fontId="22" fillId="36" borderId="1" xfId="0" applyFont="1" applyFill="1" applyBorder="1" applyAlignment="1">
      <alignment horizontal="left"/>
    </xf>
    <xf numFmtId="0" fontId="22" fillId="36" borderId="11" xfId="0" applyFont="1" applyFill="1" applyBorder="1" applyAlignment="1">
      <alignment horizontal="center" vertical="center"/>
    </xf>
    <xf numFmtId="0" fontId="0" fillId="36" borderId="1" xfId="0" applyFill="1" applyBorder="1" applyAlignment="1">
      <alignment horizontal="left" wrapText="1"/>
    </xf>
    <xf numFmtId="3" fontId="25" fillId="36" borderId="1" xfId="0" applyNumberFormat="1" applyFont="1" applyFill="1" applyBorder="1" applyAlignment="1">
      <alignment horizontal="center"/>
    </xf>
    <xf numFmtId="0" fontId="18" fillId="36" borderId="1" xfId="0" applyFont="1" applyFill="1" applyBorder="1" applyAlignment="1">
      <alignment horizontal="center"/>
    </xf>
    <xf numFmtId="14" fontId="18" fillId="36" borderId="1" xfId="0" applyNumberFormat="1" applyFont="1" applyFill="1" applyBorder="1" applyAlignment="1">
      <alignment horizontal="center"/>
    </xf>
    <xf numFmtId="0" fontId="18" fillId="36" borderId="1" xfId="0" applyFont="1" applyFill="1" applyBorder="1" applyAlignment="1">
      <alignment horizontal="center" vertical="center"/>
    </xf>
    <xf numFmtId="0" fontId="18" fillId="36" borderId="1" xfId="0" applyFont="1" applyFill="1" applyBorder="1" applyAlignment="1">
      <alignment horizontal="center" vertical="center" wrapText="1"/>
    </xf>
    <xf numFmtId="165" fontId="21" fillId="36" borderId="1" xfId="0" applyNumberFormat="1" applyFont="1" applyFill="1" applyBorder="1" applyAlignment="1">
      <alignment horizontal="center" vertical="center"/>
    </xf>
    <xf numFmtId="3" fontId="18" fillId="36" borderId="1" xfId="0" applyNumberFormat="1" applyFont="1" applyFill="1" applyBorder="1" applyAlignment="1">
      <alignment horizontal="center"/>
    </xf>
    <xf numFmtId="0" fontId="20" fillId="36" borderId="1" xfId="0" applyFont="1" applyFill="1" applyBorder="1" applyAlignment="1">
      <alignment horizontal="center"/>
    </xf>
    <xf numFmtId="0" fontId="18" fillId="36" borderId="1" xfId="0" applyFont="1" applyFill="1" applyBorder="1" applyAlignment="1">
      <alignment horizontal="left"/>
    </xf>
    <xf numFmtId="165" fontId="25" fillId="36" borderId="1" xfId="0" applyNumberFormat="1" applyFont="1" applyFill="1" applyBorder="1" applyAlignment="1">
      <alignment horizontal="center" vertical="center"/>
    </xf>
    <xf numFmtId="0" fontId="24" fillId="36" borderId="1" xfId="0" applyFont="1" applyFill="1" applyBorder="1" applyAlignment="1">
      <alignment horizontal="center"/>
    </xf>
    <xf numFmtId="14" fontId="20" fillId="36" borderId="1" xfId="0" applyNumberFormat="1" applyFont="1" applyFill="1" applyBorder="1" applyAlignment="1">
      <alignment horizontal="left"/>
    </xf>
    <xf numFmtId="14" fontId="20" fillId="36" borderId="1" xfId="0" applyNumberFormat="1" applyFont="1" applyFill="1" applyBorder="1" applyAlignment="1">
      <alignment horizontal="center"/>
    </xf>
    <xf numFmtId="0" fontId="20" fillId="36" borderId="1" xfId="0" applyFont="1" applyFill="1" applyBorder="1" applyAlignment="1">
      <alignment horizontal="center" vertical="center"/>
    </xf>
    <xf numFmtId="0" fontId="20" fillId="36" borderId="1" xfId="0" applyFont="1" applyFill="1" applyBorder="1" applyAlignment="1">
      <alignment horizontal="center" vertical="center" wrapText="1"/>
    </xf>
    <xf numFmtId="3" fontId="20" fillId="36" borderId="1" xfId="0" applyNumberFormat="1" applyFont="1" applyFill="1" applyBorder="1" applyAlignment="1">
      <alignment horizontal="center"/>
    </xf>
    <xf numFmtId="0" fontId="30" fillId="36" borderId="1" xfId="0" applyFont="1" applyFill="1" applyBorder="1" applyAlignment="1">
      <alignment horizontal="left" wrapText="1"/>
    </xf>
    <xf numFmtId="165" fontId="22" fillId="36" borderId="1" xfId="0" applyNumberFormat="1" applyFont="1" applyFill="1" applyBorder="1" applyAlignment="1">
      <alignment horizontal="center" vertical="center"/>
    </xf>
    <xf numFmtId="14" fontId="21" fillId="36" borderId="1" xfId="0" applyNumberFormat="1" applyFont="1" applyFill="1" applyBorder="1" applyAlignment="1">
      <alignment horizontal="center"/>
    </xf>
    <xf numFmtId="0" fontId="22" fillId="36" borderId="1" xfId="0" quotePrefix="1" applyFont="1" applyFill="1" applyBorder="1" applyAlignment="1">
      <alignment horizontal="center"/>
    </xf>
    <xf numFmtId="164" fontId="20" fillId="36" borderId="1" xfId="0" applyNumberFormat="1" applyFont="1" applyFill="1" applyBorder="1" applyAlignment="1">
      <alignment horizontal="center" vertical="center"/>
    </xf>
    <xf numFmtId="0" fontId="0" fillId="36" borderId="1" xfId="0" applyFill="1" applyBorder="1" applyAlignment="1">
      <alignment horizontal="center"/>
    </xf>
    <xf numFmtId="0" fontId="22" fillId="34" borderId="1" xfId="0" applyFont="1" applyFill="1" applyBorder="1" applyAlignment="1">
      <alignment horizontal="center"/>
    </xf>
    <xf numFmtId="0" fontId="20" fillId="34" borderId="1" xfId="0" applyFont="1" applyFill="1" applyBorder="1" applyAlignment="1">
      <alignment horizontal="center"/>
    </xf>
    <xf numFmtId="14" fontId="20" fillId="34" borderId="1" xfId="0" applyNumberFormat="1" applyFont="1" applyFill="1" applyBorder="1" applyAlignment="1">
      <alignment horizontal="center"/>
    </xf>
    <xf numFmtId="0" fontId="21" fillId="36" borderId="1" xfId="0" applyFont="1" applyFill="1" applyBorder="1" applyAlignment="1">
      <alignment horizontal="center"/>
    </xf>
    <xf numFmtId="0" fontId="21" fillId="36" borderId="1" xfId="0" applyFont="1" applyFill="1" applyBorder="1" applyAlignment="1">
      <alignment horizontal="center" vertical="center"/>
    </xf>
    <xf numFmtId="3" fontId="21" fillId="36" borderId="1" xfId="0" applyNumberFormat="1" applyFont="1" applyFill="1" applyBorder="1" applyAlignment="1">
      <alignment horizontal="center"/>
    </xf>
    <xf numFmtId="0" fontId="21" fillId="36" borderId="1" xfId="0" applyFont="1" applyFill="1" applyBorder="1" applyAlignment="1">
      <alignment horizontal="left"/>
    </xf>
    <xf numFmtId="0" fontId="20" fillId="36" borderId="1" xfId="0" applyFont="1" applyFill="1" applyBorder="1" applyAlignment="1">
      <alignment horizontal="left"/>
    </xf>
    <xf numFmtId="0" fontId="30" fillId="36" borderId="1" xfId="0" applyFont="1" applyFill="1" applyBorder="1" applyAlignment="1">
      <alignment horizontal="center"/>
    </xf>
    <xf numFmtId="14" fontId="21" fillId="36" borderId="1" xfId="0" applyNumberFormat="1" applyFont="1" applyFill="1" applyBorder="1" applyAlignment="1">
      <alignment horizontal="left"/>
    </xf>
    <xf numFmtId="0" fontId="22" fillId="36" borderId="1" xfId="0" quotePrefix="1" applyFont="1" applyFill="1" applyBorder="1" applyAlignment="1">
      <alignment horizontal="center" vertical="center" wrapText="1"/>
    </xf>
    <xf numFmtId="165" fontId="31" fillId="0" borderId="1" xfId="0" applyNumberFormat="1" applyFont="1" applyBorder="1" applyAlignment="1">
      <alignment horizontal="center" vertical="center"/>
    </xf>
    <xf numFmtId="14" fontId="25" fillId="36" borderId="1" xfId="0" applyNumberFormat="1" applyFont="1" applyFill="1" applyBorder="1" applyAlignment="1">
      <alignment horizontal="center"/>
    </xf>
    <xf numFmtId="0" fontId="24" fillId="0" borderId="0" xfId="0" applyFont="1"/>
    <xf numFmtId="14" fontId="23" fillId="36" borderId="1" xfId="0" applyNumberFormat="1" applyFont="1" applyFill="1" applyBorder="1" applyAlignment="1">
      <alignment horizontal="center"/>
    </xf>
    <xf numFmtId="164" fontId="20" fillId="0" borderId="1" xfId="0" applyNumberFormat="1" applyFont="1" applyBorder="1" applyAlignment="1">
      <alignment horizontal="center" vertical="center"/>
    </xf>
    <xf numFmtId="0" fontId="22" fillId="0" borderId="1" xfId="0" quotePrefix="1" applyFont="1" applyBorder="1" applyAlignment="1">
      <alignment horizontal="center"/>
    </xf>
    <xf numFmtId="164" fontId="28" fillId="0" borderId="0" xfId="0" applyNumberFormat="1" applyFont="1"/>
    <xf numFmtId="0" fontId="21" fillId="36" borderId="1" xfId="0" applyFont="1" applyFill="1" applyBorder="1" applyAlignment="1">
      <alignment horizontal="center" vertical="center" wrapText="1"/>
    </xf>
    <xf numFmtId="3" fontId="23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164" fontId="28" fillId="0" borderId="12" xfId="0" applyNumberFormat="1" applyFont="1" applyBorder="1" applyAlignment="1">
      <alignment horizontal="center"/>
    </xf>
    <xf numFmtId="14" fontId="21" fillId="2" borderId="1" xfId="0" applyNumberFormat="1" applyFont="1" applyFill="1" applyBorder="1" applyAlignment="1">
      <alignment horizontal="center"/>
    </xf>
  </cellXfs>
  <cellStyles count="44">
    <cellStyle name="%20 - Vurgu1 2" xfId="21" xr:uid="{00000000-0005-0000-0000-000000000000}"/>
    <cellStyle name="%20 - Vurgu2 2" xfId="25" xr:uid="{00000000-0005-0000-0000-000001000000}"/>
    <cellStyle name="%20 - Vurgu3 2" xfId="29" xr:uid="{00000000-0005-0000-0000-000002000000}"/>
    <cellStyle name="%20 - Vurgu4 2" xfId="33" xr:uid="{00000000-0005-0000-0000-000003000000}"/>
    <cellStyle name="%20 - Vurgu5 2" xfId="37" xr:uid="{00000000-0005-0000-0000-000004000000}"/>
    <cellStyle name="%20 - Vurgu6 2" xfId="41" xr:uid="{00000000-0005-0000-0000-000005000000}"/>
    <cellStyle name="%40 - Vurgu1 2" xfId="22" xr:uid="{00000000-0005-0000-0000-000006000000}"/>
    <cellStyle name="%40 - Vurgu2 2" xfId="26" xr:uid="{00000000-0005-0000-0000-000007000000}"/>
    <cellStyle name="%40 - Vurgu3 2" xfId="30" xr:uid="{00000000-0005-0000-0000-000008000000}"/>
    <cellStyle name="%40 - Vurgu4 2" xfId="34" xr:uid="{00000000-0005-0000-0000-000009000000}"/>
    <cellStyle name="%40 - Vurgu5 2" xfId="38" xr:uid="{00000000-0005-0000-0000-00000A000000}"/>
    <cellStyle name="%40 - Vurgu6 2" xfId="42" xr:uid="{00000000-0005-0000-0000-00000B000000}"/>
    <cellStyle name="%60 - Vurgu1 2" xfId="23" xr:uid="{00000000-0005-0000-0000-00000C000000}"/>
    <cellStyle name="%60 - Vurgu2 2" xfId="27" xr:uid="{00000000-0005-0000-0000-00000D000000}"/>
    <cellStyle name="%60 - Vurgu3 2" xfId="31" xr:uid="{00000000-0005-0000-0000-00000E000000}"/>
    <cellStyle name="%60 - Vurgu4 2" xfId="35" xr:uid="{00000000-0005-0000-0000-00000F000000}"/>
    <cellStyle name="%60 - Vurgu5 2" xfId="39" xr:uid="{00000000-0005-0000-0000-000010000000}"/>
    <cellStyle name="%60 - Vurgu6 2" xfId="43" xr:uid="{00000000-0005-0000-0000-000011000000}"/>
    <cellStyle name="Açıklama Metni 2" xfId="18" xr:uid="{00000000-0005-0000-0000-000012000000}"/>
    <cellStyle name="Ana Başlık 2" xfId="3" xr:uid="{00000000-0005-0000-0000-000013000000}"/>
    <cellStyle name="Bağlı Hücre 2" xfId="14" xr:uid="{00000000-0005-0000-0000-000014000000}"/>
    <cellStyle name="Başlık 1 2" xfId="4" xr:uid="{00000000-0005-0000-0000-000015000000}"/>
    <cellStyle name="Başlık 2 2" xfId="5" xr:uid="{00000000-0005-0000-0000-000016000000}"/>
    <cellStyle name="Başlık 3 2" xfId="6" xr:uid="{00000000-0005-0000-0000-000017000000}"/>
    <cellStyle name="Başlık 4 2" xfId="7" xr:uid="{00000000-0005-0000-0000-000018000000}"/>
    <cellStyle name="Çıkış 2" xfId="12" xr:uid="{00000000-0005-0000-0000-000019000000}"/>
    <cellStyle name="Giriş 2" xfId="11" xr:uid="{00000000-0005-0000-0000-00001A000000}"/>
    <cellStyle name="Hesaplama 2" xfId="13" xr:uid="{00000000-0005-0000-0000-00001B000000}"/>
    <cellStyle name="İşaretli Hücre 2" xfId="15" xr:uid="{00000000-0005-0000-0000-00001C000000}"/>
    <cellStyle name="İyi 2" xfId="8" xr:uid="{00000000-0005-0000-0000-00001D000000}"/>
    <cellStyle name="Kötü 2" xfId="9" xr:uid="{00000000-0005-0000-0000-00001E000000}"/>
    <cellStyle name="Normal" xfId="0" builtinId="0"/>
    <cellStyle name="Normal 2" xfId="1" xr:uid="{00000000-0005-0000-0000-000020000000}"/>
    <cellStyle name="Not 2" xfId="17" xr:uid="{00000000-0005-0000-0000-000021000000}"/>
    <cellStyle name="Nötr 2" xfId="10" xr:uid="{00000000-0005-0000-0000-000022000000}"/>
    <cellStyle name="ParaBirimi 2" xfId="2" xr:uid="{00000000-0005-0000-0000-000023000000}"/>
    <cellStyle name="Toplam 2" xfId="19" xr:uid="{00000000-0005-0000-0000-000024000000}"/>
    <cellStyle name="Uyarı Metni 2" xfId="16" xr:uid="{00000000-0005-0000-0000-000025000000}"/>
    <cellStyle name="Vurgu1 2" xfId="20" xr:uid="{00000000-0005-0000-0000-000026000000}"/>
    <cellStyle name="Vurgu2 2" xfId="24" xr:uid="{00000000-0005-0000-0000-000027000000}"/>
    <cellStyle name="Vurgu3 2" xfId="28" xr:uid="{00000000-0005-0000-0000-000028000000}"/>
    <cellStyle name="Vurgu4 2" xfId="32" xr:uid="{00000000-0005-0000-0000-000029000000}"/>
    <cellStyle name="Vurgu5 2" xfId="36" xr:uid="{00000000-0005-0000-0000-00002A000000}"/>
    <cellStyle name="Vurgu6 2" xfId="40" xr:uid="{00000000-0005-0000-0000-00002B000000}"/>
  </cellStyles>
  <dxfs count="0"/>
  <tableStyles count="0" defaultTableStyle="TableStyleMedium2" defaultPivotStyle="PivotStyleLight16"/>
  <colors>
    <mruColors>
      <color rgb="FFFF33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19050</xdr:rowOff>
    </xdr:from>
    <xdr:to>
      <xdr:col>2</xdr:col>
      <xdr:colOff>362116</xdr:colOff>
      <xdr:row>3</xdr:row>
      <xdr:rowOff>118110</xdr:rowOff>
    </xdr:to>
    <xdr:pic>
      <xdr:nvPicPr>
        <xdr:cNvPr id="3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050"/>
          <a:ext cx="12192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N561"/>
  <sheetViews>
    <sheetView tabSelected="1" topLeftCell="A401" zoomScaleNormal="100" workbookViewId="0">
      <selection activeCell="J419" sqref="J419"/>
    </sheetView>
  </sheetViews>
  <sheetFormatPr defaultRowHeight="15" x14ac:dyDescent="0.25"/>
  <cols>
    <col min="1" max="1" width="2.7109375" customWidth="1"/>
    <col min="2" max="2" width="13.140625" style="13" customWidth="1"/>
    <col min="3" max="3" width="8" style="13" customWidth="1"/>
    <col min="4" max="4" width="13.85546875" style="13" customWidth="1"/>
    <col min="5" max="5" width="12" customWidth="1"/>
    <col min="6" max="6" width="19.5703125" bestFit="1" customWidth="1"/>
    <col min="7" max="7" width="14.28515625" customWidth="1"/>
    <col min="8" max="8" width="12.85546875" customWidth="1"/>
    <col min="9" max="9" width="76.42578125" customWidth="1"/>
    <col min="10" max="10" width="15" customWidth="1"/>
    <col min="11" max="11" width="13.7109375" style="14" customWidth="1"/>
    <col min="12" max="12" width="131.42578125" style="11" bestFit="1" customWidth="1"/>
    <col min="13" max="13" width="17.42578125" style="20" customWidth="1"/>
    <col min="14" max="14" width="11.140625" bestFit="1" customWidth="1"/>
    <col min="15" max="15" width="16.140625" customWidth="1"/>
  </cols>
  <sheetData>
    <row r="4" spans="2:12" x14ac:dyDescent="0.25">
      <c r="I4" s="17"/>
    </row>
    <row r="5" spans="2:12" x14ac:dyDescent="0.25">
      <c r="I5" s="17"/>
      <c r="L5" s="11" t="s">
        <v>12</v>
      </c>
    </row>
    <row r="7" spans="2:12" ht="30" x14ac:dyDescent="0.25">
      <c r="B7" s="1" t="s">
        <v>0</v>
      </c>
      <c r="C7" s="1" t="s">
        <v>443</v>
      </c>
      <c r="D7" s="2" t="s">
        <v>6</v>
      </c>
      <c r="E7" s="2" t="s">
        <v>7</v>
      </c>
      <c r="F7" s="1" t="s">
        <v>9</v>
      </c>
      <c r="G7" s="1" t="s">
        <v>40</v>
      </c>
      <c r="H7" s="3" t="s">
        <v>1</v>
      </c>
      <c r="I7" s="1" t="s">
        <v>2</v>
      </c>
      <c r="J7" s="4" t="s">
        <v>3</v>
      </c>
      <c r="K7" s="15" t="s">
        <v>4</v>
      </c>
      <c r="L7" s="2" t="s">
        <v>5</v>
      </c>
    </row>
    <row r="8" spans="2:12" x14ac:dyDescent="0.25">
      <c r="B8" s="108" t="s">
        <v>116</v>
      </c>
      <c r="C8" s="108"/>
      <c r="D8" s="108"/>
      <c r="E8" s="108"/>
      <c r="F8" s="108"/>
      <c r="G8" s="108"/>
      <c r="H8" s="108"/>
      <c r="I8" s="108"/>
      <c r="J8" s="108"/>
      <c r="K8" s="108"/>
      <c r="L8" s="108"/>
    </row>
    <row r="9" spans="2:12" x14ac:dyDescent="0.25">
      <c r="B9" s="55" t="s">
        <v>172</v>
      </c>
      <c r="C9" s="55">
        <v>38</v>
      </c>
      <c r="D9" s="56">
        <v>46037</v>
      </c>
      <c r="E9" s="55" t="s">
        <v>8</v>
      </c>
      <c r="F9" s="57" t="s">
        <v>20</v>
      </c>
      <c r="G9" s="58">
        <v>800106</v>
      </c>
      <c r="H9" s="58" t="s">
        <v>102</v>
      </c>
      <c r="I9" s="55" t="s">
        <v>103</v>
      </c>
      <c r="J9" s="59">
        <v>0.27689999999999998</v>
      </c>
      <c r="K9" s="60">
        <v>1500</v>
      </c>
      <c r="L9" s="61"/>
    </row>
    <row r="10" spans="2:12" x14ac:dyDescent="0.25">
      <c r="B10" s="55" t="s">
        <v>170</v>
      </c>
      <c r="C10" s="55">
        <v>1</v>
      </c>
      <c r="D10" s="56">
        <v>46037</v>
      </c>
      <c r="E10" s="55" t="s">
        <v>8</v>
      </c>
      <c r="F10" s="57" t="s">
        <v>126</v>
      </c>
      <c r="G10" s="58">
        <v>200380</v>
      </c>
      <c r="H10" s="57" t="s">
        <v>127</v>
      </c>
      <c r="I10" s="55" t="s">
        <v>530</v>
      </c>
      <c r="J10" s="59">
        <v>0.21</v>
      </c>
      <c r="K10" s="60">
        <v>25000</v>
      </c>
      <c r="L10" s="61" t="s">
        <v>171</v>
      </c>
    </row>
    <row r="11" spans="2:12" x14ac:dyDescent="0.25">
      <c r="B11" s="55" t="s">
        <v>170</v>
      </c>
      <c r="C11" s="55">
        <v>2</v>
      </c>
      <c r="D11" s="56">
        <v>46037</v>
      </c>
      <c r="E11" s="55" t="s">
        <v>8</v>
      </c>
      <c r="F11" s="57" t="s">
        <v>126</v>
      </c>
      <c r="G11" s="62">
        <v>200227</v>
      </c>
      <c r="H11" s="57" t="s">
        <v>128</v>
      </c>
      <c r="I11" s="55" t="s">
        <v>531</v>
      </c>
      <c r="J11" s="59">
        <v>0.22059999999999999</v>
      </c>
      <c r="K11" s="60">
        <v>2000</v>
      </c>
      <c r="L11" s="63"/>
    </row>
    <row r="12" spans="2:12" x14ac:dyDescent="0.25">
      <c r="B12" s="55" t="s">
        <v>173</v>
      </c>
      <c r="C12" s="55">
        <v>1</v>
      </c>
      <c r="D12" s="56">
        <v>46037</v>
      </c>
      <c r="E12" s="55" t="s">
        <v>8</v>
      </c>
      <c r="F12" s="57" t="s">
        <v>132</v>
      </c>
      <c r="G12" s="58">
        <v>700355</v>
      </c>
      <c r="H12" s="59" t="s">
        <v>72</v>
      </c>
      <c r="I12" s="55" t="s">
        <v>71</v>
      </c>
      <c r="J12" s="59">
        <v>0.1923</v>
      </c>
      <c r="K12" s="64">
        <v>2800</v>
      </c>
      <c r="L12" s="63"/>
    </row>
    <row r="13" spans="2:12" x14ac:dyDescent="0.25">
      <c r="B13" s="55" t="s">
        <v>175</v>
      </c>
      <c r="C13" s="55">
        <v>1</v>
      </c>
      <c r="D13" s="56">
        <v>46037</v>
      </c>
      <c r="E13" s="55" t="s">
        <v>8</v>
      </c>
      <c r="F13" s="57" t="s">
        <v>135</v>
      </c>
      <c r="G13" s="58">
        <v>200069</v>
      </c>
      <c r="H13" s="59" t="s">
        <v>174</v>
      </c>
      <c r="I13" s="55" t="s">
        <v>136</v>
      </c>
      <c r="J13" s="59">
        <v>0.19789999999999999</v>
      </c>
      <c r="K13" s="60">
        <v>1500</v>
      </c>
      <c r="L13" s="63"/>
    </row>
    <row r="14" spans="2:12" x14ac:dyDescent="0.25">
      <c r="B14" s="65" t="s">
        <v>241</v>
      </c>
      <c r="C14" s="65">
        <v>1</v>
      </c>
      <c r="D14" s="66">
        <v>46037</v>
      </c>
      <c r="E14" s="65" t="s">
        <v>8</v>
      </c>
      <c r="F14" s="67" t="s">
        <v>191</v>
      </c>
      <c r="G14" s="68">
        <v>400807</v>
      </c>
      <c r="H14" s="69" t="s">
        <v>236</v>
      </c>
      <c r="I14" s="65" t="s">
        <v>192</v>
      </c>
      <c r="J14" s="69">
        <v>0.41499999999999998</v>
      </c>
      <c r="K14" s="70">
        <v>1000</v>
      </c>
      <c r="L14" s="63"/>
    </row>
    <row r="15" spans="2:12" x14ac:dyDescent="0.25">
      <c r="B15" s="65" t="s">
        <v>241</v>
      </c>
      <c r="C15" s="65">
        <v>2</v>
      </c>
      <c r="D15" s="66">
        <v>46037</v>
      </c>
      <c r="E15" s="65" t="s">
        <v>8</v>
      </c>
      <c r="F15" s="67" t="s">
        <v>191</v>
      </c>
      <c r="G15" s="68">
        <v>400939</v>
      </c>
      <c r="H15" s="69" t="s">
        <v>226</v>
      </c>
      <c r="I15" s="65" t="s">
        <v>193</v>
      </c>
      <c r="J15" s="69">
        <v>0.79649999999999999</v>
      </c>
      <c r="K15" s="70">
        <v>1000</v>
      </c>
      <c r="L15" s="63"/>
    </row>
    <row r="16" spans="2:12" x14ac:dyDescent="0.25">
      <c r="B16" s="65" t="s">
        <v>241</v>
      </c>
      <c r="C16" s="65">
        <v>3</v>
      </c>
      <c r="D16" s="66">
        <v>46037</v>
      </c>
      <c r="E16" s="65" t="s">
        <v>8</v>
      </c>
      <c r="F16" s="67" t="s">
        <v>191</v>
      </c>
      <c r="G16" s="68">
        <v>500043</v>
      </c>
      <c r="H16" s="69" t="s">
        <v>227</v>
      </c>
      <c r="I16" s="65" t="s">
        <v>224</v>
      </c>
      <c r="J16" s="69">
        <v>0.2792</v>
      </c>
      <c r="K16" s="70">
        <v>1000</v>
      </c>
      <c r="L16" s="63"/>
    </row>
    <row r="17" spans="2:12" x14ac:dyDescent="0.25">
      <c r="B17" s="65" t="s">
        <v>241</v>
      </c>
      <c r="C17" s="65">
        <v>4</v>
      </c>
      <c r="D17" s="66">
        <v>46037</v>
      </c>
      <c r="E17" s="65" t="s">
        <v>8</v>
      </c>
      <c r="F17" s="67" t="s">
        <v>191</v>
      </c>
      <c r="G17" s="68">
        <v>300446</v>
      </c>
      <c r="H17" s="69" t="s">
        <v>228</v>
      </c>
      <c r="I17" s="65" t="s">
        <v>529</v>
      </c>
      <c r="J17" s="69">
        <v>0.81399999999999995</v>
      </c>
      <c r="K17" s="70">
        <v>500</v>
      </c>
      <c r="L17" s="63"/>
    </row>
    <row r="18" spans="2:12" x14ac:dyDescent="0.25">
      <c r="B18" s="65" t="s">
        <v>241</v>
      </c>
      <c r="C18" s="65">
        <v>5</v>
      </c>
      <c r="D18" s="66">
        <v>46037</v>
      </c>
      <c r="E18" s="65" t="s">
        <v>8</v>
      </c>
      <c r="F18" s="67" t="s">
        <v>191</v>
      </c>
      <c r="G18" s="68">
        <v>400034</v>
      </c>
      <c r="H18" s="69" t="s">
        <v>229</v>
      </c>
      <c r="I18" s="65" t="s">
        <v>225</v>
      </c>
      <c r="J18" s="69">
        <v>0.2087</v>
      </c>
      <c r="K18" s="70">
        <v>1500</v>
      </c>
      <c r="L18" s="63"/>
    </row>
    <row r="19" spans="2:12" x14ac:dyDescent="0.25">
      <c r="B19" s="65" t="s">
        <v>241</v>
      </c>
      <c r="C19" s="65">
        <v>6</v>
      </c>
      <c r="D19" s="66">
        <v>46037</v>
      </c>
      <c r="E19" s="65" t="s">
        <v>8</v>
      </c>
      <c r="F19" s="67" t="s">
        <v>191</v>
      </c>
      <c r="G19" s="68">
        <v>400173</v>
      </c>
      <c r="H19" s="69" t="s">
        <v>230</v>
      </c>
      <c r="I19" s="65" t="s">
        <v>194</v>
      </c>
      <c r="J19" s="69">
        <v>0.218</v>
      </c>
      <c r="K19" s="70">
        <v>2500</v>
      </c>
      <c r="L19" s="63"/>
    </row>
    <row r="20" spans="2:12" x14ac:dyDescent="0.25">
      <c r="B20" s="55" t="s">
        <v>249</v>
      </c>
      <c r="C20" s="55">
        <v>1</v>
      </c>
      <c r="D20" s="56">
        <v>46037</v>
      </c>
      <c r="E20" s="55" t="s">
        <v>8</v>
      </c>
      <c r="F20" s="57" t="s">
        <v>159</v>
      </c>
      <c r="G20" s="58">
        <v>200628</v>
      </c>
      <c r="H20" s="59" t="s">
        <v>208</v>
      </c>
      <c r="I20" s="55" t="s">
        <v>160</v>
      </c>
      <c r="J20" s="59">
        <v>0.20130000000000001</v>
      </c>
      <c r="K20" s="60">
        <v>400</v>
      </c>
      <c r="L20" s="63"/>
    </row>
    <row r="21" spans="2:12" x14ac:dyDescent="0.25">
      <c r="B21" s="55" t="s">
        <v>251</v>
      </c>
      <c r="C21" s="55">
        <v>1</v>
      </c>
      <c r="D21" s="56">
        <v>46037</v>
      </c>
      <c r="E21" s="55" t="s">
        <v>8</v>
      </c>
      <c r="F21" s="57" t="s">
        <v>185</v>
      </c>
      <c r="G21" s="58">
        <v>500111</v>
      </c>
      <c r="H21" s="59" t="s">
        <v>250</v>
      </c>
      <c r="I21" s="55" t="s">
        <v>186</v>
      </c>
      <c r="J21" s="59">
        <v>0.23350000000000001</v>
      </c>
      <c r="K21" s="60">
        <v>600</v>
      </c>
      <c r="L21" s="63"/>
    </row>
    <row r="22" spans="2:12" x14ac:dyDescent="0.25">
      <c r="B22" s="55" t="s">
        <v>251</v>
      </c>
      <c r="C22" s="55">
        <v>2</v>
      </c>
      <c r="D22" s="56">
        <v>46037</v>
      </c>
      <c r="E22" s="55" t="s">
        <v>8</v>
      </c>
      <c r="F22" s="57" t="s">
        <v>185</v>
      </c>
      <c r="G22" s="58">
        <v>400322</v>
      </c>
      <c r="H22" s="59" t="s">
        <v>235</v>
      </c>
      <c r="I22" s="55" t="s">
        <v>223</v>
      </c>
      <c r="J22" s="59">
        <v>0.13900000000000001</v>
      </c>
      <c r="K22" s="60">
        <v>1000</v>
      </c>
      <c r="L22" s="63"/>
    </row>
    <row r="23" spans="2:12" x14ac:dyDescent="0.25">
      <c r="B23" s="55" t="s">
        <v>253</v>
      </c>
      <c r="C23" s="55">
        <v>1</v>
      </c>
      <c r="D23" s="56">
        <v>46037</v>
      </c>
      <c r="E23" s="55" t="s">
        <v>8</v>
      </c>
      <c r="F23" s="57" t="s">
        <v>154</v>
      </c>
      <c r="G23" s="58">
        <v>201242</v>
      </c>
      <c r="H23" s="59" t="s">
        <v>206</v>
      </c>
      <c r="I23" s="55" t="s">
        <v>155</v>
      </c>
      <c r="J23" s="59">
        <v>0.91749999999999998</v>
      </c>
      <c r="K23" s="60">
        <v>100</v>
      </c>
      <c r="L23" s="63"/>
    </row>
    <row r="24" spans="2:12" x14ac:dyDescent="0.25">
      <c r="B24" s="55" t="s">
        <v>254</v>
      </c>
      <c r="C24" s="55">
        <v>1</v>
      </c>
      <c r="D24" s="56">
        <v>46037</v>
      </c>
      <c r="E24" s="55" t="s">
        <v>8</v>
      </c>
      <c r="F24" s="57" t="s">
        <v>156</v>
      </c>
      <c r="G24" s="58">
        <v>200201</v>
      </c>
      <c r="H24" s="59" t="s">
        <v>96</v>
      </c>
      <c r="I24" s="55" t="s">
        <v>97</v>
      </c>
      <c r="J24" s="59">
        <v>0.22969999999999999</v>
      </c>
      <c r="K24" s="60">
        <v>1000</v>
      </c>
      <c r="L24" s="63"/>
    </row>
    <row r="25" spans="2:12" x14ac:dyDescent="0.25">
      <c r="B25" s="55" t="s">
        <v>255</v>
      </c>
      <c r="C25" s="55">
        <v>1</v>
      </c>
      <c r="D25" s="56">
        <v>46037</v>
      </c>
      <c r="E25" s="55" t="s">
        <v>8</v>
      </c>
      <c r="F25" s="57" t="s">
        <v>157</v>
      </c>
      <c r="G25" s="58">
        <v>400372</v>
      </c>
      <c r="H25" s="59" t="s">
        <v>207</v>
      </c>
      <c r="I25" s="55" t="s">
        <v>158</v>
      </c>
      <c r="J25" s="59">
        <v>0.18890000000000001</v>
      </c>
      <c r="K25" s="60">
        <v>550</v>
      </c>
      <c r="L25" s="63"/>
    </row>
    <row r="26" spans="2:12" x14ac:dyDescent="0.25">
      <c r="B26" s="65" t="s">
        <v>256</v>
      </c>
      <c r="C26" s="65">
        <v>1</v>
      </c>
      <c r="D26" s="66">
        <v>46037</v>
      </c>
      <c r="E26" s="65" t="s">
        <v>8</v>
      </c>
      <c r="F26" s="67" t="s">
        <v>161</v>
      </c>
      <c r="G26" s="68">
        <v>400082</v>
      </c>
      <c r="H26" s="69" t="s">
        <v>209</v>
      </c>
      <c r="I26" s="65" t="s">
        <v>162</v>
      </c>
      <c r="J26" s="69">
        <v>0.21390000000000001</v>
      </c>
      <c r="K26" s="70">
        <v>2000</v>
      </c>
      <c r="L26" s="63"/>
    </row>
    <row r="27" spans="2:12" x14ac:dyDescent="0.25">
      <c r="B27" s="65" t="s">
        <v>256</v>
      </c>
      <c r="C27" s="65">
        <v>2</v>
      </c>
      <c r="D27" s="66">
        <v>46037</v>
      </c>
      <c r="E27" s="65" t="s">
        <v>8</v>
      </c>
      <c r="F27" s="67" t="s">
        <v>161</v>
      </c>
      <c r="G27" s="68">
        <v>400185</v>
      </c>
      <c r="H27" s="69" t="s">
        <v>210</v>
      </c>
      <c r="I27" s="65" t="s">
        <v>163</v>
      </c>
      <c r="J27" s="69">
        <v>0.20499999999999999</v>
      </c>
      <c r="K27" s="70">
        <v>800</v>
      </c>
      <c r="L27" s="63"/>
    </row>
    <row r="28" spans="2:12" x14ac:dyDescent="0.25">
      <c r="B28" s="65" t="s">
        <v>256</v>
      </c>
      <c r="C28" s="65">
        <v>3</v>
      </c>
      <c r="D28" s="66">
        <v>46037</v>
      </c>
      <c r="E28" s="65" t="s">
        <v>8</v>
      </c>
      <c r="F28" s="67" t="s">
        <v>161</v>
      </c>
      <c r="G28" s="68">
        <v>400210</v>
      </c>
      <c r="H28" s="69" t="s">
        <v>211</v>
      </c>
      <c r="I28" s="65" t="s">
        <v>164</v>
      </c>
      <c r="J28" s="69">
        <v>0.1462</v>
      </c>
      <c r="K28" s="70">
        <f>6000-2550</f>
        <v>3450</v>
      </c>
      <c r="L28" s="61" t="s">
        <v>528</v>
      </c>
    </row>
    <row r="29" spans="2:12" x14ac:dyDescent="0.25">
      <c r="B29" s="65" t="s">
        <v>256</v>
      </c>
      <c r="C29" s="65">
        <v>4</v>
      </c>
      <c r="D29" s="66">
        <v>46037</v>
      </c>
      <c r="E29" s="65" t="s">
        <v>8</v>
      </c>
      <c r="F29" s="67" t="s">
        <v>161</v>
      </c>
      <c r="G29" s="68">
        <v>500067</v>
      </c>
      <c r="H29" s="69" t="s">
        <v>212</v>
      </c>
      <c r="I29" s="65" t="s">
        <v>165</v>
      </c>
      <c r="J29" s="69">
        <v>0.25679999999999997</v>
      </c>
      <c r="K29" s="70">
        <v>2500</v>
      </c>
      <c r="L29" s="63"/>
    </row>
    <row r="30" spans="2:12" x14ac:dyDescent="0.25">
      <c r="B30" s="55" t="s">
        <v>257</v>
      </c>
      <c r="C30" s="55">
        <v>1</v>
      </c>
      <c r="D30" s="56">
        <v>46037</v>
      </c>
      <c r="E30" s="55" t="s">
        <v>8</v>
      </c>
      <c r="F30" s="57" t="s">
        <v>166</v>
      </c>
      <c r="G30" s="96" t="s">
        <v>316</v>
      </c>
      <c r="H30" s="59" t="s">
        <v>213</v>
      </c>
      <c r="I30" s="71" t="s">
        <v>167</v>
      </c>
      <c r="J30" s="59">
        <v>0.19650000000000001</v>
      </c>
      <c r="K30" s="60">
        <v>2000</v>
      </c>
      <c r="L30" s="61" t="s">
        <v>814</v>
      </c>
    </row>
    <row r="31" spans="2:12" x14ac:dyDescent="0.25">
      <c r="B31" s="55" t="s">
        <v>257</v>
      </c>
      <c r="C31" s="55">
        <v>3</v>
      </c>
      <c r="D31" s="56">
        <v>46037</v>
      </c>
      <c r="E31" s="55" t="s">
        <v>8</v>
      </c>
      <c r="F31" s="57" t="s">
        <v>166</v>
      </c>
      <c r="G31" s="58">
        <v>600285</v>
      </c>
      <c r="H31" s="59" t="s">
        <v>215</v>
      </c>
      <c r="I31" s="55" t="s">
        <v>169</v>
      </c>
      <c r="J31" s="59">
        <v>0.22270000000000001</v>
      </c>
      <c r="K31" s="60">
        <v>4500</v>
      </c>
      <c r="L31" s="63"/>
    </row>
    <row r="32" spans="2:12" x14ac:dyDescent="0.25">
      <c r="B32" s="55" t="s">
        <v>272</v>
      </c>
      <c r="C32" s="55">
        <v>1</v>
      </c>
      <c r="D32" s="56">
        <v>46037</v>
      </c>
      <c r="E32" s="55" t="s">
        <v>8</v>
      </c>
      <c r="F32" s="57" t="s">
        <v>188</v>
      </c>
      <c r="G32" s="58">
        <v>200976</v>
      </c>
      <c r="H32" s="59" t="s">
        <v>189</v>
      </c>
      <c r="I32" s="55" t="s">
        <v>187</v>
      </c>
      <c r="J32" s="59">
        <v>0.56299999999999994</v>
      </c>
      <c r="K32" s="60">
        <v>200</v>
      </c>
      <c r="L32" s="63"/>
    </row>
    <row r="33" spans="2:12" x14ac:dyDescent="0.25">
      <c r="B33" s="55" t="s">
        <v>273</v>
      </c>
      <c r="C33" s="55">
        <v>1</v>
      </c>
      <c r="D33" s="56">
        <v>46037</v>
      </c>
      <c r="E33" s="55" t="s">
        <v>8</v>
      </c>
      <c r="F33" s="57" t="s">
        <v>201</v>
      </c>
      <c r="G33" s="58">
        <v>200435</v>
      </c>
      <c r="H33" s="59" t="s">
        <v>146</v>
      </c>
      <c r="I33" s="55" t="s">
        <v>138</v>
      </c>
      <c r="J33" s="59">
        <v>0.37030000000000002</v>
      </c>
      <c r="K33" s="60">
        <v>200</v>
      </c>
      <c r="L33" s="63"/>
    </row>
    <row r="34" spans="2:12" x14ac:dyDescent="0.25">
      <c r="B34" s="65" t="s">
        <v>274</v>
      </c>
      <c r="C34" s="65">
        <v>1</v>
      </c>
      <c r="D34" s="66">
        <v>46037</v>
      </c>
      <c r="E34" s="65" t="s">
        <v>8</v>
      </c>
      <c r="F34" s="67" t="s">
        <v>178</v>
      </c>
      <c r="G34" s="68">
        <v>100002</v>
      </c>
      <c r="H34" s="69" t="s">
        <v>243</v>
      </c>
      <c r="I34" s="65" t="s">
        <v>179</v>
      </c>
      <c r="J34" s="69">
        <v>0.18659999999999999</v>
      </c>
      <c r="K34" s="70">
        <v>300</v>
      </c>
      <c r="L34" s="72" t="s">
        <v>475</v>
      </c>
    </row>
    <row r="35" spans="2:12" x14ac:dyDescent="0.25">
      <c r="B35" s="55" t="s">
        <v>274</v>
      </c>
      <c r="C35" s="55">
        <v>3</v>
      </c>
      <c r="D35" s="56">
        <v>46037</v>
      </c>
      <c r="E35" s="55" t="s">
        <v>8</v>
      </c>
      <c r="F35" s="57" t="s">
        <v>178</v>
      </c>
      <c r="G35" s="58">
        <v>200159</v>
      </c>
      <c r="H35" s="59" t="s">
        <v>245</v>
      </c>
      <c r="I35" s="55" t="s">
        <v>181</v>
      </c>
      <c r="J35" s="59">
        <v>0.23169999999999999</v>
      </c>
      <c r="K35" s="60">
        <v>5000</v>
      </c>
      <c r="L35" s="63"/>
    </row>
    <row r="36" spans="2:12" x14ac:dyDescent="0.25">
      <c r="B36" s="55" t="s">
        <v>274</v>
      </c>
      <c r="C36" s="55">
        <v>5</v>
      </c>
      <c r="D36" s="56">
        <v>46037</v>
      </c>
      <c r="E36" s="55" t="s">
        <v>8</v>
      </c>
      <c r="F36" s="57" t="s">
        <v>178</v>
      </c>
      <c r="G36" s="58">
        <v>401743</v>
      </c>
      <c r="H36" s="59" t="s">
        <v>247</v>
      </c>
      <c r="I36" s="55" t="s">
        <v>183</v>
      </c>
      <c r="J36" s="59">
        <v>0.311</v>
      </c>
      <c r="K36" s="60">
        <v>1000</v>
      </c>
      <c r="L36" s="63"/>
    </row>
    <row r="37" spans="2:12" x14ac:dyDescent="0.25">
      <c r="B37" s="55" t="s">
        <v>277</v>
      </c>
      <c r="C37" s="55">
        <v>1</v>
      </c>
      <c r="D37" s="56">
        <v>46037</v>
      </c>
      <c r="E37" s="55" t="s">
        <v>8</v>
      </c>
      <c r="F37" s="57" t="s">
        <v>220</v>
      </c>
      <c r="G37" s="58">
        <v>200056</v>
      </c>
      <c r="H37" s="59" t="s">
        <v>60</v>
      </c>
      <c r="I37" s="55" t="s">
        <v>61</v>
      </c>
      <c r="J37" s="59">
        <v>0.2094</v>
      </c>
      <c r="K37" s="60">
        <v>2000</v>
      </c>
      <c r="L37" s="63"/>
    </row>
    <row r="38" spans="2:12" x14ac:dyDescent="0.25">
      <c r="B38" s="55" t="s">
        <v>277</v>
      </c>
      <c r="C38" s="55">
        <v>2</v>
      </c>
      <c r="D38" s="56">
        <v>46037</v>
      </c>
      <c r="E38" s="55" t="s">
        <v>8</v>
      </c>
      <c r="F38" s="57" t="s">
        <v>220</v>
      </c>
      <c r="G38" s="58">
        <v>200058</v>
      </c>
      <c r="H38" s="55" t="s">
        <v>86</v>
      </c>
      <c r="I38" s="55" t="s">
        <v>87</v>
      </c>
      <c r="J38" s="59">
        <v>0.1615</v>
      </c>
      <c r="K38" s="60">
        <v>5000</v>
      </c>
      <c r="L38" s="63"/>
    </row>
    <row r="39" spans="2:12" x14ac:dyDescent="0.25">
      <c r="B39" s="55" t="s">
        <v>277</v>
      </c>
      <c r="C39" s="55">
        <v>3</v>
      </c>
      <c r="D39" s="56">
        <v>46037</v>
      </c>
      <c r="E39" s="55" t="s">
        <v>8</v>
      </c>
      <c r="F39" s="57" t="s">
        <v>220</v>
      </c>
      <c r="G39" s="58">
        <v>400049</v>
      </c>
      <c r="H39" s="59" t="s">
        <v>44</v>
      </c>
      <c r="I39" s="55" t="s">
        <v>47</v>
      </c>
      <c r="J39" s="59">
        <v>0.2077</v>
      </c>
      <c r="K39" s="60">
        <v>1000</v>
      </c>
      <c r="L39" s="63"/>
    </row>
    <row r="40" spans="2:12" x14ac:dyDescent="0.25">
      <c r="B40" s="55" t="s">
        <v>277</v>
      </c>
      <c r="C40" s="55">
        <v>4</v>
      </c>
      <c r="D40" s="56">
        <v>46037</v>
      </c>
      <c r="E40" s="55" t="s">
        <v>8</v>
      </c>
      <c r="F40" s="57" t="s">
        <v>220</v>
      </c>
      <c r="G40" s="58">
        <v>400052</v>
      </c>
      <c r="H40" s="59" t="s">
        <v>108</v>
      </c>
      <c r="I40" s="55" t="s">
        <v>109</v>
      </c>
      <c r="J40" s="59">
        <v>0.25</v>
      </c>
      <c r="K40" s="60">
        <v>2000</v>
      </c>
      <c r="L40" s="63"/>
    </row>
    <row r="41" spans="2:12" x14ac:dyDescent="0.25">
      <c r="B41" s="55" t="s">
        <v>277</v>
      </c>
      <c r="C41" s="55">
        <v>5</v>
      </c>
      <c r="D41" s="56">
        <v>46037</v>
      </c>
      <c r="E41" s="55" t="s">
        <v>8</v>
      </c>
      <c r="F41" s="57" t="s">
        <v>220</v>
      </c>
      <c r="G41" s="58">
        <v>401283</v>
      </c>
      <c r="H41" s="59" t="s">
        <v>77</v>
      </c>
      <c r="I41" s="55" t="s">
        <v>78</v>
      </c>
      <c r="J41" s="59">
        <v>0.18459999999999999</v>
      </c>
      <c r="K41" s="60">
        <v>3500</v>
      </c>
      <c r="L41" s="63"/>
    </row>
    <row r="42" spans="2:12" x14ac:dyDescent="0.25">
      <c r="B42" s="55" t="s">
        <v>277</v>
      </c>
      <c r="C42" s="55">
        <v>6</v>
      </c>
      <c r="D42" s="56">
        <v>46037</v>
      </c>
      <c r="E42" s="55" t="s">
        <v>8</v>
      </c>
      <c r="F42" s="57" t="s">
        <v>220</v>
      </c>
      <c r="G42" s="58">
        <v>200037</v>
      </c>
      <c r="H42" s="59" t="s">
        <v>59</v>
      </c>
      <c r="I42" s="55" t="s">
        <v>57</v>
      </c>
      <c r="J42" s="59">
        <v>0.60660000000000003</v>
      </c>
      <c r="K42" s="60">
        <v>4000</v>
      </c>
      <c r="L42" s="55"/>
    </row>
    <row r="43" spans="2:12" x14ac:dyDescent="0.25">
      <c r="B43" s="55" t="s">
        <v>279</v>
      </c>
      <c r="C43" s="55">
        <v>1</v>
      </c>
      <c r="D43" s="56">
        <v>46037</v>
      </c>
      <c r="E43" s="55" t="s">
        <v>8</v>
      </c>
      <c r="F43" s="57" t="s">
        <v>200</v>
      </c>
      <c r="G43" s="58">
        <v>100591</v>
      </c>
      <c r="H43" s="59" t="s">
        <v>204</v>
      </c>
      <c r="I43" s="55" t="s">
        <v>199</v>
      </c>
      <c r="J43" s="59">
        <v>0.77669999999999995</v>
      </c>
      <c r="K43" s="60">
        <v>125</v>
      </c>
      <c r="L43" s="63"/>
    </row>
    <row r="44" spans="2:12" x14ac:dyDescent="0.25">
      <c r="B44" s="65" t="s">
        <v>284</v>
      </c>
      <c r="C44" s="65">
        <v>1</v>
      </c>
      <c r="D44" s="66">
        <v>46037</v>
      </c>
      <c r="E44" s="65" t="s">
        <v>8</v>
      </c>
      <c r="F44" s="67" t="s">
        <v>221</v>
      </c>
      <c r="G44" s="68">
        <v>700017</v>
      </c>
      <c r="H44" s="69" t="s">
        <v>233</v>
      </c>
      <c r="I44" s="65" t="s">
        <v>234</v>
      </c>
      <c r="J44" s="69">
        <v>0.1923</v>
      </c>
      <c r="K44" s="70">
        <v>5000</v>
      </c>
      <c r="L44" s="72" t="s">
        <v>475</v>
      </c>
    </row>
    <row r="45" spans="2:12" x14ac:dyDescent="0.25">
      <c r="B45" s="55" t="s">
        <v>285</v>
      </c>
      <c r="C45" s="55">
        <v>1</v>
      </c>
      <c r="D45" s="56">
        <v>46037</v>
      </c>
      <c r="E45" s="55" t="s">
        <v>8</v>
      </c>
      <c r="F45" s="57" t="s">
        <v>222</v>
      </c>
      <c r="G45" s="58">
        <v>101531</v>
      </c>
      <c r="H45" s="59" t="s">
        <v>232</v>
      </c>
      <c r="I45" s="55" t="s">
        <v>231</v>
      </c>
      <c r="J45" s="73">
        <v>0.31900000000000001</v>
      </c>
      <c r="K45" s="60">
        <v>1500</v>
      </c>
      <c r="L45" s="72"/>
    </row>
    <row r="46" spans="2:12" x14ac:dyDescent="0.25">
      <c r="B46" s="55" t="s">
        <v>305</v>
      </c>
      <c r="C46" s="55">
        <v>1</v>
      </c>
      <c r="D46" s="56">
        <v>46037</v>
      </c>
      <c r="E46" s="55" t="s">
        <v>8</v>
      </c>
      <c r="F46" s="57" t="s">
        <v>292</v>
      </c>
      <c r="G46" s="55">
        <v>400343</v>
      </c>
      <c r="H46" s="59" t="s">
        <v>100</v>
      </c>
      <c r="I46" s="55" t="s">
        <v>101</v>
      </c>
      <c r="J46" s="59">
        <v>0.2</v>
      </c>
      <c r="K46" s="60">
        <v>250</v>
      </c>
      <c r="L46" s="72"/>
    </row>
    <row r="47" spans="2:12" x14ac:dyDescent="0.25">
      <c r="B47" s="55" t="s">
        <v>306</v>
      </c>
      <c r="C47" s="55">
        <v>2</v>
      </c>
      <c r="D47" s="56">
        <v>46037</v>
      </c>
      <c r="E47" s="55" t="s">
        <v>8</v>
      </c>
      <c r="F47" s="57" t="s">
        <v>297</v>
      </c>
      <c r="G47" s="55">
        <v>200027</v>
      </c>
      <c r="H47" s="59" t="s">
        <v>58</v>
      </c>
      <c r="I47" s="55" t="s">
        <v>56</v>
      </c>
      <c r="J47" s="59">
        <v>0.19139999999999999</v>
      </c>
      <c r="K47" s="60">
        <v>3500</v>
      </c>
      <c r="L47" s="72"/>
    </row>
    <row r="48" spans="2:12" x14ac:dyDescent="0.25">
      <c r="B48" s="55" t="s">
        <v>308</v>
      </c>
      <c r="C48" s="55">
        <v>1</v>
      </c>
      <c r="D48" s="56">
        <v>46037</v>
      </c>
      <c r="E48" s="55" t="s">
        <v>8</v>
      </c>
      <c r="F48" s="57" t="s">
        <v>299</v>
      </c>
      <c r="G48" s="55">
        <v>600288</v>
      </c>
      <c r="H48" s="59" t="s">
        <v>90</v>
      </c>
      <c r="I48" s="55" t="s">
        <v>68</v>
      </c>
      <c r="J48" s="59">
        <v>0.43049999999999999</v>
      </c>
      <c r="K48" s="60">
        <v>250</v>
      </c>
      <c r="L48" s="63"/>
    </row>
    <row r="49" spans="2:14" x14ac:dyDescent="0.25">
      <c r="B49" s="55" t="s">
        <v>310</v>
      </c>
      <c r="C49" s="55">
        <v>2</v>
      </c>
      <c r="D49" s="56">
        <v>46037</v>
      </c>
      <c r="E49" s="55" t="s">
        <v>8</v>
      </c>
      <c r="F49" s="57" t="s">
        <v>265</v>
      </c>
      <c r="G49" s="58">
        <v>201883</v>
      </c>
      <c r="H49" s="59" t="s">
        <v>268</v>
      </c>
      <c r="I49" s="55" t="s">
        <v>269</v>
      </c>
      <c r="J49" s="59">
        <v>0.21010000000000001</v>
      </c>
      <c r="K49" s="60">
        <v>20000</v>
      </c>
      <c r="L49" s="72"/>
    </row>
    <row r="50" spans="2:14" x14ac:dyDescent="0.25">
      <c r="B50" s="55" t="s">
        <v>313</v>
      </c>
      <c r="C50" s="55">
        <v>1</v>
      </c>
      <c r="D50" s="56">
        <v>46037</v>
      </c>
      <c r="E50" s="55" t="s">
        <v>8</v>
      </c>
      <c r="F50" s="57" t="s">
        <v>295</v>
      </c>
      <c r="G50" s="55">
        <v>600088</v>
      </c>
      <c r="H50" s="59" t="s">
        <v>298</v>
      </c>
      <c r="I50" s="55" t="s">
        <v>296</v>
      </c>
      <c r="J50" s="59">
        <v>0.57999999999999996</v>
      </c>
      <c r="K50" s="60">
        <v>300</v>
      </c>
      <c r="L50" s="72"/>
    </row>
    <row r="51" spans="2:14" x14ac:dyDescent="0.25">
      <c r="B51" s="55" t="s">
        <v>317</v>
      </c>
      <c r="C51" s="55">
        <v>1</v>
      </c>
      <c r="D51" s="56">
        <v>46037</v>
      </c>
      <c r="E51" s="55" t="s">
        <v>8</v>
      </c>
      <c r="F51" s="57" t="s">
        <v>280</v>
      </c>
      <c r="G51" s="58">
        <v>800100</v>
      </c>
      <c r="H51" s="59" t="s">
        <v>26</v>
      </c>
      <c r="I51" s="55" t="s">
        <v>27</v>
      </c>
      <c r="J51" s="59">
        <v>0.47689999999999999</v>
      </c>
      <c r="K51" s="60">
        <v>2000</v>
      </c>
      <c r="L51" s="72"/>
    </row>
    <row r="52" spans="2:14" x14ac:dyDescent="0.25">
      <c r="B52" s="55" t="s">
        <v>317</v>
      </c>
      <c r="C52" s="55">
        <v>2</v>
      </c>
      <c r="D52" s="56">
        <v>46037</v>
      </c>
      <c r="E52" s="55" t="s">
        <v>8</v>
      </c>
      <c r="F52" s="57" t="s">
        <v>280</v>
      </c>
      <c r="G52" s="58">
        <v>800100</v>
      </c>
      <c r="H52" s="59" t="s">
        <v>26</v>
      </c>
      <c r="I52" s="55" t="s">
        <v>27</v>
      </c>
      <c r="J52" s="59">
        <v>0.47689999999999999</v>
      </c>
      <c r="K52" s="60">
        <v>2000</v>
      </c>
      <c r="L52" s="72"/>
    </row>
    <row r="53" spans="2:14" x14ac:dyDescent="0.25">
      <c r="B53" s="55" t="s">
        <v>397</v>
      </c>
      <c r="C53" s="55">
        <v>1</v>
      </c>
      <c r="D53" s="56">
        <v>46037</v>
      </c>
      <c r="E53" s="55" t="s">
        <v>8</v>
      </c>
      <c r="F53" s="57" t="s">
        <v>383</v>
      </c>
      <c r="G53" s="55">
        <v>100426</v>
      </c>
      <c r="H53" s="59" t="s">
        <v>388</v>
      </c>
      <c r="I53" s="55" t="s">
        <v>384</v>
      </c>
      <c r="J53" s="59">
        <v>0.27560000000000001</v>
      </c>
      <c r="K53" s="60">
        <v>200</v>
      </c>
      <c r="L53" s="72"/>
    </row>
    <row r="54" spans="2:14" x14ac:dyDescent="0.25">
      <c r="B54" s="65" t="s">
        <v>129</v>
      </c>
      <c r="C54" s="65">
        <v>6</v>
      </c>
      <c r="D54" s="66">
        <v>45995</v>
      </c>
      <c r="E54" s="65" t="s">
        <v>8</v>
      </c>
      <c r="F54" s="67" t="s">
        <v>117</v>
      </c>
      <c r="G54" s="68">
        <v>201175</v>
      </c>
      <c r="H54" s="68" t="s">
        <v>121</v>
      </c>
      <c r="I54" s="65" t="s">
        <v>532</v>
      </c>
      <c r="J54" s="69">
        <v>40.200000000000003</v>
      </c>
      <c r="K54" s="70">
        <f>50-42</f>
        <v>8</v>
      </c>
      <c r="L54" s="61" t="s">
        <v>523</v>
      </c>
    </row>
    <row r="55" spans="2:14" x14ac:dyDescent="0.25">
      <c r="B55" s="55" t="s">
        <v>131</v>
      </c>
      <c r="C55" s="55">
        <v>3</v>
      </c>
      <c r="D55" s="56">
        <v>45995</v>
      </c>
      <c r="E55" s="55" t="s">
        <v>8</v>
      </c>
      <c r="F55" s="57" t="s">
        <v>122</v>
      </c>
      <c r="G55" s="58">
        <v>100186</v>
      </c>
      <c r="H55" s="55" t="s">
        <v>88</v>
      </c>
      <c r="I55" s="55" t="s">
        <v>70</v>
      </c>
      <c r="J55" s="59">
        <v>0.1777</v>
      </c>
      <c r="K55" s="60">
        <f>5000-4750</f>
        <v>250</v>
      </c>
      <c r="L55" s="61" t="s">
        <v>524</v>
      </c>
    </row>
    <row r="56" spans="2:14" x14ac:dyDescent="0.25">
      <c r="B56" s="55" t="s">
        <v>170</v>
      </c>
      <c r="C56" s="55">
        <v>1</v>
      </c>
      <c r="D56" s="56">
        <v>45995</v>
      </c>
      <c r="E56" s="55" t="s">
        <v>8</v>
      </c>
      <c r="F56" s="57" t="s">
        <v>126</v>
      </c>
      <c r="G56" s="58">
        <v>200380</v>
      </c>
      <c r="H56" s="57" t="s">
        <v>127</v>
      </c>
      <c r="I56" s="55" t="s">
        <v>533</v>
      </c>
      <c r="J56" s="59">
        <v>0.21</v>
      </c>
      <c r="K56" s="60">
        <f>5000-3000</f>
        <v>2000</v>
      </c>
      <c r="L56" s="61" t="s">
        <v>525</v>
      </c>
    </row>
    <row r="57" spans="2:14" x14ac:dyDescent="0.25">
      <c r="B57" s="65" t="s">
        <v>300</v>
      </c>
      <c r="C57" s="65">
        <v>1</v>
      </c>
      <c r="D57" s="66">
        <v>46016</v>
      </c>
      <c r="E57" s="65" t="s">
        <v>8</v>
      </c>
      <c r="F57" s="67" t="s">
        <v>143</v>
      </c>
      <c r="G57" s="68">
        <v>201384</v>
      </c>
      <c r="H57" s="69" t="s">
        <v>150</v>
      </c>
      <c r="I57" s="65" t="s">
        <v>144</v>
      </c>
      <c r="J57" s="69">
        <v>0.27950000000000003</v>
      </c>
      <c r="K57" s="70">
        <v>2500</v>
      </c>
      <c r="L57" s="61" t="s">
        <v>526</v>
      </c>
    </row>
    <row r="58" spans="2:14" x14ac:dyDescent="0.25">
      <c r="B58" s="65" t="s">
        <v>324</v>
      </c>
      <c r="C58" s="65">
        <v>7</v>
      </c>
      <c r="D58" s="66">
        <v>46016</v>
      </c>
      <c r="E58" s="65" t="s">
        <v>8</v>
      </c>
      <c r="F58" s="67" t="s">
        <v>319</v>
      </c>
      <c r="G58" s="65">
        <v>100037</v>
      </c>
      <c r="H58" s="69" t="s">
        <v>322</v>
      </c>
      <c r="I58" s="65" t="s">
        <v>320</v>
      </c>
      <c r="J58" s="69">
        <v>0.44</v>
      </c>
      <c r="K58" s="70">
        <v>4000</v>
      </c>
      <c r="L58" s="61" t="s">
        <v>526</v>
      </c>
    </row>
    <row r="59" spans="2:14" x14ac:dyDescent="0.25">
      <c r="B59" s="65" t="s">
        <v>324</v>
      </c>
      <c r="C59" s="65">
        <v>8</v>
      </c>
      <c r="D59" s="66">
        <v>46016</v>
      </c>
      <c r="E59" s="65" t="s">
        <v>8</v>
      </c>
      <c r="F59" s="67" t="s">
        <v>319</v>
      </c>
      <c r="G59" s="65">
        <v>100037</v>
      </c>
      <c r="H59" s="69" t="s">
        <v>322</v>
      </c>
      <c r="I59" s="65" t="s">
        <v>320</v>
      </c>
      <c r="J59" s="69">
        <v>0.44</v>
      </c>
      <c r="K59" s="70">
        <v>7000</v>
      </c>
      <c r="L59" s="61" t="s">
        <v>526</v>
      </c>
    </row>
    <row r="60" spans="2:14" ht="15.75" thickBot="1" x14ac:dyDescent="0.3">
      <c r="B60" s="65" t="s">
        <v>324</v>
      </c>
      <c r="C60" s="65">
        <v>9</v>
      </c>
      <c r="D60" s="66">
        <v>46016</v>
      </c>
      <c r="E60" s="65" t="s">
        <v>8</v>
      </c>
      <c r="F60" s="67" t="s">
        <v>319</v>
      </c>
      <c r="G60" s="65">
        <v>100037</v>
      </c>
      <c r="H60" s="69" t="s">
        <v>322</v>
      </c>
      <c r="I60" s="65" t="s">
        <v>320</v>
      </c>
      <c r="J60" s="69">
        <v>0.44</v>
      </c>
      <c r="K60" s="70">
        <v>8000</v>
      </c>
      <c r="L60" s="61" t="s">
        <v>526</v>
      </c>
    </row>
    <row r="61" spans="2:14" ht="16.5" thickBot="1" x14ac:dyDescent="0.3">
      <c r="B61" s="65" t="s">
        <v>451</v>
      </c>
      <c r="C61" s="74">
        <v>1</v>
      </c>
      <c r="D61" s="66">
        <v>46016</v>
      </c>
      <c r="E61" s="65" t="s">
        <v>8</v>
      </c>
      <c r="F61" s="67" t="s">
        <v>428</v>
      </c>
      <c r="G61" s="65">
        <v>200293</v>
      </c>
      <c r="H61" s="69" t="s">
        <v>429</v>
      </c>
      <c r="I61" s="65" t="s">
        <v>430</v>
      </c>
      <c r="J61" s="69">
        <v>0.34449999999999997</v>
      </c>
      <c r="K61" s="70">
        <f>1000-600</f>
        <v>400</v>
      </c>
      <c r="L61" s="61" t="s">
        <v>527</v>
      </c>
      <c r="M61" s="51">
        <v>35669.589999999997</v>
      </c>
      <c r="N61" s="107" t="s">
        <v>1065</v>
      </c>
    </row>
    <row r="62" spans="2:14" x14ac:dyDescent="0.25">
      <c r="B62" s="108" t="s">
        <v>582</v>
      </c>
      <c r="C62" s="108"/>
      <c r="D62" s="108"/>
      <c r="E62" s="108"/>
      <c r="F62" s="108"/>
      <c r="G62" s="108"/>
      <c r="H62" s="108"/>
      <c r="I62" s="108"/>
      <c r="J62" s="108"/>
      <c r="K62" s="108"/>
      <c r="L62" s="108"/>
    </row>
    <row r="63" spans="2:14" x14ac:dyDescent="0.25">
      <c r="B63" s="55" t="s">
        <v>170</v>
      </c>
      <c r="C63" s="55">
        <v>1</v>
      </c>
      <c r="D63" s="56">
        <v>46037</v>
      </c>
      <c r="E63" s="55" t="s">
        <v>8</v>
      </c>
      <c r="F63" s="57" t="s">
        <v>126</v>
      </c>
      <c r="G63" s="58">
        <v>200380</v>
      </c>
      <c r="H63" s="57" t="s">
        <v>127</v>
      </c>
      <c r="I63" s="55" t="s">
        <v>530</v>
      </c>
      <c r="J63" s="59">
        <v>0.21</v>
      </c>
      <c r="K63" s="60">
        <f>25000-23260</f>
        <v>1740</v>
      </c>
      <c r="L63" s="75" t="s">
        <v>584</v>
      </c>
    </row>
    <row r="64" spans="2:14" x14ac:dyDescent="0.25">
      <c r="B64" s="55" t="s">
        <v>173</v>
      </c>
      <c r="C64" s="55">
        <v>1</v>
      </c>
      <c r="D64" s="56">
        <v>46037</v>
      </c>
      <c r="E64" s="55" t="s">
        <v>8</v>
      </c>
      <c r="F64" s="57" t="s">
        <v>132</v>
      </c>
      <c r="G64" s="58">
        <v>700355</v>
      </c>
      <c r="H64" s="59" t="s">
        <v>72</v>
      </c>
      <c r="I64" s="55" t="s">
        <v>71</v>
      </c>
      <c r="J64" s="59">
        <v>0.1923</v>
      </c>
      <c r="K64" s="64">
        <f>2800-1165</f>
        <v>1635</v>
      </c>
      <c r="L64" s="75" t="s">
        <v>583</v>
      </c>
    </row>
    <row r="65" spans="2:13" s="53" customFormat="1" x14ac:dyDescent="0.25">
      <c r="B65" s="71" t="s">
        <v>217</v>
      </c>
      <c r="C65" s="71">
        <v>1</v>
      </c>
      <c r="D65" s="76">
        <v>46037</v>
      </c>
      <c r="E65" s="71" t="s">
        <v>8</v>
      </c>
      <c r="F65" s="77" t="s">
        <v>139</v>
      </c>
      <c r="G65" s="78">
        <v>800262</v>
      </c>
      <c r="H65" s="59" t="s">
        <v>147</v>
      </c>
      <c r="I65" s="71" t="s">
        <v>140</v>
      </c>
      <c r="J65" s="59">
        <v>0.28349999999999997</v>
      </c>
      <c r="K65" s="79">
        <v>400</v>
      </c>
      <c r="L65" s="80"/>
      <c r="M65" s="52"/>
    </row>
    <row r="66" spans="2:13" x14ac:dyDescent="0.25">
      <c r="B66" s="55" t="s">
        <v>218</v>
      </c>
      <c r="C66" s="55">
        <v>1</v>
      </c>
      <c r="D66" s="56">
        <v>46037</v>
      </c>
      <c r="E66" s="55" t="s">
        <v>8</v>
      </c>
      <c r="F66" s="57" t="s">
        <v>141</v>
      </c>
      <c r="G66" s="58">
        <v>100063</v>
      </c>
      <c r="H66" s="59" t="s">
        <v>149</v>
      </c>
      <c r="I66" s="55" t="s">
        <v>142</v>
      </c>
      <c r="J66" s="59">
        <v>0.3216</v>
      </c>
      <c r="K66" s="60">
        <v>1500</v>
      </c>
      <c r="L66" s="63"/>
    </row>
    <row r="67" spans="2:13" x14ac:dyDescent="0.25">
      <c r="B67" s="55" t="s">
        <v>63</v>
      </c>
      <c r="C67" s="55">
        <v>1</v>
      </c>
      <c r="D67" s="56">
        <v>46037</v>
      </c>
      <c r="E67" s="55" t="s">
        <v>8</v>
      </c>
      <c r="F67" s="57" t="s">
        <v>39</v>
      </c>
      <c r="G67" s="58">
        <v>300160</v>
      </c>
      <c r="H67" s="57" t="s">
        <v>124</v>
      </c>
      <c r="I67" s="57" t="s">
        <v>125</v>
      </c>
      <c r="J67" s="81">
        <v>0.31140000000000001</v>
      </c>
      <c r="K67" s="60">
        <v>500</v>
      </c>
      <c r="L67" s="63"/>
    </row>
    <row r="68" spans="2:13" x14ac:dyDescent="0.25">
      <c r="B68" s="55" t="s">
        <v>237</v>
      </c>
      <c r="C68" s="55">
        <v>1</v>
      </c>
      <c r="D68" s="56">
        <v>46037</v>
      </c>
      <c r="E68" s="55" t="s">
        <v>8</v>
      </c>
      <c r="F68" s="57" t="s">
        <v>198</v>
      </c>
      <c r="G68" s="58">
        <v>400950</v>
      </c>
      <c r="H68" s="59" t="s">
        <v>203</v>
      </c>
      <c r="I68" s="55" t="s">
        <v>197</v>
      </c>
      <c r="J68" s="59">
        <v>0.21890000000000001</v>
      </c>
      <c r="K68" s="60">
        <v>400</v>
      </c>
      <c r="L68" s="63"/>
    </row>
    <row r="69" spans="2:13" x14ac:dyDescent="0.25">
      <c r="B69" s="55" t="s">
        <v>240</v>
      </c>
      <c r="C69" s="55">
        <v>1</v>
      </c>
      <c r="D69" s="56">
        <v>46037</v>
      </c>
      <c r="E69" s="55" t="s">
        <v>8</v>
      </c>
      <c r="F69" s="57" t="s">
        <v>176</v>
      </c>
      <c r="G69" s="58">
        <v>201869</v>
      </c>
      <c r="H69" s="59" t="s">
        <v>239</v>
      </c>
      <c r="I69" s="55" t="s">
        <v>177</v>
      </c>
      <c r="J69" s="59">
        <v>0.2359</v>
      </c>
      <c r="K69" s="60">
        <v>1000</v>
      </c>
      <c r="L69" s="63"/>
    </row>
    <row r="70" spans="2:13" x14ac:dyDescent="0.25">
      <c r="B70" s="65" t="s">
        <v>241</v>
      </c>
      <c r="C70" s="65">
        <v>3</v>
      </c>
      <c r="D70" s="66">
        <v>46037</v>
      </c>
      <c r="E70" s="65" t="s">
        <v>8</v>
      </c>
      <c r="F70" s="67" t="s">
        <v>191</v>
      </c>
      <c r="G70" s="68">
        <v>500043</v>
      </c>
      <c r="H70" s="69" t="s">
        <v>227</v>
      </c>
      <c r="I70" s="65" t="s">
        <v>224</v>
      </c>
      <c r="J70" s="69">
        <v>0.2792</v>
      </c>
      <c r="K70" s="70">
        <f>1000-950</f>
        <v>50</v>
      </c>
      <c r="L70" s="75" t="s">
        <v>585</v>
      </c>
    </row>
    <row r="71" spans="2:13" x14ac:dyDescent="0.25">
      <c r="B71" s="55" t="s">
        <v>252</v>
      </c>
      <c r="C71" s="55">
        <v>1</v>
      </c>
      <c r="D71" s="56">
        <v>46037</v>
      </c>
      <c r="E71" s="55" t="s">
        <v>8</v>
      </c>
      <c r="F71" s="57" t="s">
        <v>152</v>
      </c>
      <c r="G71" s="58">
        <v>200557</v>
      </c>
      <c r="H71" s="59" t="s">
        <v>205</v>
      </c>
      <c r="I71" s="55" t="s">
        <v>153</v>
      </c>
      <c r="J71" s="59">
        <v>0.2301</v>
      </c>
      <c r="K71" s="60">
        <v>2500</v>
      </c>
      <c r="L71" s="63"/>
    </row>
    <row r="72" spans="2:13" x14ac:dyDescent="0.25">
      <c r="B72" s="55" t="s">
        <v>257</v>
      </c>
      <c r="C72" s="55">
        <v>3</v>
      </c>
      <c r="D72" s="56">
        <v>46037</v>
      </c>
      <c r="E72" s="55" t="s">
        <v>8</v>
      </c>
      <c r="F72" s="57" t="s">
        <v>166</v>
      </c>
      <c r="G72" s="58">
        <v>600285</v>
      </c>
      <c r="H72" s="59" t="s">
        <v>215</v>
      </c>
      <c r="I72" s="55" t="s">
        <v>169</v>
      </c>
      <c r="J72" s="59">
        <v>0.22270000000000001</v>
      </c>
      <c r="K72" s="60">
        <f>4500-3940</f>
        <v>560</v>
      </c>
      <c r="L72" s="75" t="s">
        <v>586</v>
      </c>
    </row>
    <row r="73" spans="2:13" x14ac:dyDescent="0.25">
      <c r="B73" s="55" t="s">
        <v>258</v>
      </c>
      <c r="C73" s="55">
        <v>1</v>
      </c>
      <c r="D73" s="56">
        <v>46037</v>
      </c>
      <c r="E73" s="55" t="s">
        <v>8</v>
      </c>
      <c r="F73" s="57" t="s">
        <v>196</v>
      </c>
      <c r="G73" s="58">
        <v>100515</v>
      </c>
      <c r="H73" s="59" t="s">
        <v>238</v>
      </c>
      <c r="I73" s="55" t="s">
        <v>195</v>
      </c>
      <c r="J73" s="59">
        <v>0.25580000000000003</v>
      </c>
      <c r="K73" s="60">
        <v>100</v>
      </c>
      <c r="L73" s="82"/>
    </row>
    <row r="74" spans="2:13" x14ac:dyDescent="0.25">
      <c r="B74" s="55" t="s">
        <v>274</v>
      </c>
      <c r="C74" s="55">
        <v>2</v>
      </c>
      <c r="D74" s="56">
        <v>46037</v>
      </c>
      <c r="E74" s="55" t="s">
        <v>8</v>
      </c>
      <c r="F74" s="57" t="s">
        <v>178</v>
      </c>
      <c r="G74" s="58">
        <v>101452</v>
      </c>
      <c r="H74" s="59" t="s">
        <v>244</v>
      </c>
      <c r="I74" s="55" t="s">
        <v>180</v>
      </c>
      <c r="J74" s="59">
        <v>0.182</v>
      </c>
      <c r="K74" s="60">
        <v>600</v>
      </c>
      <c r="L74" s="82"/>
    </row>
    <row r="75" spans="2:13" x14ac:dyDescent="0.25">
      <c r="B75" s="55" t="s">
        <v>274</v>
      </c>
      <c r="C75" s="55">
        <v>3</v>
      </c>
      <c r="D75" s="56">
        <v>46037</v>
      </c>
      <c r="E75" s="55" t="s">
        <v>8</v>
      </c>
      <c r="F75" s="57" t="s">
        <v>178</v>
      </c>
      <c r="G75" s="58">
        <v>200159</v>
      </c>
      <c r="H75" s="59" t="s">
        <v>245</v>
      </c>
      <c r="I75" s="55" t="s">
        <v>181</v>
      </c>
      <c r="J75" s="59">
        <v>0.23169999999999999</v>
      </c>
      <c r="K75" s="60">
        <f>5000-2166</f>
        <v>2834</v>
      </c>
      <c r="L75" s="75" t="s">
        <v>587</v>
      </c>
    </row>
    <row r="76" spans="2:13" x14ac:dyDescent="0.25">
      <c r="B76" s="55" t="s">
        <v>274</v>
      </c>
      <c r="C76" s="55">
        <v>4</v>
      </c>
      <c r="D76" s="56">
        <v>46037</v>
      </c>
      <c r="E76" s="55" t="s">
        <v>8</v>
      </c>
      <c r="F76" s="57" t="s">
        <v>178</v>
      </c>
      <c r="G76" s="58">
        <v>401340</v>
      </c>
      <c r="H76" s="59" t="s">
        <v>246</v>
      </c>
      <c r="I76" s="55" t="s">
        <v>182</v>
      </c>
      <c r="J76" s="59">
        <v>0.32219999999999999</v>
      </c>
      <c r="K76" s="60">
        <v>1000</v>
      </c>
      <c r="L76" s="82"/>
    </row>
    <row r="77" spans="2:13" x14ac:dyDescent="0.25">
      <c r="B77" s="55" t="s">
        <v>274</v>
      </c>
      <c r="C77" s="55">
        <v>6</v>
      </c>
      <c r="D77" s="56">
        <v>46037</v>
      </c>
      <c r="E77" s="55" t="s">
        <v>8</v>
      </c>
      <c r="F77" s="57" t="s">
        <v>178</v>
      </c>
      <c r="G77" s="58">
        <v>500042</v>
      </c>
      <c r="H77" s="57" t="s">
        <v>248</v>
      </c>
      <c r="I77" s="58" t="s">
        <v>184</v>
      </c>
      <c r="J77" s="59">
        <v>0.29899999999999999</v>
      </c>
      <c r="K77" s="60">
        <v>2500</v>
      </c>
      <c r="L77" s="82"/>
    </row>
    <row r="78" spans="2:13" x14ac:dyDescent="0.25">
      <c r="B78" s="55" t="s">
        <v>276</v>
      </c>
      <c r="C78" s="55">
        <v>1</v>
      </c>
      <c r="D78" s="56">
        <v>46037</v>
      </c>
      <c r="E78" s="55" t="s">
        <v>8</v>
      </c>
      <c r="F78" s="57" t="s">
        <v>202</v>
      </c>
      <c r="G78" s="58">
        <v>101478</v>
      </c>
      <c r="H78" s="59" t="s">
        <v>98</v>
      </c>
      <c r="I78" s="55" t="s">
        <v>99</v>
      </c>
      <c r="J78" s="59">
        <v>0.33079999999999998</v>
      </c>
      <c r="K78" s="60">
        <v>3000</v>
      </c>
      <c r="L78" s="82"/>
    </row>
    <row r="79" spans="2:13" x14ac:dyDescent="0.25">
      <c r="B79" s="55" t="s">
        <v>277</v>
      </c>
      <c r="C79" s="55">
        <v>6</v>
      </c>
      <c r="D79" s="56">
        <v>46037</v>
      </c>
      <c r="E79" s="55" t="s">
        <v>8</v>
      </c>
      <c r="F79" s="57" t="s">
        <v>220</v>
      </c>
      <c r="G79" s="58">
        <v>200037</v>
      </c>
      <c r="H79" s="59" t="s">
        <v>59</v>
      </c>
      <c r="I79" s="55" t="s">
        <v>57</v>
      </c>
      <c r="J79" s="59">
        <v>0.60660000000000003</v>
      </c>
      <c r="K79" s="60">
        <f>4000-3750</f>
        <v>250</v>
      </c>
      <c r="L79" s="75" t="s">
        <v>588</v>
      </c>
    </row>
    <row r="80" spans="2:13" x14ac:dyDescent="0.25">
      <c r="B80" s="55" t="s">
        <v>281</v>
      </c>
      <c r="C80" s="55">
        <v>1</v>
      </c>
      <c r="D80" s="56">
        <v>46037</v>
      </c>
      <c r="E80" s="55" t="s">
        <v>8</v>
      </c>
      <c r="F80" s="57" t="s">
        <v>262</v>
      </c>
      <c r="G80" s="58">
        <v>300328</v>
      </c>
      <c r="H80" s="59" t="s">
        <v>270</v>
      </c>
      <c r="I80" s="55" t="s">
        <v>261</v>
      </c>
      <c r="J80" s="59">
        <v>0.37290000000000001</v>
      </c>
      <c r="K80" s="60">
        <v>400</v>
      </c>
      <c r="L80" s="72" t="s">
        <v>263</v>
      </c>
    </row>
    <row r="81" spans="2:13" x14ac:dyDescent="0.25">
      <c r="B81" s="71" t="s">
        <v>283</v>
      </c>
      <c r="C81" s="71">
        <v>1</v>
      </c>
      <c r="D81" s="76">
        <v>46037</v>
      </c>
      <c r="E81" s="71" t="s">
        <v>8</v>
      </c>
      <c r="F81" s="77" t="s">
        <v>260</v>
      </c>
      <c r="G81" s="78">
        <v>300293</v>
      </c>
      <c r="H81" s="59" t="s">
        <v>271</v>
      </c>
      <c r="I81" s="71" t="s">
        <v>259</v>
      </c>
      <c r="J81" s="59">
        <v>0.22889999999999999</v>
      </c>
      <c r="K81" s="64">
        <f>6800-2000</f>
        <v>4800</v>
      </c>
      <c r="L81" s="63"/>
    </row>
    <row r="82" spans="2:13" x14ac:dyDescent="0.25">
      <c r="B82" s="55" t="s">
        <v>306</v>
      </c>
      <c r="C82" s="55">
        <v>1</v>
      </c>
      <c r="D82" s="56">
        <v>46037</v>
      </c>
      <c r="E82" s="55" t="s">
        <v>8</v>
      </c>
      <c r="F82" s="57" t="s">
        <v>297</v>
      </c>
      <c r="G82" s="55">
        <v>100027</v>
      </c>
      <c r="H82" s="59" t="s">
        <v>95</v>
      </c>
      <c r="I82" s="55" t="s">
        <v>53</v>
      </c>
      <c r="J82" s="59">
        <v>0.3216</v>
      </c>
      <c r="K82" s="60">
        <v>2500</v>
      </c>
      <c r="L82" s="63"/>
    </row>
    <row r="83" spans="2:13" s="53" customFormat="1" x14ac:dyDescent="0.25">
      <c r="B83" s="71" t="s">
        <v>310</v>
      </c>
      <c r="C83" s="71">
        <v>2</v>
      </c>
      <c r="D83" s="76">
        <v>46037</v>
      </c>
      <c r="E83" s="71" t="s">
        <v>8</v>
      </c>
      <c r="F83" s="77" t="s">
        <v>265</v>
      </c>
      <c r="G83" s="78">
        <v>201883</v>
      </c>
      <c r="H83" s="59" t="s">
        <v>268</v>
      </c>
      <c r="I83" s="71" t="s">
        <v>269</v>
      </c>
      <c r="J83" s="59">
        <v>0.21010000000000001</v>
      </c>
      <c r="K83" s="79">
        <f>20000-8215</f>
        <v>11785</v>
      </c>
      <c r="L83" s="75" t="s">
        <v>589</v>
      </c>
      <c r="M83" s="52"/>
    </row>
    <row r="84" spans="2:13" x14ac:dyDescent="0.25">
      <c r="B84" s="55" t="s">
        <v>314</v>
      </c>
      <c r="C84" s="55">
        <v>1</v>
      </c>
      <c r="D84" s="56">
        <v>46037</v>
      </c>
      <c r="E84" s="55" t="s">
        <v>8</v>
      </c>
      <c r="F84" s="57" t="s">
        <v>301</v>
      </c>
      <c r="G84" s="55">
        <v>400769</v>
      </c>
      <c r="H84" s="59" t="s">
        <v>307</v>
      </c>
      <c r="I84" s="55" t="s">
        <v>302</v>
      </c>
      <c r="J84" s="59">
        <v>0.125</v>
      </c>
      <c r="K84" s="60">
        <v>1000</v>
      </c>
      <c r="L84" s="82"/>
    </row>
    <row r="85" spans="2:13" x14ac:dyDescent="0.25">
      <c r="B85" s="83" t="s">
        <v>316</v>
      </c>
      <c r="C85" s="83">
        <v>2</v>
      </c>
      <c r="D85" s="83" t="s">
        <v>316</v>
      </c>
      <c r="E85" s="83" t="s">
        <v>316</v>
      </c>
      <c r="F85" s="83" t="s">
        <v>316</v>
      </c>
      <c r="G85" s="83" t="s">
        <v>316</v>
      </c>
      <c r="H85" s="83" t="s">
        <v>316</v>
      </c>
      <c r="I85" s="55" t="s">
        <v>315</v>
      </c>
      <c r="J85" s="84">
        <v>600</v>
      </c>
      <c r="K85" s="60">
        <v>1</v>
      </c>
      <c r="L85" s="61"/>
    </row>
    <row r="86" spans="2:13" x14ac:dyDescent="0.25">
      <c r="B86" s="55" t="s">
        <v>325</v>
      </c>
      <c r="C86" s="55">
        <v>1</v>
      </c>
      <c r="D86" s="56">
        <v>46037</v>
      </c>
      <c r="E86" s="55" t="s">
        <v>8</v>
      </c>
      <c r="F86" s="57" t="s">
        <v>321</v>
      </c>
      <c r="G86" s="55">
        <v>401616</v>
      </c>
      <c r="H86" s="59" t="s">
        <v>106</v>
      </c>
      <c r="I86" s="55" t="s">
        <v>107</v>
      </c>
      <c r="J86" s="59">
        <v>0.27689999999999998</v>
      </c>
      <c r="K86" s="60">
        <v>2000</v>
      </c>
      <c r="L86" s="61"/>
    </row>
    <row r="87" spans="2:13" x14ac:dyDescent="0.25">
      <c r="B87" s="55" t="s">
        <v>349</v>
      </c>
      <c r="C87" s="55">
        <v>1</v>
      </c>
      <c r="D87" s="66">
        <v>46051</v>
      </c>
      <c r="E87" s="55" t="s">
        <v>8</v>
      </c>
      <c r="F87" s="57" t="s">
        <v>329</v>
      </c>
      <c r="G87" s="55">
        <v>400319</v>
      </c>
      <c r="H87" s="59" t="s">
        <v>331</v>
      </c>
      <c r="I87" s="55" t="s">
        <v>330</v>
      </c>
      <c r="J87" s="59">
        <v>0.85319999999999996</v>
      </c>
      <c r="K87" s="60">
        <v>500</v>
      </c>
      <c r="L87" s="61"/>
    </row>
    <row r="88" spans="2:13" s="53" customFormat="1" x14ac:dyDescent="0.25">
      <c r="B88" s="71" t="s">
        <v>344</v>
      </c>
      <c r="C88" s="71">
        <v>1</v>
      </c>
      <c r="D88" s="82">
        <v>46051</v>
      </c>
      <c r="E88" s="71" t="s">
        <v>8</v>
      </c>
      <c r="F88" s="77" t="s">
        <v>303</v>
      </c>
      <c r="G88" s="71">
        <v>400761</v>
      </c>
      <c r="H88" s="59" t="s">
        <v>29</v>
      </c>
      <c r="I88" s="71" t="s">
        <v>15</v>
      </c>
      <c r="J88" s="59">
        <v>0.1462</v>
      </c>
      <c r="K88" s="79">
        <v>3000</v>
      </c>
      <c r="L88" s="75" t="s">
        <v>660</v>
      </c>
      <c r="M88" s="20"/>
    </row>
    <row r="89" spans="2:13" s="53" customFormat="1" ht="15.75" thickBot="1" x14ac:dyDescent="0.3">
      <c r="B89" s="71" t="s">
        <v>515</v>
      </c>
      <c r="C89" s="85">
        <v>1</v>
      </c>
      <c r="D89" s="82">
        <v>46058</v>
      </c>
      <c r="E89" s="55" t="s">
        <v>8</v>
      </c>
      <c r="F89" s="57" t="s">
        <v>504</v>
      </c>
      <c r="G89" s="55">
        <v>300313</v>
      </c>
      <c r="H89" s="59" t="s">
        <v>505</v>
      </c>
      <c r="I89" s="55" t="s">
        <v>516</v>
      </c>
      <c r="J89" s="59">
        <v>0.35539999999999999</v>
      </c>
      <c r="K89" s="60">
        <v>4500</v>
      </c>
      <c r="L89" s="75" t="s">
        <v>662</v>
      </c>
      <c r="M89" s="20"/>
    </row>
    <row r="90" spans="2:13" s="53" customFormat="1" ht="16.5" thickBot="1" x14ac:dyDescent="0.3">
      <c r="B90" s="71" t="s">
        <v>450</v>
      </c>
      <c r="C90" s="85">
        <v>1</v>
      </c>
      <c r="D90" s="82">
        <v>46051</v>
      </c>
      <c r="E90" s="55" t="s">
        <v>8</v>
      </c>
      <c r="F90" s="57" t="s">
        <v>448</v>
      </c>
      <c r="G90" s="55">
        <v>400295</v>
      </c>
      <c r="H90" s="59" t="s">
        <v>35</v>
      </c>
      <c r="I90" s="55" t="s">
        <v>32</v>
      </c>
      <c r="J90" s="59">
        <v>0.21029999999999999</v>
      </c>
      <c r="K90" s="60">
        <v>600</v>
      </c>
      <c r="L90" s="75"/>
      <c r="M90" s="51">
        <v>15170.75</v>
      </c>
    </row>
    <row r="91" spans="2:13" x14ac:dyDescent="0.25">
      <c r="B91" s="108" t="s">
        <v>343</v>
      </c>
      <c r="C91" s="108"/>
      <c r="D91" s="108"/>
      <c r="E91" s="108"/>
      <c r="F91" s="108"/>
      <c r="G91" s="108"/>
      <c r="H91" s="108"/>
      <c r="I91" s="108"/>
      <c r="J91" s="108"/>
      <c r="K91" s="108"/>
      <c r="L91" s="108"/>
    </row>
    <row r="92" spans="2:13" x14ac:dyDescent="0.25">
      <c r="B92" s="89" t="s">
        <v>344</v>
      </c>
      <c r="C92" s="89">
        <v>1</v>
      </c>
      <c r="D92" s="82">
        <v>46051</v>
      </c>
      <c r="E92" s="89" t="s">
        <v>8</v>
      </c>
      <c r="F92" s="90" t="s">
        <v>303</v>
      </c>
      <c r="G92" s="89">
        <v>400761</v>
      </c>
      <c r="H92" s="69" t="s">
        <v>29</v>
      </c>
      <c r="I92" s="89" t="s">
        <v>15</v>
      </c>
      <c r="J92" s="69">
        <v>0.1462</v>
      </c>
      <c r="K92" s="91">
        <f>15000-3000</f>
        <v>12000</v>
      </c>
      <c r="L92" s="92" t="s">
        <v>661</v>
      </c>
    </row>
    <row r="93" spans="2:13" x14ac:dyDescent="0.25">
      <c r="B93" s="71" t="s">
        <v>346</v>
      </c>
      <c r="C93" s="71">
        <v>1</v>
      </c>
      <c r="D93" s="76">
        <v>46051</v>
      </c>
      <c r="E93" s="71" t="s">
        <v>8</v>
      </c>
      <c r="F93" s="77" t="s">
        <v>323</v>
      </c>
      <c r="G93" s="71">
        <v>100348</v>
      </c>
      <c r="H93" s="59" t="s">
        <v>81</v>
      </c>
      <c r="I93" s="71" t="s">
        <v>720</v>
      </c>
      <c r="J93" s="59">
        <v>0.41539999999999999</v>
      </c>
      <c r="K93" s="79">
        <v>2000</v>
      </c>
      <c r="L93" s="92"/>
    </row>
    <row r="94" spans="2:13" x14ac:dyDescent="0.25">
      <c r="B94" s="89" t="s">
        <v>348</v>
      </c>
      <c r="C94" s="89">
        <v>1</v>
      </c>
      <c r="D94" s="82">
        <v>46051</v>
      </c>
      <c r="E94" s="89" t="s">
        <v>8</v>
      </c>
      <c r="F94" s="90" t="s">
        <v>326</v>
      </c>
      <c r="G94" s="89">
        <v>400758</v>
      </c>
      <c r="H94" s="69" t="s">
        <v>328</v>
      </c>
      <c r="I94" s="89" t="s">
        <v>327</v>
      </c>
      <c r="J94" s="69">
        <v>0.1769</v>
      </c>
      <c r="K94" s="91">
        <v>2000</v>
      </c>
      <c r="L94" s="92" t="s">
        <v>475</v>
      </c>
    </row>
    <row r="95" spans="2:13" x14ac:dyDescent="0.25">
      <c r="B95" s="71" t="s">
        <v>350</v>
      </c>
      <c r="C95" s="71">
        <v>1</v>
      </c>
      <c r="D95" s="76">
        <v>46051</v>
      </c>
      <c r="E95" s="71" t="s">
        <v>8</v>
      </c>
      <c r="F95" s="77" t="s">
        <v>336</v>
      </c>
      <c r="G95" s="71">
        <v>201003</v>
      </c>
      <c r="H95" s="59" t="s">
        <v>339</v>
      </c>
      <c r="I95" s="71" t="s">
        <v>340</v>
      </c>
      <c r="J95" s="59">
        <v>0.22969999999999999</v>
      </c>
      <c r="K95" s="79">
        <v>1500</v>
      </c>
      <c r="L95" s="92"/>
    </row>
    <row r="96" spans="2:13" x14ac:dyDescent="0.25">
      <c r="B96" s="71" t="s">
        <v>351</v>
      </c>
      <c r="C96" s="71">
        <v>1</v>
      </c>
      <c r="D96" s="76">
        <v>46051</v>
      </c>
      <c r="E96" s="71" t="s">
        <v>8</v>
      </c>
      <c r="F96" s="77" t="s">
        <v>337</v>
      </c>
      <c r="G96" s="71">
        <v>600004</v>
      </c>
      <c r="H96" s="59" t="s">
        <v>151</v>
      </c>
      <c r="I96" s="71" t="s">
        <v>145</v>
      </c>
      <c r="J96" s="59">
        <v>0.29920000000000002</v>
      </c>
      <c r="K96" s="79">
        <v>400</v>
      </c>
      <c r="L96" s="92"/>
    </row>
    <row r="97" spans="2:12" x14ac:dyDescent="0.25">
      <c r="B97" s="71" t="s">
        <v>366</v>
      </c>
      <c r="C97" s="71">
        <v>3</v>
      </c>
      <c r="D97" s="76">
        <v>46051</v>
      </c>
      <c r="E97" s="71" t="s">
        <v>8</v>
      </c>
      <c r="F97" s="77" t="s">
        <v>352</v>
      </c>
      <c r="G97" s="71">
        <v>400145</v>
      </c>
      <c r="H97" s="59" t="s">
        <v>354</v>
      </c>
      <c r="I97" s="71" t="s">
        <v>353</v>
      </c>
      <c r="J97" s="59">
        <v>0.23749999999999999</v>
      </c>
      <c r="K97" s="79">
        <v>1000</v>
      </c>
      <c r="L97" s="92"/>
    </row>
    <row r="98" spans="2:12" x14ac:dyDescent="0.25">
      <c r="B98" s="71" t="s">
        <v>366</v>
      </c>
      <c r="C98" s="71">
        <v>4</v>
      </c>
      <c r="D98" s="76">
        <v>46051</v>
      </c>
      <c r="E98" s="71" t="s">
        <v>8</v>
      </c>
      <c r="F98" s="77" t="s">
        <v>352</v>
      </c>
      <c r="G98" s="71">
        <v>401283</v>
      </c>
      <c r="H98" s="59" t="s">
        <v>77</v>
      </c>
      <c r="I98" s="71" t="s">
        <v>78</v>
      </c>
      <c r="J98" s="59">
        <v>0.18459999999999999</v>
      </c>
      <c r="K98" s="79">
        <v>3500</v>
      </c>
      <c r="L98" s="92"/>
    </row>
    <row r="99" spans="2:12" x14ac:dyDescent="0.25">
      <c r="B99" s="71" t="s">
        <v>367</v>
      </c>
      <c r="C99" s="71">
        <v>1</v>
      </c>
      <c r="D99" s="76">
        <v>46051</v>
      </c>
      <c r="E99" s="71" t="s">
        <v>8</v>
      </c>
      <c r="F99" s="77" t="s">
        <v>355</v>
      </c>
      <c r="G99" s="71" t="s">
        <v>356</v>
      </c>
      <c r="H99" s="59" t="s">
        <v>361</v>
      </c>
      <c r="I99" s="71" t="s">
        <v>535</v>
      </c>
      <c r="J99" s="59">
        <v>0.28129999999999999</v>
      </c>
      <c r="K99" s="79">
        <v>1500</v>
      </c>
      <c r="L99" s="92" t="s">
        <v>357</v>
      </c>
    </row>
    <row r="100" spans="2:12" x14ac:dyDescent="0.25">
      <c r="B100" s="71" t="s">
        <v>368</v>
      </c>
      <c r="C100" s="71">
        <v>1</v>
      </c>
      <c r="D100" s="76">
        <v>46051</v>
      </c>
      <c r="E100" s="71" t="s">
        <v>8</v>
      </c>
      <c r="F100" s="77" t="s">
        <v>358</v>
      </c>
      <c r="G100" s="71">
        <v>100583</v>
      </c>
      <c r="H100" s="59" t="s">
        <v>113</v>
      </c>
      <c r="I100" s="71" t="s">
        <v>105</v>
      </c>
      <c r="J100" s="59">
        <v>0.23980000000000001</v>
      </c>
      <c r="K100" s="79">
        <v>1000</v>
      </c>
      <c r="L100" s="92"/>
    </row>
    <row r="101" spans="2:12" x14ac:dyDescent="0.25">
      <c r="B101" s="71" t="s">
        <v>369</v>
      </c>
      <c r="C101" s="71">
        <v>1</v>
      </c>
      <c r="D101" s="76">
        <v>46051</v>
      </c>
      <c r="E101" s="71" t="s">
        <v>8</v>
      </c>
      <c r="F101" s="77" t="s">
        <v>359</v>
      </c>
      <c r="G101" s="71">
        <v>100451</v>
      </c>
      <c r="H101" s="59" t="s">
        <v>362</v>
      </c>
      <c r="I101" s="71" t="s">
        <v>360</v>
      </c>
      <c r="J101" s="59">
        <v>0.2215</v>
      </c>
      <c r="K101" s="79">
        <v>400</v>
      </c>
      <c r="L101" s="92"/>
    </row>
    <row r="102" spans="2:12" x14ac:dyDescent="0.25">
      <c r="B102" s="71" t="s">
        <v>371</v>
      </c>
      <c r="C102" s="71">
        <v>1</v>
      </c>
      <c r="D102" s="76">
        <v>46051</v>
      </c>
      <c r="E102" s="71" t="s">
        <v>8</v>
      </c>
      <c r="F102" s="77" t="s">
        <v>338</v>
      </c>
      <c r="G102" s="71">
        <v>400001</v>
      </c>
      <c r="H102" s="59" t="s">
        <v>83</v>
      </c>
      <c r="I102" s="71" t="s">
        <v>721</v>
      </c>
      <c r="J102" s="59">
        <v>0.75380000000000003</v>
      </c>
      <c r="K102" s="79">
        <v>1000</v>
      </c>
      <c r="L102" s="92" t="s">
        <v>84</v>
      </c>
    </row>
    <row r="103" spans="2:12" x14ac:dyDescent="0.25">
      <c r="B103" s="71" t="s">
        <v>393</v>
      </c>
      <c r="C103" s="71">
        <v>1</v>
      </c>
      <c r="D103" s="76">
        <v>46051</v>
      </c>
      <c r="E103" s="71" t="s">
        <v>8</v>
      </c>
      <c r="F103" s="77" t="s">
        <v>363</v>
      </c>
      <c r="G103" s="71">
        <v>101452</v>
      </c>
      <c r="H103" s="59" t="s">
        <v>244</v>
      </c>
      <c r="I103" s="71" t="s">
        <v>180</v>
      </c>
      <c r="J103" s="59">
        <v>0.182</v>
      </c>
      <c r="K103" s="79">
        <v>600</v>
      </c>
      <c r="L103" s="92"/>
    </row>
    <row r="104" spans="2:12" x14ac:dyDescent="0.25">
      <c r="B104" s="71" t="s">
        <v>394</v>
      </c>
      <c r="C104" s="71">
        <v>1</v>
      </c>
      <c r="D104" s="76">
        <v>46051</v>
      </c>
      <c r="E104" s="71" t="s">
        <v>8</v>
      </c>
      <c r="F104" s="77" t="s">
        <v>373</v>
      </c>
      <c r="G104" s="71">
        <v>100307</v>
      </c>
      <c r="H104" s="59" t="s">
        <v>18</v>
      </c>
      <c r="I104" s="71" t="s">
        <v>374</v>
      </c>
      <c r="J104" s="59">
        <v>0.26019999999999999</v>
      </c>
      <c r="K104" s="79">
        <v>2016</v>
      </c>
      <c r="L104" s="93" t="s">
        <v>14</v>
      </c>
    </row>
    <row r="105" spans="2:12" x14ac:dyDescent="0.25">
      <c r="B105" s="89" t="s">
        <v>395</v>
      </c>
      <c r="C105" s="89">
        <v>2</v>
      </c>
      <c r="D105" s="82">
        <v>46051</v>
      </c>
      <c r="E105" s="89" t="s">
        <v>8</v>
      </c>
      <c r="F105" s="90" t="s">
        <v>375</v>
      </c>
      <c r="G105" s="89">
        <v>700017</v>
      </c>
      <c r="H105" s="69" t="s">
        <v>233</v>
      </c>
      <c r="I105" s="89" t="s">
        <v>234</v>
      </c>
      <c r="J105" s="69">
        <v>0.1923</v>
      </c>
      <c r="K105" s="91">
        <v>5000</v>
      </c>
      <c r="L105" s="92" t="s">
        <v>475</v>
      </c>
    </row>
    <row r="106" spans="2:12" x14ac:dyDescent="0.25">
      <c r="B106" s="71" t="s">
        <v>396</v>
      </c>
      <c r="C106" s="71">
        <v>1</v>
      </c>
      <c r="D106" s="76">
        <v>46051</v>
      </c>
      <c r="E106" s="71" t="s">
        <v>8</v>
      </c>
      <c r="F106" s="77" t="s">
        <v>376</v>
      </c>
      <c r="G106" s="71">
        <v>600088</v>
      </c>
      <c r="H106" s="59" t="s">
        <v>298</v>
      </c>
      <c r="I106" s="71" t="s">
        <v>296</v>
      </c>
      <c r="J106" s="59">
        <v>0.57999999999999996</v>
      </c>
      <c r="K106" s="79">
        <v>450</v>
      </c>
      <c r="L106" s="92"/>
    </row>
    <row r="107" spans="2:12" x14ac:dyDescent="0.25">
      <c r="B107" s="71" t="s">
        <v>398</v>
      </c>
      <c r="C107" s="71">
        <v>1</v>
      </c>
      <c r="D107" s="76">
        <v>46051</v>
      </c>
      <c r="E107" s="71" t="s">
        <v>8</v>
      </c>
      <c r="F107" s="77" t="s">
        <v>385</v>
      </c>
      <c r="G107" s="71">
        <v>300681</v>
      </c>
      <c r="H107" s="59" t="s">
        <v>389</v>
      </c>
      <c r="I107" s="71" t="s">
        <v>390</v>
      </c>
      <c r="J107" s="59">
        <v>0.2157</v>
      </c>
      <c r="K107" s="79">
        <v>500</v>
      </c>
      <c r="L107" s="92"/>
    </row>
    <row r="108" spans="2:12" x14ac:dyDescent="0.25">
      <c r="B108" s="89" t="s">
        <v>399</v>
      </c>
      <c r="C108" s="89">
        <v>1</v>
      </c>
      <c r="D108" s="82">
        <v>46051</v>
      </c>
      <c r="E108" s="89" t="s">
        <v>8</v>
      </c>
      <c r="F108" s="90" t="s">
        <v>386</v>
      </c>
      <c r="G108" s="89">
        <v>101388</v>
      </c>
      <c r="H108" s="69" t="s">
        <v>391</v>
      </c>
      <c r="I108" s="89" t="s">
        <v>387</v>
      </c>
      <c r="J108" s="69">
        <v>0.6139</v>
      </c>
      <c r="K108" s="91">
        <v>200</v>
      </c>
      <c r="L108" s="92" t="s">
        <v>475</v>
      </c>
    </row>
    <row r="109" spans="2:12" x14ac:dyDescent="0.25">
      <c r="B109" s="71" t="s">
        <v>400</v>
      </c>
      <c r="C109" s="71">
        <v>1</v>
      </c>
      <c r="D109" s="76">
        <v>46051</v>
      </c>
      <c r="E109" s="71" t="s">
        <v>8</v>
      </c>
      <c r="F109" s="77" t="s">
        <v>392</v>
      </c>
      <c r="G109" s="71">
        <v>200050</v>
      </c>
      <c r="H109" s="59" t="s">
        <v>114</v>
      </c>
      <c r="I109" s="71" t="s">
        <v>104</v>
      </c>
      <c r="J109" s="59">
        <v>0.35899999999999999</v>
      </c>
      <c r="K109" s="79">
        <v>300</v>
      </c>
      <c r="L109" s="92"/>
    </row>
    <row r="110" spans="2:12" x14ac:dyDescent="0.25">
      <c r="B110" s="71" t="s">
        <v>413</v>
      </c>
      <c r="C110" s="71">
        <v>1</v>
      </c>
      <c r="D110" s="76">
        <v>46051</v>
      </c>
      <c r="E110" s="71" t="s">
        <v>8</v>
      </c>
      <c r="F110" s="77" t="s">
        <v>401</v>
      </c>
      <c r="G110" s="71">
        <v>401295</v>
      </c>
      <c r="H110" s="59" t="s">
        <v>403</v>
      </c>
      <c r="I110" s="71" t="s">
        <v>722</v>
      </c>
      <c r="J110" s="59">
        <v>0.18579999999999999</v>
      </c>
      <c r="K110" s="79">
        <v>1000</v>
      </c>
      <c r="L110" s="92"/>
    </row>
    <row r="111" spans="2:12" x14ac:dyDescent="0.25">
      <c r="B111" s="71" t="s">
        <v>414</v>
      </c>
      <c r="C111" s="71">
        <v>1</v>
      </c>
      <c r="D111" s="76">
        <v>46051</v>
      </c>
      <c r="E111" s="71" t="s">
        <v>8</v>
      </c>
      <c r="F111" s="77" t="s">
        <v>402</v>
      </c>
      <c r="G111" s="71">
        <v>400355</v>
      </c>
      <c r="H111" s="59" t="s">
        <v>34</v>
      </c>
      <c r="I111" s="71" t="s">
        <v>33</v>
      </c>
      <c r="J111" s="59">
        <v>0.27250000000000002</v>
      </c>
      <c r="K111" s="79">
        <v>500</v>
      </c>
      <c r="L111" s="92"/>
    </row>
    <row r="112" spans="2:12" x14ac:dyDescent="0.25">
      <c r="B112" s="71" t="s">
        <v>423</v>
      </c>
      <c r="C112" s="71">
        <v>1</v>
      </c>
      <c r="D112" s="76">
        <v>46051</v>
      </c>
      <c r="E112" s="71" t="s">
        <v>8</v>
      </c>
      <c r="F112" s="77" t="s">
        <v>412</v>
      </c>
      <c r="G112" s="71">
        <v>300482</v>
      </c>
      <c r="H112" s="59" t="s">
        <v>416</v>
      </c>
      <c r="I112" s="71" t="s">
        <v>411</v>
      </c>
      <c r="J112" s="59">
        <v>4.3</v>
      </c>
      <c r="K112" s="79">
        <v>50</v>
      </c>
      <c r="L112" s="92"/>
    </row>
    <row r="113" spans="2:13" x14ac:dyDescent="0.25">
      <c r="B113" s="71" t="s">
        <v>424</v>
      </c>
      <c r="C113" s="71">
        <v>1</v>
      </c>
      <c r="D113" s="76">
        <v>46051</v>
      </c>
      <c r="E113" s="71" t="s">
        <v>8</v>
      </c>
      <c r="F113" s="77" t="s">
        <v>415</v>
      </c>
      <c r="G113" s="71">
        <v>300178</v>
      </c>
      <c r="H113" s="59" t="s">
        <v>275</v>
      </c>
      <c r="I113" s="71" t="s">
        <v>264</v>
      </c>
      <c r="J113" s="59">
        <v>0.6028</v>
      </c>
      <c r="K113" s="79">
        <v>200</v>
      </c>
      <c r="L113" s="92"/>
    </row>
    <row r="114" spans="2:13" x14ac:dyDescent="0.25">
      <c r="B114" s="71" t="s">
        <v>425</v>
      </c>
      <c r="C114" s="71">
        <v>1</v>
      </c>
      <c r="D114" s="76">
        <v>46051</v>
      </c>
      <c r="E114" s="71" t="s">
        <v>8</v>
      </c>
      <c r="F114" s="77" t="s">
        <v>406</v>
      </c>
      <c r="G114" s="71">
        <v>700355</v>
      </c>
      <c r="H114" s="59" t="s">
        <v>72</v>
      </c>
      <c r="I114" s="71" t="s">
        <v>71</v>
      </c>
      <c r="J114" s="59">
        <v>0.1923</v>
      </c>
      <c r="K114" s="79">
        <v>1300</v>
      </c>
      <c r="L114" s="92"/>
    </row>
    <row r="115" spans="2:13" x14ac:dyDescent="0.25">
      <c r="B115" s="71" t="s">
        <v>492</v>
      </c>
      <c r="C115" s="94">
        <v>1</v>
      </c>
      <c r="D115" s="76">
        <v>46051</v>
      </c>
      <c r="E115" s="71" t="s">
        <v>8</v>
      </c>
      <c r="F115" s="77" t="s">
        <v>463</v>
      </c>
      <c r="G115" s="71">
        <v>400761</v>
      </c>
      <c r="H115" s="59" t="s">
        <v>29</v>
      </c>
      <c r="I115" s="71" t="s">
        <v>15</v>
      </c>
      <c r="J115" s="59">
        <v>0.1462</v>
      </c>
      <c r="K115" s="79">
        <v>20000</v>
      </c>
      <c r="L115" s="93" t="s">
        <v>16</v>
      </c>
    </row>
    <row r="116" spans="2:13" x14ac:dyDescent="0.25">
      <c r="B116" s="71" t="s">
        <v>521</v>
      </c>
      <c r="C116" s="94">
        <v>1</v>
      </c>
      <c r="D116" s="76">
        <v>46051</v>
      </c>
      <c r="E116" s="71" t="s">
        <v>8</v>
      </c>
      <c r="F116" s="77" t="s">
        <v>508</v>
      </c>
      <c r="G116" s="71">
        <v>200050</v>
      </c>
      <c r="H116" s="59" t="s">
        <v>114</v>
      </c>
      <c r="I116" s="71" t="s">
        <v>104</v>
      </c>
      <c r="J116" s="59">
        <v>0.35899999999999999</v>
      </c>
      <c r="K116" s="79">
        <v>2000</v>
      </c>
      <c r="L116" s="93"/>
    </row>
    <row r="117" spans="2:13" ht="15.75" thickBot="1" x14ac:dyDescent="0.3">
      <c r="B117" s="71" t="s">
        <v>257</v>
      </c>
      <c r="C117" s="71">
        <v>2</v>
      </c>
      <c r="D117" s="76">
        <v>46037</v>
      </c>
      <c r="E117" s="71" t="s">
        <v>8</v>
      </c>
      <c r="F117" s="77" t="s">
        <v>166</v>
      </c>
      <c r="G117" s="78">
        <v>201353</v>
      </c>
      <c r="H117" s="59" t="s">
        <v>214</v>
      </c>
      <c r="I117" s="71" t="s">
        <v>168</v>
      </c>
      <c r="J117" s="59">
        <v>0.52280000000000004</v>
      </c>
      <c r="K117" s="79">
        <v>300</v>
      </c>
      <c r="L117" s="82"/>
    </row>
    <row r="118" spans="2:13" ht="16.5" thickBot="1" x14ac:dyDescent="0.3">
      <c r="B118" s="71" t="s">
        <v>300</v>
      </c>
      <c r="C118" s="71">
        <v>1</v>
      </c>
      <c r="D118" s="76">
        <v>46016</v>
      </c>
      <c r="E118" s="71" t="s">
        <v>8</v>
      </c>
      <c r="F118" s="77" t="s">
        <v>143</v>
      </c>
      <c r="G118" s="78">
        <v>201384</v>
      </c>
      <c r="H118" s="59" t="s">
        <v>150</v>
      </c>
      <c r="I118" s="71" t="s">
        <v>144</v>
      </c>
      <c r="J118" s="59">
        <v>0.27950000000000003</v>
      </c>
      <c r="K118" s="79">
        <f>2500-1660</f>
        <v>840</v>
      </c>
      <c r="L118" s="75" t="s">
        <v>590</v>
      </c>
      <c r="M118" s="51">
        <v>12456.61</v>
      </c>
    </row>
    <row r="119" spans="2:13" x14ac:dyDescent="0.25">
      <c r="B119" s="108" t="s">
        <v>514</v>
      </c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</row>
    <row r="120" spans="2:13" x14ac:dyDescent="0.25">
      <c r="B120" s="71" t="s">
        <v>515</v>
      </c>
      <c r="C120" s="85">
        <v>1</v>
      </c>
      <c r="D120" s="76">
        <v>46058</v>
      </c>
      <c r="E120" s="55" t="s">
        <v>8</v>
      </c>
      <c r="F120" s="57" t="s">
        <v>504</v>
      </c>
      <c r="G120" s="55">
        <v>300313</v>
      </c>
      <c r="H120" s="59" t="s">
        <v>505</v>
      </c>
      <c r="I120" s="55" t="s">
        <v>663</v>
      </c>
      <c r="J120" s="59">
        <v>0.35539999999999999</v>
      </c>
      <c r="K120" s="60">
        <f>16000-4500</f>
        <v>11500</v>
      </c>
      <c r="L120" s="75" t="s">
        <v>664</v>
      </c>
    </row>
    <row r="121" spans="2:13" x14ac:dyDescent="0.25">
      <c r="B121" s="89" t="s">
        <v>680</v>
      </c>
      <c r="C121" s="74">
        <v>1</v>
      </c>
      <c r="D121" s="82">
        <v>46058</v>
      </c>
      <c r="E121" s="65" t="s">
        <v>8</v>
      </c>
      <c r="F121" s="67" t="s">
        <v>678</v>
      </c>
      <c r="G121" s="65">
        <v>400295</v>
      </c>
      <c r="H121" s="65" t="s">
        <v>35</v>
      </c>
      <c r="I121" s="69" t="s">
        <v>32</v>
      </c>
      <c r="J121" s="69">
        <v>0.21029999999999999</v>
      </c>
      <c r="K121" s="70">
        <v>1800</v>
      </c>
      <c r="L121" s="95" t="s">
        <v>475</v>
      </c>
    </row>
    <row r="122" spans="2:13" x14ac:dyDescent="0.25">
      <c r="B122" s="55" t="s">
        <v>366</v>
      </c>
      <c r="C122" s="55">
        <v>1</v>
      </c>
      <c r="D122" s="56">
        <v>46051</v>
      </c>
      <c r="E122" s="55" t="s">
        <v>8</v>
      </c>
      <c r="F122" s="57" t="s">
        <v>352</v>
      </c>
      <c r="G122" s="55">
        <v>101192</v>
      </c>
      <c r="H122" s="59" t="s">
        <v>76</v>
      </c>
      <c r="I122" s="55" t="s">
        <v>534</v>
      </c>
      <c r="J122" s="59">
        <v>0.58460000000000001</v>
      </c>
      <c r="K122" s="60">
        <v>500</v>
      </c>
      <c r="L122" s="95"/>
    </row>
    <row r="123" spans="2:13" x14ac:dyDescent="0.25">
      <c r="B123" s="55" t="s">
        <v>366</v>
      </c>
      <c r="C123" s="55">
        <v>2</v>
      </c>
      <c r="D123" s="56">
        <v>46051</v>
      </c>
      <c r="E123" s="55" t="s">
        <v>8</v>
      </c>
      <c r="F123" s="57" t="s">
        <v>352</v>
      </c>
      <c r="G123" s="55">
        <v>200058</v>
      </c>
      <c r="H123" s="57" t="s">
        <v>86</v>
      </c>
      <c r="I123" s="55" t="s">
        <v>87</v>
      </c>
      <c r="J123" s="59">
        <v>0.1615</v>
      </c>
      <c r="K123" s="55">
        <v>5000</v>
      </c>
      <c r="L123" s="95"/>
    </row>
    <row r="124" spans="2:13" x14ac:dyDescent="0.25">
      <c r="B124" s="71" t="s">
        <v>372</v>
      </c>
      <c r="C124" s="71">
        <v>1</v>
      </c>
      <c r="D124" s="76">
        <v>46051</v>
      </c>
      <c r="E124" s="55" t="s">
        <v>8</v>
      </c>
      <c r="F124" s="57" t="s">
        <v>364</v>
      </c>
      <c r="G124" s="55">
        <v>100532</v>
      </c>
      <c r="H124" s="59" t="s">
        <v>370</v>
      </c>
      <c r="I124" s="55" t="s">
        <v>365</v>
      </c>
      <c r="J124" s="59">
        <v>0.17860000000000001</v>
      </c>
      <c r="K124" s="60">
        <v>4000</v>
      </c>
      <c r="L124" s="95"/>
    </row>
    <row r="125" spans="2:13" x14ac:dyDescent="0.25">
      <c r="B125" s="71" t="s">
        <v>393</v>
      </c>
      <c r="C125" s="71">
        <v>2</v>
      </c>
      <c r="D125" s="76">
        <v>46051</v>
      </c>
      <c r="E125" s="55" t="s">
        <v>8</v>
      </c>
      <c r="F125" s="57" t="s">
        <v>363</v>
      </c>
      <c r="G125" s="55">
        <v>101467</v>
      </c>
      <c r="H125" s="59" t="s">
        <v>80</v>
      </c>
      <c r="I125" s="55" t="s">
        <v>28</v>
      </c>
      <c r="J125" s="59">
        <v>0.40699999999999997</v>
      </c>
      <c r="K125" s="60">
        <v>900</v>
      </c>
      <c r="L125" s="95"/>
    </row>
    <row r="126" spans="2:13" x14ac:dyDescent="0.25">
      <c r="B126" s="71" t="s">
        <v>393</v>
      </c>
      <c r="C126" s="71">
        <v>3</v>
      </c>
      <c r="D126" s="76">
        <v>46051</v>
      </c>
      <c r="E126" s="55" t="s">
        <v>8</v>
      </c>
      <c r="F126" s="57" t="s">
        <v>363</v>
      </c>
      <c r="G126" s="55">
        <v>400210</v>
      </c>
      <c r="H126" s="59" t="s">
        <v>211</v>
      </c>
      <c r="I126" s="55" t="s">
        <v>164</v>
      </c>
      <c r="J126" s="59">
        <v>0.1462</v>
      </c>
      <c r="K126" s="60">
        <v>2500</v>
      </c>
      <c r="L126" s="95"/>
    </row>
    <row r="127" spans="2:13" x14ac:dyDescent="0.25">
      <c r="B127" s="71" t="s">
        <v>395</v>
      </c>
      <c r="C127" s="71">
        <v>1</v>
      </c>
      <c r="D127" s="76">
        <v>46051</v>
      </c>
      <c r="E127" s="55" t="s">
        <v>8</v>
      </c>
      <c r="F127" s="57" t="s">
        <v>375</v>
      </c>
      <c r="G127" s="55">
        <v>200058</v>
      </c>
      <c r="H127" s="59" t="s">
        <v>86</v>
      </c>
      <c r="I127" s="55" t="s">
        <v>87</v>
      </c>
      <c r="J127" s="59">
        <v>0.1615</v>
      </c>
      <c r="K127" s="60">
        <v>5000</v>
      </c>
      <c r="L127" s="95"/>
    </row>
    <row r="128" spans="2:13" ht="15.75" thickBot="1" x14ac:dyDescent="0.3">
      <c r="B128" s="71" t="s">
        <v>421</v>
      </c>
      <c r="C128" s="71">
        <v>1</v>
      </c>
      <c r="D128" s="76">
        <v>46051</v>
      </c>
      <c r="E128" s="55" t="s">
        <v>8</v>
      </c>
      <c r="F128" s="57" t="s">
        <v>405</v>
      </c>
      <c r="G128" s="55">
        <v>100287</v>
      </c>
      <c r="H128" s="59" t="s">
        <v>407</v>
      </c>
      <c r="I128" s="55" t="s">
        <v>404</v>
      </c>
      <c r="J128" s="59">
        <v>0.1769</v>
      </c>
      <c r="K128" s="60">
        <v>4000</v>
      </c>
      <c r="L128" s="95"/>
    </row>
    <row r="129" spans="2:13" ht="16.5" thickBot="1" x14ac:dyDescent="0.3">
      <c r="B129" s="71" t="s">
        <v>492</v>
      </c>
      <c r="C129" s="85">
        <v>1</v>
      </c>
      <c r="D129" s="76">
        <v>46051</v>
      </c>
      <c r="E129" s="55" t="s">
        <v>8</v>
      </c>
      <c r="F129" s="57" t="s">
        <v>463</v>
      </c>
      <c r="G129" s="55">
        <v>400761</v>
      </c>
      <c r="H129" s="59" t="s">
        <v>29</v>
      </c>
      <c r="I129" s="55" t="s">
        <v>15</v>
      </c>
      <c r="J129" s="59">
        <v>0.1462</v>
      </c>
      <c r="K129" s="60">
        <f>20000-15000</f>
        <v>5000</v>
      </c>
      <c r="L129" s="61" t="s">
        <v>704</v>
      </c>
      <c r="M129" s="51">
        <v>8425.94</v>
      </c>
    </row>
    <row r="130" spans="2:13" x14ac:dyDescent="0.25">
      <c r="B130" s="108" t="s">
        <v>431</v>
      </c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</row>
    <row r="131" spans="2:13" x14ac:dyDescent="0.25">
      <c r="B131" s="71" t="s">
        <v>433</v>
      </c>
      <c r="C131" s="71">
        <v>1</v>
      </c>
      <c r="D131" s="76">
        <v>46065</v>
      </c>
      <c r="E131" s="55" t="s">
        <v>8</v>
      </c>
      <c r="F131" s="57" t="s">
        <v>417</v>
      </c>
      <c r="G131" s="55">
        <v>700043</v>
      </c>
      <c r="H131" s="59" t="s">
        <v>22</v>
      </c>
      <c r="I131" s="55" t="s">
        <v>21</v>
      </c>
      <c r="J131" s="59">
        <v>0.2</v>
      </c>
      <c r="K131" s="60">
        <v>500</v>
      </c>
      <c r="L131" s="72"/>
    </row>
    <row r="132" spans="2:13" x14ac:dyDescent="0.25">
      <c r="B132" s="71" t="s">
        <v>435</v>
      </c>
      <c r="C132" s="71">
        <v>1</v>
      </c>
      <c r="D132" s="76">
        <v>46065</v>
      </c>
      <c r="E132" s="55" t="s">
        <v>8</v>
      </c>
      <c r="F132" s="57" t="s">
        <v>419</v>
      </c>
      <c r="G132" s="55">
        <v>600088</v>
      </c>
      <c r="H132" s="59" t="s">
        <v>298</v>
      </c>
      <c r="I132" s="55" t="s">
        <v>296</v>
      </c>
      <c r="J132" s="59">
        <v>0.57999999999999996</v>
      </c>
      <c r="K132" s="60">
        <v>500</v>
      </c>
      <c r="L132" s="61" t="s">
        <v>827</v>
      </c>
    </row>
    <row r="133" spans="2:13" x14ac:dyDescent="0.25">
      <c r="B133" s="71" t="s">
        <v>436</v>
      </c>
      <c r="C133" s="71">
        <v>1</v>
      </c>
      <c r="D133" s="76">
        <v>46065</v>
      </c>
      <c r="E133" s="55" t="s">
        <v>8</v>
      </c>
      <c r="F133" s="57" t="s">
        <v>420</v>
      </c>
      <c r="G133" s="55">
        <v>700355</v>
      </c>
      <c r="H133" s="59" t="s">
        <v>72</v>
      </c>
      <c r="I133" s="55" t="s">
        <v>71</v>
      </c>
      <c r="J133" s="59">
        <v>0.1923</v>
      </c>
      <c r="K133" s="60">
        <v>2800</v>
      </c>
      <c r="L133" s="72"/>
    </row>
    <row r="134" spans="2:13" x14ac:dyDescent="0.25">
      <c r="B134" s="71" t="s">
        <v>438</v>
      </c>
      <c r="C134" s="71">
        <v>1</v>
      </c>
      <c r="D134" s="76">
        <v>46065</v>
      </c>
      <c r="E134" s="55" t="s">
        <v>8</v>
      </c>
      <c r="F134" s="57" t="s">
        <v>427</v>
      </c>
      <c r="G134" s="55">
        <v>400644</v>
      </c>
      <c r="H134" s="59" t="s">
        <v>50</v>
      </c>
      <c r="I134" s="55" t="s">
        <v>52</v>
      </c>
      <c r="J134" s="59">
        <v>0.19</v>
      </c>
      <c r="K134" s="60">
        <v>200</v>
      </c>
      <c r="L134" s="72"/>
    </row>
    <row r="135" spans="2:13" x14ac:dyDescent="0.25">
      <c r="B135" s="71" t="s">
        <v>439</v>
      </c>
      <c r="C135" s="71">
        <v>1</v>
      </c>
      <c r="D135" s="76">
        <v>46065</v>
      </c>
      <c r="E135" s="55" t="s">
        <v>8</v>
      </c>
      <c r="F135" s="57" t="s">
        <v>422</v>
      </c>
      <c r="G135" s="55">
        <v>400322</v>
      </c>
      <c r="H135" s="59" t="s">
        <v>235</v>
      </c>
      <c r="I135" s="55" t="s">
        <v>223</v>
      </c>
      <c r="J135" s="59">
        <v>0.13900000000000001</v>
      </c>
      <c r="K135" s="60">
        <v>1500</v>
      </c>
      <c r="L135" s="72"/>
    </row>
    <row r="136" spans="2:13" x14ac:dyDescent="0.25">
      <c r="B136" s="71" t="s">
        <v>440</v>
      </c>
      <c r="C136" s="71">
        <v>1</v>
      </c>
      <c r="D136" s="76">
        <v>46065</v>
      </c>
      <c r="E136" s="55" t="s">
        <v>8</v>
      </c>
      <c r="F136" s="57" t="s">
        <v>426</v>
      </c>
      <c r="G136" s="55">
        <v>200707</v>
      </c>
      <c r="H136" s="59" t="s">
        <v>93</v>
      </c>
      <c r="I136" s="55" t="s">
        <v>94</v>
      </c>
      <c r="J136" s="59">
        <v>0.22059999999999999</v>
      </c>
      <c r="K136" s="60">
        <v>1000</v>
      </c>
      <c r="L136" s="72"/>
    </row>
    <row r="137" spans="2:13" x14ac:dyDescent="0.25">
      <c r="B137" s="71" t="s">
        <v>441</v>
      </c>
      <c r="C137" s="71">
        <v>2</v>
      </c>
      <c r="D137" s="76">
        <v>46065</v>
      </c>
      <c r="E137" s="55" t="s">
        <v>8</v>
      </c>
      <c r="F137" s="57" t="s">
        <v>437</v>
      </c>
      <c r="G137" s="55">
        <v>200010</v>
      </c>
      <c r="H137" s="59" t="s">
        <v>24</v>
      </c>
      <c r="I137" s="55" t="s">
        <v>25</v>
      </c>
      <c r="J137" s="59">
        <v>0.38200000000000001</v>
      </c>
      <c r="K137" s="60">
        <v>750</v>
      </c>
      <c r="L137" s="72"/>
    </row>
    <row r="138" spans="2:13" x14ac:dyDescent="0.25">
      <c r="B138" s="71" t="s">
        <v>441</v>
      </c>
      <c r="C138" s="71">
        <v>5</v>
      </c>
      <c r="D138" s="76">
        <v>46065</v>
      </c>
      <c r="E138" s="55" t="s">
        <v>8</v>
      </c>
      <c r="F138" s="57" t="s">
        <v>437</v>
      </c>
      <c r="G138" s="55">
        <v>600285</v>
      </c>
      <c r="H138" s="59" t="s">
        <v>215</v>
      </c>
      <c r="I138" s="55" t="s">
        <v>169</v>
      </c>
      <c r="J138" s="59">
        <v>0.22270000000000001</v>
      </c>
      <c r="K138" s="60">
        <v>3500</v>
      </c>
      <c r="L138" s="72"/>
    </row>
    <row r="139" spans="2:13" x14ac:dyDescent="0.25">
      <c r="B139" s="71" t="s">
        <v>447</v>
      </c>
      <c r="C139" s="85">
        <v>1</v>
      </c>
      <c r="D139" s="76">
        <v>46065</v>
      </c>
      <c r="E139" s="55" t="s">
        <v>8</v>
      </c>
      <c r="F139" s="57" t="s">
        <v>442</v>
      </c>
      <c r="G139" s="55">
        <v>100605</v>
      </c>
      <c r="H139" s="71" t="s">
        <v>91</v>
      </c>
      <c r="I139" s="71" t="s">
        <v>67</v>
      </c>
      <c r="J139" s="59">
        <v>0.16980000000000001</v>
      </c>
      <c r="K139" s="60">
        <v>1000</v>
      </c>
      <c r="L139" s="72"/>
    </row>
    <row r="140" spans="2:13" x14ac:dyDescent="0.25">
      <c r="B140" s="71" t="s">
        <v>449</v>
      </c>
      <c r="C140" s="85">
        <v>1</v>
      </c>
      <c r="D140" s="76">
        <v>46065</v>
      </c>
      <c r="E140" s="55" t="s">
        <v>8</v>
      </c>
      <c r="F140" s="57" t="s">
        <v>418</v>
      </c>
      <c r="G140" s="55">
        <v>400590</v>
      </c>
      <c r="H140" s="59" t="s">
        <v>311</v>
      </c>
      <c r="I140" s="55" t="s">
        <v>697</v>
      </c>
      <c r="J140" s="59">
        <v>0.16500000000000001</v>
      </c>
      <c r="K140" s="64">
        <v>500</v>
      </c>
      <c r="L140" s="72" t="s">
        <v>698</v>
      </c>
    </row>
    <row r="141" spans="2:13" x14ac:dyDescent="0.25">
      <c r="B141" s="71" t="s">
        <v>465</v>
      </c>
      <c r="C141" s="85">
        <v>5</v>
      </c>
      <c r="D141" s="76">
        <v>46065</v>
      </c>
      <c r="E141" s="55" t="s">
        <v>8</v>
      </c>
      <c r="F141" s="57" t="s">
        <v>452</v>
      </c>
      <c r="G141" s="55">
        <v>200056</v>
      </c>
      <c r="H141" s="59" t="s">
        <v>60</v>
      </c>
      <c r="I141" s="55" t="s">
        <v>61</v>
      </c>
      <c r="J141" s="59">
        <v>0.2094</v>
      </c>
      <c r="K141" s="60">
        <v>2000</v>
      </c>
      <c r="L141" s="61" t="s">
        <v>828</v>
      </c>
    </row>
    <row r="142" spans="2:13" x14ac:dyDescent="0.25">
      <c r="B142" s="71" t="s">
        <v>465</v>
      </c>
      <c r="C142" s="71">
        <v>7</v>
      </c>
      <c r="D142" s="76">
        <v>46065</v>
      </c>
      <c r="E142" s="55" t="s">
        <v>8</v>
      </c>
      <c r="F142" s="57" t="s">
        <v>452</v>
      </c>
      <c r="G142" s="55">
        <v>400017</v>
      </c>
      <c r="H142" s="59" t="s">
        <v>118</v>
      </c>
      <c r="I142" s="55" t="s">
        <v>112</v>
      </c>
      <c r="J142" s="59">
        <v>0.15609999999999999</v>
      </c>
      <c r="K142" s="60">
        <v>3000</v>
      </c>
      <c r="L142" s="72"/>
    </row>
    <row r="143" spans="2:13" x14ac:dyDescent="0.25">
      <c r="B143" s="89" t="s">
        <v>481</v>
      </c>
      <c r="C143" s="89">
        <v>1</v>
      </c>
      <c r="D143" s="82">
        <v>46065</v>
      </c>
      <c r="E143" s="65" t="s">
        <v>8</v>
      </c>
      <c r="F143" s="67" t="s">
        <v>457</v>
      </c>
      <c r="G143" s="65">
        <v>101523</v>
      </c>
      <c r="H143" s="69" t="s">
        <v>89</v>
      </c>
      <c r="I143" s="65" t="s">
        <v>69</v>
      </c>
      <c r="J143" s="69">
        <v>0.89710000000000001</v>
      </c>
      <c r="K143" s="70">
        <v>2800</v>
      </c>
      <c r="L143" s="72" t="s">
        <v>829</v>
      </c>
    </row>
    <row r="144" spans="2:13" x14ac:dyDescent="0.25">
      <c r="B144" s="89" t="s">
        <v>481</v>
      </c>
      <c r="C144" s="89">
        <v>2</v>
      </c>
      <c r="D144" s="82">
        <v>46065</v>
      </c>
      <c r="E144" s="65" t="s">
        <v>8</v>
      </c>
      <c r="F144" s="67" t="s">
        <v>457</v>
      </c>
      <c r="G144" s="65">
        <v>200010</v>
      </c>
      <c r="H144" s="69" t="s">
        <v>24</v>
      </c>
      <c r="I144" s="65" t="s">
        <v>25</v>
      </c>
      <c r="J144" s="69">
        <v>0.38200000000000001</v>
      </c>
      <c r="K144" s="70">
        <v>1500</v>
      </c>
      <c r="L144" s="72" t="s">
        <v>546</v>
      </c>
    </row>
    <row r="145" spans="2:13" x14ac:dyDescent="0.25">
      <c r="B145" s="89" t="s">
        <v>481</v>
      </c>
      <c r="C145" s="89">
        <v>3</v>
      </c>
      <c r="D145" s="82">
        <v>46065</v>
      </c>
      <c r="E145" s="65" t="s">
        <v>8</v>
      </c>
      <c r="F145" s="67" t="s">
        <v>457</v>
      </c>
      <c r="G145" s="65">
        <v>200065</v>
      </c>
      <c r="H145" s="69" t="s">
        <v>410</v>
      </c>
      <c r="I145" s="65" t="s">
        <v>409</v>
      </c>
      <c r="J145" s="69">
        <v>0.36020000000000002</v>
      </c>
      <c r="K145" s="70">
        <v>4000</v>
      </c>
      <c r="L145" s="72" t="s">
        <v>546</v>
      </c>
    </row>
    <row r="146" spans="2:13" x14ac:dyDescent="0.25">
      <c r="B146" s="89" t="s">
        <v>481</v>
      </c>
      <c r="C146" s="89">
        <v>4</v>
      </c>
      <c r="D146" s="82">
        <v>46065</v>
      </c>
      <c r="E146" s="65" t="s">
        <v>8</v>
      </c>
      <c r="F146" s="67" t="s">
        <v>457</v>
      </c>
      <c r="G146" s="65">
        <v>401340</v>
      </c>
      <c r="H146" s="69" t="s">
        <v>246</v>
      </c>
      <c r="I146" s="65" t="s">
        <v>182</v>
      </c>
      <c r="J146" s="69">
        <v>0.32219999999999999</v>
      </c>
      <c r="K146" s="70">
        <v>1000</v>
      </c>
      <c r="L146" s="72" t="s">
        <v>546</v>
      </c>
    </row>
    <row r="147" spans="2:13" x14ac:dyDescent="0.25">
      <c r="B147" s="89" t="s">
        <v>484</v>
      </c>
      <c r="C147" s="89">
        <v>1</v>
      </c>
      <c r="D147" s="82">
        <v>46065</v>
      </c>
      <c r="E147" s="65" t="s">
        <v>8</v>
      </c>
      <c r="F147" s="67" t="s">
        <v>462</v>
      </c>
      <c r="G147" s="65">
        <v>400761</v>
      </c>
      <c r="H147" s="69" t="s">
        <v>29</v>
      </c>
      <c r="I147" s="65" t="s">
        <v>15</v>
      </c>
      <c r="J147" s="69">
        <v>0.1462</v>
      </c>
      <c r="K147" s="70">
        <v>20000</v>
      </c>
      <c r="L147" s="72" t="s">
        <v>830</v>
      </c>
    </row>
    <row r="148" spans="2:13" ht="15.75" thickBot="1" x14ac:dyDescent="0.3">
      <c r="B148" s="71" t="s">
        <v>372</v>
      </c>
      <c r="C148" s="71">
        <v>1</v>
      </c>
      <c r="D148" s="98">
        <v>46051</v>
      </c>
      <c r="E148" s="55" t="s">
        <v>8</v>
      </c>
      <c r="F148" s="57" t="s">
        <v>364</v>
      </c>
      <c r="G148" s="55">
        <v>100532</v>
      </c>
      <c r="H148" s="59" t="s">
        <v>370</v>
      </c>
      <c r="I148" s="55" t="s">
        <v>365</v>
      </c>
      <c r="J148" s="59">
        <v>0.17860000000000001</v>
      </c>
      <c r="K148" s="60">
        <f>4000-2000</f>
        <v>2000</v>
      </c>
      <c r="L148" s="61" t="s">
        <v>757</v>
      </c>
    </row>
    <row r="149" spans="2:13" ht="16.5" thickBot="1" x14ac:dyDescent="0.3">
      <c r="B149" s="71" t="s">
        <v>521</v>
      </c>
      <c r="C149" s="85">
        <v>1</v>
      </c>
      <c r="D149" s="98">
        <v>46051</v>
      </c>
      <c r="E149" s="55" t="s">
        <v>8</v>
      </c>
      <c r="F149" s="57" t="s">
        <v>508</v>
      </c>
      <c r="G149" s="55">
        <v>200050</v>
      </c>
      <c r="H149" s="59" t="s">
        <v>114</v>
      </c>
      <c r="I149" s="55" t="s">
        <v>104</v>
      </c>
      <c r="J149" s="59">
        <v>0.35899999999999999</v>
      </c>
      <c r="K149" s="60">
        <f>2000-1568</f>
        <v>432</v>
      </c>
      <c r="L149" s="75" t="s">
        <v>705</v>
      </c>
      <c r="M149" s="51">
        <v>9288.09</v>
      </c>
    </row>
    <row r="150" spans="2:13" x14ac:dyDescent="0.25">
      <c r="B150" s="108" t="s">
        <v>826</v>
      </c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</row>
    <row r="151" spans="2:13" x14ac:dyDescent="0.25">
      <c r="B151" s="71" t="s">
        <v>432</v>
      </c>
      <c r="C151" s="71">
        <v>1</v>
      </c>
      <c r="D151" s="76">
        <v>46065</v>
      </c>
      <c r="E151" s="55" t="s">
        <v>8</v>
      </c>
      <c r="F151" s="57" t="s">
        <v>382</v>
      </c>
      <c r="G151" s="55">
        <v>700043</v>
      </c>
      <c r="H151" s="59" t="s">
        <v>22</v>
      </c>
      <c r="I151" s="55" t="s">
        <v>21</v>
      </c>
      <c r="J151" s="59">
        <v>0.2</v>
      </c>
      <c r="K151" s="60">
        <v>2000</v>
      </c>
      <c r="L151" s="61"/>
    </row>
    <row r="152" spans="2:13" x14ac:dyDescent="0.25">
      <c r="B152" s="71" t="s">
        <v>434</v>
      </c>
      <c r="C152" s="71">
        <v>2</v>
      </c>
      <c r="D152" s="76">
        <v>46065</v>
      </c>
      <c r="E152" s="55" t="s">
        <v>8</v>
      </c>
      <c r="F152" s="57" t="s">
        <v>408</v>
      </c>
      <c r="G152" s="55">
        <v>400210</v>
      </c>
      <c r="H152" s="59" t="s">
        <v>211</v>
      </c>
      <c r="I152" s="55" t="s">
        <v>164</v>
      </c>
      <c r="J152" s="59">
        <v>0.1462</v>
      </c>
      <c r="K152" s="60">
        <v>2500</v>
      </c>
      <c r="L152" s="72"/>
    </row>
    <row r="153" spans="2:13" x14ac:dyDescent="0.25">
      <c r="B153" s="71" t="s">
        <v>435</v>
      </c>
      <c r="C153" s="71">
        <v>1</v>
      </c>
      <c r="D153" s="76">
        <v>46065</v>
      </c>
      <c r="E153" s="55" t="s">
        <v>8</v>
      </c>
      <c r="F153" s="57" t="s">
        <v>419</v>
      </c>
      <c r="G153" s="55">
        <v>600088</v>
      </c>
      <c r="H153" s="59" t="s">
        <v>298</v>
      </c>
      <c r="I153" s="55" t="s">
        <v>296</v>
      </c>
      <c r="J153" s="59">
        <v>0.57999999999999996</v>
      </c>
      <c r="K153" s="60">
        <f>500-100</f>
        <v>400</v>
      </c>
      <c r="L153" s="61" t="s">
        <v>824</v>
      </c>
    </row>
    <row r="154" spans="2:13" x14ac:dyDescent="0.25">
      <c r="B154" s="71" t="s">
        <v>441</v>
      </c>
      <c r="C154" s="71">
        <v>1</v>
      </c>
      <c r="D154" s="76">
        <v>46065</v>
      </c>
      <c r="E154" s="55" t="s">
        <v>8</v>
      </c>
      <c r="F154" s="57" t="s">
        <v>437</v>
      </c>
      <c r="G154" s="55">
        <v>100186</v>
      </c>
      <c r="H154" s="71" t="s">
        <v>88</v>
      </c>
      <c r="I154" s="71" t="s">
        <v>70</v>
      </c>
      <c r="J154" s="59">
        <v>0.1777</v>
      </c>
      <c r="K154" s="60">
        <v>4500</v>
      </c>
      <c r="L154" s="75"/>
    </row>
    <row r="155" spans="2:13" x14ac:dyDescent="0.25">
      <c r="B155" s="71" t="s">
        <v>465</v>
      </c>
      <c r="C155" s="85">
        <v>3</v>
      </c>
      <c r="D155" s="76">
        <v>46065</v>
      </c>
      <c r="E155" s="55" t="s">
        <v>8</v>
      </c>
      <c r="F155" s="57" t="s">
        <v>452</v>
      </c>
      <c r="G155" s="55">
        <v>100036</v>
      </c>
      <c r="H155" s="55" t="s">
        <v>130</v>
      </c>
      <c r="I155" s="55" t="s">
        <v>123</v>
      </c>
      <c r="J155" s="59">
        <v>0.31159999999999999</v>
      </c>
      <c r="K155" s="60">
        <v>5000</v>
      </c>
      <c r="L155" s="75"/>
    </row>
    <row r="156" spans="2:13" x14ac:dyDescent="0.25">
      <c r="B156" s="71" t="s">
        <v>465</v>
      </c>
      <c r="C156" s="85">
        <v>4</v>
      </c>
      <c r="D156" s="76">
        <v>46065</v>
      </c>
      <c r="E156" s="55" t="s">
        <v>8</v>
      </c>
      <c r="F156" s="57" t="s">
        <v>452</v>
      </c>
      <c r="G156" s="55">
        <v>100105</v>
      </c>
      <c r="H156" s="59" t="s">
        <v>11</v>
      </c>
      <c r="I156" s="55" t="s">
        <v>10</v>
      </c>
      <c r="J156" s="59">
        <v>0.28949999999999998</v>
      </c>
      <c r="K156" s="60">
        <v>500</v>
      </c>
      <c r="L156" s="75"/>
    </row>
    <row r="157" spans="2:13" x14ac:dyDescent="0.25">
      <c r="B157" s="71" t="s">
        <v>468</v>
      </c>
      <c r="C157" s="71">
        <v>1</v>
      </c>
      <c r="D157" s="76">
        <v>46065</v>
      </c>
      <c r="E157" s="55" t="s">
        <v>8</v>
      </c>
      <c r="F157" s="57" t="s">
        <v>456</v>
      </c>
      <c r="G157" s="55">
        <v>400295</v>
      </c>
      <c r="H157" s="59" t="s">
        <v>35</v>
      </c>
      <c r="I157" s="55" t="s">
        <v>32</v>
      </c>
      <c r="J157" s="59">
        <v>0.21029999999999999</v>
      </c>
      <c r="K157" s="60">
        <v>300</v>
      </c>
      <c r="L157" s="75"/>
    </row>
    <row r="158" spans="2:13" x14ac:dyDescent="0.25">
      <c r="B158" s="89" t="s">
        <v>481</v>
      </c>
      <c r="C158" s="89">
        <v>1</v>
      </c>
      <c r="D158" s="82">
        <v>46065</v>
      </c>
      <c r="E158" s="65" t="s">
        <v>8</v>
      </c>
      <c r="F158" s="67" t="s">
        <v>457</v>
      </c>
      <c r="G158" s="65">
        <v>101523</v>
      </c>
      <c r="H158" s="69" t="s">
        <v>89</v>
      </c>
      <c r="I158" s="65" t="s">
        <v>69</v>
      </c>
      <c r="J158" s="69">
        <v>0.89710000000000001</v>
      </c>
      <c r="K158" s="70">
        <f>2800-935</f>
        <v>1865</v>
      </c>
      <c r="L158" s="72" t="s">
        <v>831</v>
      </c>
    </row>
    <row r="159" spans="2:13" x14ac:dyDescent="0.25">
      <c r="B159" s="89" t="s">
        <v>484</v>
      </c>
      <c r="C159" s="89">
        <v>1</v>
      </c>
      <c r="D159" s="82">
        <v>46065</v>
      </c>
      <c r="E159" s="65" t="s">
        <v>8</v>
      </c>
      <c r="F159" s="67" t="s">
        <v>462</v>
      </c>
      <c r="G159" s="65">
        <v>400761</v>
      </c>
      <c r="H159" s="69" t="s">
        <v>29</v>
      </c>
      <c r="I159" s="65" t="s">
        <v>15</v>
      </c>
      <c r="J159" s="69">
        <v>0.1462</v>
      </c>
      <c r="K159" s="70">
        <f>20000-16000</f>
        <v>4000</v>
      </c>
      <c r="L159" s="72" t="s">
        <v>832</v>
      </c>
    </row>
    <row r="160" spans="2:13" ht="15.75" thickBot="1" x14ac:dyDescent="0.3">
      <c r="B160" s="71" t="s">
        <v>485</v>
      </c>
      <c r="C160" s="71">
        <v>1</v>
      </c>
      <c r="D160" s="76">
        <v>46065</v>
      </c>
      <c r="E160" s="55" t="s">
        <v>8</v>
      </c>
      <c r="F160" s="57" t="s">
        <v>464</v>
      </c>
      <c r="G160" s="55">
        <v>400761</v>
      </c>
      <c r="H160" s="59" t="s">
        <v>29</v>
      </c>
      <c r="I160" s="55" t="s">
        <v>15</v>
      </c>
      <c r="J160" s="59">
        <v>0.1462</v>
      </c>
      <c r="K160" s="60">
        <v>20000</v>
      </c>
      <c r="L160" s="61" t="s">
        <v>894</v>
      </c>
    </row>
    <row r="161" spans="2:13" ht="16.5" thickBot="1" x14ac:dyDescent="0.3">
      <c r="B161" s="89" t="s">
        <v>421</v>
      </c>
      <c r="C161" s="89">
        <v>1</v>
      </c>
      <c r="D161" s="100">
        <v>46051</v>
      </c>
      <c r="E161" s="65" t="s">
        <v>8</v>
      </c>
      <c r="F161" s="67" t="s">
        <v>405</v>
      </c>
      <c r="G161" s="65">
        <v>100287</v>
      </c>
      <c r="H161" s="69" t="s">
        <v>407</v>
      </c>
      <c r="I161" s="65" t="s">
        <v>404</v>
      </c>
      <c r="J161" s="69">
        <v>0.1769</v>
      </c>
      <c r="K161" s="70">
        <f>4000-580</f>
        <v>3420</v>
      </c>
      <c r="L161" s="72" t="s">
        <v>847</v>
      </c>
      <c r="M161" s="51">
        <v>7694.84</v>
      </c>
    </row>
    <row r="162" spans="2:13" ht="15.75" x14ac:dyDescent="0.25">
      <c r="B162" s="108" t="s">
        <v>494</v>
      </c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3"/>
    </row>
    <row r="163" spans="2:13" ht="15.75" x14ac:dyDescent="0.25">
      <c r="B163" s="71" t="s">
        <v>434</v>
      </c>
      <c r="C163" s="71">
        <v>1</v>
      </c>
      <c r="D163" s="76">
        <v>46065</v>
      </c>
      <c r="E163" s="71" t="s">
        <v>8</v>
      </c>
      <c r="F163" s="77" t="s">
        <v>408</v>
      </c>
      <c r="G163" s="71">
        <v>200065</v>
      </c>
      <c r="H163" s="59" t="s">
        <v>410</v>
      </c>
      <c r="I163" s="71" t="s">
        <v>409</v>
      </c>
      <c r="J163" s="59">
        <v>0.36020000000000002</v>
      </c>
      <c r="K163" s="79">
        <v>4000</v>
      </c>
      <c r="L163" s="72"/>
      <c r="M163" s="103"/>
    </row>
    <row r="164" spans="2:13" ht="15.75" x14ac:dyDescent="0.25">
      <c r="B164" s="71" t="s">
        <v>441</v>
      </c>
      <c r="C164" s="71">
        <v>4</v>
      </c>
      <c r="D164" s="76">
        <v>46065</v>
      </c>
      <c r="E164" s="71" t="s">
        <v>8</v>
      </c>
      <c r="F164" s="77" t="s">
        <v>437</v>
      </c>
      <c r="G164" s="71">
        <v>400082</v>
      </c>
      <c r="H164" s="59" t="s">
        <v>209</v>
      </c>
      <c r="I164" s="71" t="s">
        <v>162</v>
      </c>
      <c r="J164" s="59">
        <v>0.21390000000000001</v>
      </c>
      <c r="K164" s="79">
        <v>3000</v>
      </c>
      <c r="L164" s="72"/>
      <c r="M164" s="103"/>
    </row>
    <row r="165" spans="2:13" ht="15.75" x14ac:dyDescent="0.25">
      <c r="B165" s="71" t="s">
        <v>465</v>
      </c>
      <c r="C165" s="85">
        <v>1</v>
      </c>
      <c r="D165" s="76">
        <v>46065</v>
      </c>
      <c r="E165" s="55" t="s">
        <v>8</v>
      </c>
      <c r="F165" s="77" t="s">
        <v>452</v>
      </c>
      <c r="G165" s="71">
        <v>100018</v>
      </c>
      <c r="H165" s="59" t="s">
        <v>43</v>
      </c>
      <c r="I165" s="71" t="s">
        <v>46</v>
      </c>
      <c r="J165" s="59">
        <v>0.21540000000000001</v>
      </c>
      <c r="K165" s="79">
        <v>2000</v>
      </c>
      <c r="L165" s="72"/>
      <c r="M165" s="103"/>
    </row>
    <row r="166" spans="2:13" ht="15.75" x14ac:dyDescent="0.25">
      <c r="B166" s="71" t="s">
        <v>465</v>
      </c>
      <c r="C166" s="85">
        <v>2</v>
      </c>
      <c r="D166" s="76">
        <v>46065</v>
      </c>
      <c r="E166" s="55" t="s">
        <v>8</v>
      </c>
      <c r="F166" s="77" t="s">
        <v>452</v>
      </c>
      <c r="G166" s="71">
        <v>100025</v>
      </c>
      <c r="H166" s="59" t="s">
        <v>23</v>
      </c>
      <c r="I166" s="71" t="s">
        <v>17</v>
      </c>
      <c r="J166" s="59">
        <v>0.215</v>
      </c>
      <c r="K166" s="79">
        <v>2000</v>
      </c>
      <c r="L166" s="72"/>
      <c r="M166" s="103"/>
    </row>
    <row r="167" spans="2:13" ht="15.75" x14ac:dyDescent="0.25">
      <c r="B167" s="71" t="s">
        <v>465</v>
      </c>
      <c r="C167" s="71">
        <v>8</v>
      </c>
      <c r="D167" s="76">
        <v>46065</v>
      </c>
      <c r="E167" s="71" t="s">
        <v>8</v>
      </c>
      <c r="F167" s="77" t="s">
        <v>452</v>
      </c>
      <c r="G167" s="71">
        <v>400082</v>
      </c>
      <c r="H167" s="59" t="s">
        <v>209</v>
      </c>
      <c r="I167" s="71" t="s">
        <v>162</v>
      </c>
      <c r="J167" s="59">
        <v>0.21390000000000001</v>
      </c>
      <c r="K167" s="79">
        <v>2000</v>
      </c>
      <c r="L167" s="72"/>
      <c r="M167" s="103"/>
    </row>
    <row r="168" spans="2:13" ht="15.75" x14ac:dyDescent="0.25">
      <c r="B168" s="71" t="s">
        <v>465</v>
      </c>
      <c r="C168" s="71">
        <v>9</v>
      </c>
      <c r="D168" s="76">
        <v>46065</v>
      </c>
      <c r="E168" s="71" t="s">
        <v>8</v>
      </c>
      <c r="F168" s="77" t="s">
        <v>452</v>
      </c>
      <c r="G168" s="71">
        <v>400210</v>
      </c>
      <c r="H168" s="59" t="s">
        <v>211</v>
      </c>
      <c r="I168" s="71" t="s">
        <v>164</v>
      </c>
      <c r="J168" s="59">
        <v>0.1462</v>
      </c>
      <c r="K168" s="79">
        <v>5000</v>
      </c>
      <c r="L168" s="72"/>
      <c r="M168" s="103"/>
    </row>
    <row r="169" spans="2:13" ht="15.75" x14ac:dyDescent="0.25">
      <c r="B169" s="71" t="s">
        <v>466</v>
      </c>
      <c r="C169" s="71">
        <v>1</v>
      </c>
      <c r="D169" s="76">
        <v>46065</v>
      </c>
      <c r="E169" s="71" t="s">
        <v>8</v>
      </c>
      <c r="F169" s="77" t="s">
        <v>453</v>
      </c>
      <c r="G169" s="71">
        <v>100725</v>
      </c>
      <c r="H169" s="59" t="s">
        <v>467</v>
      </c>
      <c r="I169" s="71" t="s">
        <v>454</v>
      </c>
      <c r="J169" s="59">
        <v>0.3322</v>
      </c>
      <c r="K169" s="79">
        <v>1200</v>
      </c>
      <c r="L169" s="72"/>
      <c r="M169" s="103"/>
    </row>
    <row r="170" spans="2:13" ht="15.75" x14ac:dyDescent="0.25">
      <c r="B170" s="71" t="s">
        <v>485</v>
      </c>
      <c r="C170" s="71">
        <v>1</v>
      </c>
      <c r="D170" s="76">
        <v>46065</v>
      </c>
      <c r="E170" s="55" t="s">
        <v>8</v>
      </c>
      <c r="F170" s="77" t="s">
        <v>464</v>
      </c>
      <c r="G170" s="71">
        <v>400761</v>
      </c>
      <c r="H170" s="59" t="s">
        <v>29</v>
      </c>
      <c r="I170" s="71" t="s">
        <v>15</v>
      </c>
      <c r="J170" s="59">
        <v>0.1462</v>
      </c>
      <c r="K170" s="79">
        <f>20000-8000</f>
        <v>12000</v>
      </c>
      <c r="L170" s="93" t="s">
        <v>893</v>
      </c>
      <c r="M170" s="103"/>
    </row>
    <row r="171" spans="2:13" ht="15.75" x14ac:dyDescent="0.25">
      <c r="B171" s="71" t="s">
        <v>486</v>
      </c>
      <c r="C171" s="71">
        <v>1</v>
      </c>
      <c r="D171" s="76">
        <v>46065</v>
      </c>
      <c r="E171" s="71" t="s">
        <v>8</v>
      </c>
      <c r="F171" s="77" t="s">
        <v>479</v>
      </c>
      <c r="G171" s="71">
        <v>100826</v>
      </c>
      <c r="H171" s="59" t="s">
        <v>64</v>
      </c>
      <c r="I171" s="71" t="s">
        <v>31</v>
      </c>
      <c r="J171" s="59">
        <v>0.3926</v>
      </c>
      <c r="K171" s="79">
        <v>2000</v>
      </c>
      <c r="L171" s="93" t="s">
        <v>480</v>
      </c>
      <c r="M171" s="103"/>
    </row>
    <row r="172" spans="2:13" ht="15.75" x14ac:dyDescent="0.25">
      <c r="B172" s="71" t="s">
        <v>923</v>
      </c>
      <c r="C172" s="71">
        <v>1</v>
      </c>
      <c r="D172" s="76">
        <v>46065</v>
      </c>
      <c r="E172" s="71" t="s">
        <v>8</v>
      </c>
      <c r="F172" s="77" t="s">
        <v>791</v>
      </c>
      <c r="G172" s="71">
        <v>101527</v>
      </c>
      <c r="H172" s="71" t="s">
        <v>819</v>
      </c>
      <c r="I172" s="59" t="s">
        <v>815</v>
      </c>
      <c r="J172" s="59">
        <v>0.19650000000000001</v>
      </c>
      <c r="K172" s="79">
        <v>3000</v>
      </c>
      <c r="L172" s="93" t="s">
        <v>818</v>
      </c>
      <c r="M172" s="103"/>
    </row>
    <row r="173" spans="2:13" ht="15.75" x14ac:dyDescent="0.25">
      <c r="B173" s="71" t="s">
        <v>493</v>
      </c>
      <c r="C173" s="71">
        <v>2</v>
      </c>
      <c r="D173" s="76">
        <v>46079</v>
      </c>
      <c r="E173" s="71" t="s">
        <v>8</v>
      </c>
      <c r="F173" s="77" t="s">
        <v>476</v>
      </c>
      <c r="G173" s="71">
        <v>200101</v>
      </c>
      <c r="H173" s="59" t="s">
        <v>119</v>
      </c>
      <c r="I173" s="71" t="s">
        <v>537</v>
      </c>
      <c r="J173" s="59">
        <v>8.8350000000000009</v>
      </c>
      <c r="K173" s="79">
        <v>200</v>
      </c>
      <c r="L173" s="72"/>
      <c r="M173" s="103"/>
    </row>
    <row r="174" spans="2:13" ht="15.75" x14ac:dyDescent="0.25">
      <c r="B174" s="71" t="s">
        <v>493</v>
      </c>
      <c r="C174" s="71">
        <v>3</v>
      </c>
      <c r="D174" s="76">
        <v>46079</v>
      </c>
      <c r="E174" s="71" t="s">
        <v>8</v>
      </c>
      <c r="F174" s="77" t="s">
        <v>476</v>
      </c>
      <c r="G174" s="71">
        <v>200698</v>
      </c>
      <c r="H174" s="78" t="s">
        <v>120</v>
      </c>
      <c r="I174" s="71" t="s">
        <v>538</v>
      </c>
      <c r="J174" s="59">
        <v>18.675000000000001</v>
      </c>
      <c r="K174" s="79">
        <v>100</v>
      </c>
      <c r="L174" s="72"/>
      <c r="M174" s="103"/>
    </row>
    <row r="175" spans="2:13" ht="15.75" x14ac:dyDescent="0.25">
      <c r="B175" s="71" t="s">
        <v>509</v>
      </c>
      <c r="C175" s="71">
        <v>1</v>
      </c>
      <c r="D175" s="76">
        <v>46079</v>
      </c>
      <c r="E175" s="71" t="s">
        <v>8</v>
      </c>
      <c r="F175" s="77" t="s">
        <v>219</v>
      </c>
      <c r="G175" s="78">
        <v>901309</v>
      </c>
      <c r="H175" s="59" t="s">
        <v>488</v>
      </c>
      <c r="I175" s="71" t="s">
        <v>489</v>
      </c>
      <c r="J175" s="59">
        <v>0.28189999999999998</v>
      </c>
      <c r="K175" s="79">
        <v>10000</v>
      </c>
      <c r="L175" s="93" t="s">
        <v>887</v>
      </c>
      <c r="M175" s="103"/>
    </row>
    <row r="176" spans="2:13" ht="15.75" x14ac:dyDescent="0.25">
      <c r="B176" s="71" t="s">
        <v>519</v>
      </c>
      <c r="C176" s="71">
        <v>8</v>
      </c>
      <c r="D176" s="76">
        <v>46079</v>
      </c>
      <c r="E176" s="71" t="s">
        <v>8</v>
      </c>
      <c r="F176" s="77" t="s">
        <v>487</v>
      </c>
      <c r="G176" s="71">
        <v>901309</v>
      </c>
      <c r="H176" s="59" t="s">
        <v>488</v>
      </c>
      <c r="I176" s="71" t="s">
        <v>489</v>
      </c>
      <c r="J176" s="59">
        <v>0.28189999999999998</v>
      </c>
      <c r="K176" s="79">
        <v>180</v>
      </c>
      <c r="L176" s="72"/>
      <c r="M176" s="103"/>
    </row>
    <row r="177" spans="2:13" ht="15.75" x14ac:dyDescent="0.25">
      <c r="B177" s="71" t="s">
        <v>522</v>
      </c>
      <c r="C177" s="71">
        <v>2</v>
      </c>
      <c r="D177" s="76">
        <v>46079</v>
      </c>
      <c r="E177" s="71" t="s">
        <v>8</v>
      </c>
      <c r="F177" s="77" t="s">
        <v>507</v>
      </c>
      <c r="G177" s="71">
        <v>700017</v>
      </c>
      <c r="H177" s="59" t="s">
        <v>233</v>
      </c>
      <c r="I177" s="71" t="s">
        <v>234</v>
      </c>
      <c r="J177" s="59">
        <v>0.1923</v>
      </c>
      <c r="K177" s="79">
        <v>5000</v>
      </c>
      <c r="L177" s="72"/>
      <c r="M177" s="103"/>
    </row>
    <row r="178" spans="2:13" ht="15.75" x14ac:dyDescent="0.25">
      <c r="B178" s="71" t="s">
        <v>613</v>
      </c>
      <c r="C178" s="71">
        <v>2</v>
      </c>
      <c r="D178" s="76">
        <v>46079</v>
      </c>
      <c r="E178" s="71" t="s">
        <v>8</v>
      </c>
      <c r="F178" s="77" t="s">
        <v>560</v>
      </c>
      <c r="G178" s="71">
        <v>101523</v>
      </c>
      <c r="H178" s="59" t="s">
        <v>89</v>
      </c>
      <c r="I178" s="71" t="s">
        <v>69</v>
      </c>
      <c r="J178" s="59">
        <v>0.89710000000000001</v>
      </c>
      <c r="K178" s="79">
        <v>874</v>
      </c>
      <c r="L178" s="72"/>
      <c r="M178" s="103"/>
    </row>
    <row r="179" spans="2:13" ht="15.75" x14ac:dyDescent="0.25">
      <c r="B179" s="71" t="s">
        <v>614</v>
      </c>
      <c r="C179" s="71">
        <v>2</v>
      </c>
      <c r="D179" s="76">
        <v>46079</v>
      </c>
      <c r="E179" s="71" t="s">
        <v>8</v>
      </c>
      <c r="F179" s="77" t="s">
        <v>591</v>
      </c>
      <c r="G179" s="71">
        <v>300178</v>
      </c>
      <c r="H179" s="59" t="s">
        <v>275</v>
      </c>
      <c r="I179" s="71" t="s">
        <v>264</v>
      </c>
      <c r="J179" s="59">
        <v>0.6028</v>
      </c>
      <c r="K179" s="79">
        <v>200</v>
      </c>
      <c r="L179" s="72"/>
      <c r="M179" s="103"/>
    </row>
    <row r="180" spans="2:13" ht="16.5" thickBot="1" x14ac:dyDescent="0.3">
      <c r="B180" s="71" t="s">
        <v>640</v>
      </c>
      <c r="C180" s="71">
        <v>1</v>
      </c>
      <c r="D180" s="76">
        <v>46079</v>
      </c>
      <c r="E180" s="71" t="s">
        <v>8</v>
      </c>
      <c r="F180" s="77" t="s">
        <v>597</v>
      </c>
      <c r="G180" s="71">
        <v>400173</v>
      </c>
      <c r="H180" s="59" t="s">
        <v>230</v>
      </c>
      <c r="I180" s="71" t="s">
        <v>194</v>
      </c>
      <c r="J180" s="59">
        <v>0.218</v>
      </c>
      <c r="K180" s="79">
        <v>2500</v>
      </c>
      <c r="L180" s="72"/>
      <c r="M180" s="103"/>
    </row>
    <row r="181" spans="2:13" ht="16.5" thickBot="1" x14ac:dyDescent="0.3">
      <c r="B181" s="71" t="s">
        <v>519</v>
      </c>
      <c r="C181" s="71">
        <v>7</v>
      </c>
      <c r="D181" s="76">
        <v>46079</v>
      </c>
      <c r="E181" s="71" t="s">
        <v>8</v>
      </c>
      <c r="F181" s="77" t="s">
        <v>487</v>
      </c>
      <c r="G181" s="71">
        <v>500089</v>
      </c>
      <c r="H181" s="59" t="s">
        <v>148</v>
      </c>
      <c r="I181" s="71" t="s">
        <v>137</v>
      </c>
      <c r="J181" s="59">
        <v>0.51719999999999999</v>
      </c>
      <c r="K181" s="79">
        <v>500</v>
      </c>
      <c r="L181" s="72"/>
      <c r="M181" s="51">
        <v>12708.95</v>
      </c>
    </row>
    <row r="182" spans="2:13" x14ac:dyDescent="0.25">
      <c r="B182" s="108" t="s">
        <v>960</v>
      </c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</row>
    <row r="183" spans="2:13" x14ac:dyDescent="0.25">
      <c r="B183" s="71" t="s">
        <v>441</v>
      </c>
      <c r="C183" s="71">
        <v>3</v>
      </c>
      <c r="D183" s="76">
        <v>46065</v>
      </c>
      <c r="E183" s="55" t="s">
        <v>8</v>
      </c>
      <c r="F183" s="77" t="s">
        <v>437</v>
      </c>
      <c r="G183" s="71">
        <v>200057</v>
      </c>
      <c r="H183" s="59" t="s">
        <v>266</v>
      </c>
      <c r="I183" s="71" t="s">
        <v>267</v>
      </c>
      <c r="J183" s="59">
        <v>0.28179999999999999</v>
      </c>
      <c r="K183" s="79">
        <v>1000</v>
      </c>
      <c r="L183" s="82"/>
    </row>
    <row r="184" spans="2:13" x14ac:dyDescent="0.25">
      <c r="B184" s="71" t="s">
        <v>465</v>
      </c>
      <c r="C184" s="85">
        <v>1</v>
      </c>
      <c r="D184" s="76">
        <v>46065</v>
      </c>
      <c r="E184" s="71" t="s">
        <v>8</v>
      </c>
      <c r="F184" s="77" t="s">
        <v>452</v>
      </c>
      <c r="G184" s="71">
        <v>100018</v>
      </c>
      <c r="H184" s="59" t="s">
        <v>43</v>
      </c>
      <c r="I184" s="71" t="s">
        <v>46</v>
      </c>
      <c r="J184" s="59">
        <v>0.21540000000000001</v>
      </c>
      <c r="K184" s="79">
        <f>2000-1000</f>
        <v>1000</v>
      </c>
      <c r="L184" s="75" t="s">
        <v>949</v>
      </c>
    </row>
    <row r="185" spans="2:13" x14ac:dyDescent="0.25">
      <c r="B185" s="71" t="s">
        <v>465</v>
      </c>
      <c r="C185" s="85">
        <v>5</v>
      </c>
      <c r="D185" s="76">
        <v>46065</v>
      </c>
      <c r="E185" s="55" t="s">
        <v>8</v>
      </c>
      <c r="F185" s="77" t="s">
        <v>452</v>
      </c>
      <c r="G185" s="71">
        <v>200056</v>
      </c>
      <c r="H185" s="59" t="s">
        <v>60</v>
      </c>
      <c r="I185" s="71" t="s">
        <v>61</v>
      </c>
      <c r="J185" s="59">
        <v>0.2094</v>
      </c>
      <c r="K185" s="79">
        <f>2000-392</f>
        <v>1608</v>
      </c>
      <c r="L185" s="93" t="s">
        <v>825</v>
      </c>
    </row>
    <row r="186" spans="2:13" x14ac:dyDescent="0.25">
      <c r="B186" s="71" t="s">
        <v>465</v>
      </c>
      <c r="C186" s="71">
        <v>6</v>
      </c>
      <c r="D186" s="76">
        <v>46065</v>
      </c>
      <c r="E186" s="55" t="s">
        <v>8</v>
      </c>
      <c r="F186" s="77" t="s">
        <v>452</v>
      </c>
      <c r="G186" s="71">
        <v>200060</v>
      </c>
      <c r="H186" s="59" t="s">
        <v>294</v>
      </c>
      <c r="I186" s="71" t="s">
        <v>293</v>
      </c>
      <c r="J186" s="59">
        <v>0.24110000000000001</v>
      </c>
      <c r="K186" s="79">
        <v>3000</v>
      </c>
      <c r="L186" s="75"/>
    </row>
    <row r="187" spans="2:13" x14ac:dyDescent="0.25">
      <c r="B187" s="71" t="s">
        <v>465</v>
      </c>
      <c r="C187" s="71">
        <v>10</v>
      </c>
      <c r="D187" s="76">
        <v>46065</v>
      </c>
      <c r="E187" s="55" t="s">
        <v>8</v>
      </c>
      <c r="F187" s="77" t="s">
        <v>452</v>
      </c>
      <c r="G187" s="71">
        <v>400807</v>
      </c>
      <c r="H187" s="59" t="s">
        <v>236</v>
      </c>
      <c r="I187" s="71" t="s">
        <v>192</v>
      </c>
      <c r="J187" s="59">
        <v>0.41499999999999998</v>
      </c>
      <c r="K187" s="79">
        <v>1000</v>
      </c>
      <c r="L187" s="75"/>
    </row>
    <row r="188" spans="2:13" x14ac:dyDescent="0.25">
      <c r="B188" s="71" t="s">
        <v>474</v>
      </c>
      <c r="C188" s="71">
        <v>1</v>
      </c>
      <c r="D188" s="76">
        <v>46065</v>
      </c>
      <c r="E188" s="55" t="s">
        <v>8</v>
      </c>
      <c r="F188" s="77" t="s">
        <v>469</v>
      </c>
      <c r="G188" s="71">
        <v>100922</v>
      </c>
      <c r="H188" s="59" t="s">
        <v>473</v>
      </c>
      <c r="I188" s="71" t="s">
        <v>470</v>
      </c>
      <c r="J188" s="59">
        <v>0.23980000000000001</v>
      </c>
      <c r="K188" s="79">
        <v>1000</v>
      </c>
      <c r="L188" s="82"/>
    </row>
    <row r="189" spans="2:13" x14ac:dyDescent="0.25">
      <c r="B189" s="71" t="s">
        <v>483</v>
      </c>
      <c r="C189" s="71">
        <v>1</v>
      </c>
      <c r="D189" s="76">
        <v>46065</v>
      </c>
      <c r="E189" s="55" t="s">
        <v>8</v>
      </c>
      <c r="F189" s="77" t="s">
        <v>460</v>
      </c>
      <c r="G189" s="71">
        <v>200508</v>
      </c>
      <c r="H189" s="59" t="s">
        <v>471</v>
      </c>
      <c r="I189" s="71" t="s">
        <v>461</v>
      </c>
      <c r="J189" s="59">
        <v>0.2334</v>
      </c>
      <c r="K189" s="79">
        <v>500</v>
      </c>
      <c r="L189" s="82"/>
    </row>
    <row r="190" spans="2:13" x14ac:dyDescent="0.25">
      <c r="B190" s="71" t="s">
        <v>485</v>
      </c>
      <c r="C190" s="71">
        <v>1</v>
      </c>
      <c r="D190" s="76">
        <v>46065</v>
      </c>
      <c r="E190" s="71" t="s">
        <v>8</v>
      </c>
      <c r="F190" s="77" t="s">
        <v>464</v>
      </c>
      <c r="G190" s="71">
        <v>400761</v>
      </c>
      <c r="H190" s="59" t="s">
        <v>29</v>
      </c>
      <c r="I190" s="71" t="s">
        <v>15</v>
      </c>
      <c r="J190" s="59">
        <v>0.1462</v>
      </c>
      <c r="K190" s="79">
        <f>20000-8000-9000</f>
        <v>3000</v>
      </c>
      <c r="L190" s="93" t="s">
        <v>950</v>
      </c>
    </row>
    <row r="191" spans="2:13" x14ac:dyDescent="0.25">
      <c r="B191" s="71" t="s">
        <v>923</v>
      </c>
      <c r="C191" s="89">
        <v>1</v>
      </c>
      <c r="D191" s="76">
        <v>46065</v>
      </c>
      <c r="E191" s="89" t="s">
        <v>8</v>
      </c>
      <c r="F191" s="90" t="s">
        <v>791</v>
      </c>
      <c r="G191" s="89">
        <v>101527</v>
      </c>
      <c r="H191" s="89" t="s">
        <v>819</v>
      </c>
      <c r="I191" s="69" t="s">
        <v>815</v>
      </c>
      <c r="J191" s="69">
        <v>0.19650000000000001</v>
      </c>
      <c r="K191" s="91">
        <f>3000-1825</f>
        <v>1175</v>
      </c>
      <c r="L191" s="93" t="s">
        <v>951</v>
      </c>
    </row>
    <row r="192" spans="2:13" x14ac:dyDescent="0.25">
      <c r="B192" s="71" t="s">
        <v>482</v>
      </c>
      <c r="C192" s="71">
        <v>1</v>
      </c>
      <c r="D192" s="76">
        <v>46065</v>
      </c>
      <c r="E192" s="55" t="s">
        <v>8</v>
      </c>
      <c r="F192" s="77" t="s">
        <v>458</v>
      </c>
      <c r="G192" s="71">
        <v>200031</v>
      </c>
      <c r="H192" s="59" t="s">
        <v>472</v>
      </c>
      <c r="I192" s="71" t="s">
        <v>459</v>
      </c>
      <c r="J192" s="59">
        <v>0.24479999999999999</v>
      </c>
      <c r="K192" s="79">
        <v>1000</v>
      </c>
      <c r="L192" s="82"/>
    </row>
    <row r="193" spans="2:13" x14ac:dyDescent="0.25">
      <c r="B193" s="71" t="s">
        <v>493</v>
      </c>
      <c r="C193" s="71">
        <v>2</v>
      </c>
      <c r="D193" s="76">
        <v>46079</v>
      </c>
      <c r="E193" s="71" t="s">
        <v>8</v>
      </c>
      <c r="F193" s="77" t="s">
        <v>476</v>
      </c>
      <c r="G193" s="71">
        <v>200101</v>
      </c>
      <c r="H193" s="59" t="s">
        <v>119</v>
      </c>
      <c r="I193" s="71" t="s">
        <v>537</v>
      </c>
      <c r="J193" s="59">
        <v>8.8350000000000009</v>
      </c>
      <c r="K193" s="79">
        <f>200-47</f>
        <v>153</v>
      </c>
      <c r="L193" s="93" t="s">
        <v>952</v>
      </c>
    </row>
    <row r="194" spans="2:13" x14ac:dyDescent="0.25">
      <c r="B194" s="71" t="s">
        <v>502</v>
      </c>
      <c r="C194" s="71">
        <v>1</v>
      </c>
      <c r="D194" s="76">
        <v>46079</v>
      </c>
      <c r="E194" s="55" t="s">
        <v>8</v>
      </c>
      <c r="F194" s="77" t="s">
        <v>498</v>
      </c>
      <c r="G194" s="71">
        <v>400295</v>
      </c>
      <c r="H194" s="59" t="s">
        <v>35</v>
      </c>
      <c r="I194" s="71" t="s">
        <v>32</v>
      </c>
      <c r="J194" s="59">
        <v>0.21029999999999999</v>
      </c>
      <c r="K194" s="79">
        <v>600</v>
      </c>
      <c r="L194" s="92"/>
    </row>
    <row r="195" spans="2:13" s="99" customFormat="1" x14ac:dyDescent="0.25">
      <c r="B195" s="89" t="s">
        <v>509</v>
      </c>
      <c r="C195" s="89">
        <v>1</v>
      </c>
      <c r="D195" s="82">
        <v>46079</v>
      </c>
      <c r="E195" s="89" t="s">
        <v>8</v>
      </c>
      <c r="F195" s="90" t="s">
        <v>219</v>
      </c>
      <c r="G195" s="104">
        <v>901309</v>
      </c>
      <c r="H195" s="69" t="s">
        <v>488</v>
      </c>
      <c r="I195" s="89" t="s">
        <v>489</v>
      </c>
      <c r="J195" s="69">
        <v>0.28189999999999998</v>
      </c>
      <c r="K195" s="91">
        <f>10000-4500</f>
        <v>5500</v>
      </c>
      <c r="L195" s="93" t="s">
        <v>954</v>
      </c>
      <c r="M195" s="20"/>
    </row>
    <row r="196" spans="2:13" x14ac:dyDescent="0.25">
      <c r="B196" s="71" t="s">
        <v>510</v>
      </c>
      <c r="C196" s="71">
        <v>1</v>
      </c>
      <c r="D196" s="76">
        <v>46079</v>
      </c>
      <c r="E196" s="55" t="s">
        <v>8</v>
      </c>
      <c r="F196" s="77" t="s">
        <v>495</v>
      </c>
      <c r="G196" s="71">
        <v>101523</v>
      </c>
      <c r="H196" s="59" t="s">
        <v>89</v>
      </c>
      <c r="I196" s="71" t="s">
        <v>69</v>
      </c>
      <c r="J196" s="59">
        <v>0.89710000000000001</v>
      </c>
      <c r="K196" s="79">
        <v>700</v>
      </c>
      <c r="L196" s="92"/>
    </row>
    <row r="197" spans="2:13" x14ac:dyDescent="0.25">
      <c r="B197" s="71" t="s">
        <v>510</v>
      </c>
      <c r="C197" s="71">
        <v>2</v>
      </c>
      <c r="D197" s="76">
        <v>46079</v>
      </c>
      <c r="E197" s="55" t="s">
        <v>8</v>
      </c>
      <c r="F197" s="77" t="s">
        <v>495</v>
      </c>
      <c r="G197" s="71">
        <v>200058</v>
      </c>
      <c r="H197" s="59" t="s">
        <v>86</v>
      </c>
      <c r="I197" s="71" t="s">
        <v>87</v>
      </c>
      <c r="J197" s="59">
        <v>0.1615</v>
      </c>
      <c r="K197" s="79">
        <v>5000</v>
      </c>
      <c r="L197" s="92"/>
    </row>
    <row r="198" spans="2:13" x14ac:dyDescent="0.25">
      <c r="B198" s="71" t="s">
        <v>510</v>
      </c>
      <c r="C198" s="71">
        <v>4</v>
      </c>
      <c r="D198" s="76">
        <v>46079</v>
      </c>
      <c r="E198" s="55" t="s">
        <v>8</v>
      </c>
      <c r="F198" s="77" t="s">
        <v>495</v>
      </c>
      <c r="G198" s="71">
        <v>800026</v>
      </c>
      <c r="H198" s="59" t="s">
        <v>110</v>
      </c>
      <c r="I198" s="71" t="s">
        <v>111</v>
      </c>
      <c r="J198" s="59">
        <v>0.3</v>
      </c>
      <c r="K198" s="79">
        <v>1000</v>
      </c>
      <c r="L198" s="92"/>
    </row>
    <row r="199" spans="2:13" x14ac:dyDescent="0.25">
      <c r="B199" s="71" t="s">
        <v>612</v>
      </c>
      <c r="C199" s="71">
        <v>5</v>
      </c>
      <c r="D199" s="76">
        <v>46079</v>
      </c>
      <c r="E199" s="71" t="s">
        <v>8</v>
      </c>
      <c r="F199" s="77" t="s">
        <v>540</v>
      </c>
      <c r="G199" s="71">
        <v>400896</v>
      </c>
      <c r="H199" s="59" t="s">
        <v>544</v>
      </c>
      <c r="I199" s="71" t="s">
        <v>545</v>
      </c>
      <c r="J199" s="59">
        <v>0.3538</v>
      </c>
      <c r="K199" s="79">
        <v>1000</v>
      </c>
      <c r="L199" s="92"/>
    </row>
    <row r="200" spans="2:13" x14ac:dyDescent="0.25">
      <c r="B200" s="71" t="s">
        <v>612</v>
      </c>
      <c r="C200" s="71">
        <v>6</v>
      </c>
      <c r="D200" s="76">
        <v>46079</v>
      </c>
      <c r="E200" s="71" t="s">
        <v>8</v>
      </c>
      <c r="F200" s="77" t="s">
        <v>540</v>
      </c>
      <c r="G200" s="71">
        <v>400939</v>
      </c>
      <c r="H200" s="59" t="s">
        <v>226</v>
      </c>
      <c r="I200" s="71" t="s">
        <v>193</v>
      </c>
      <c r="J200" s="59">
        <v>0.79649999999999999</v>
      </c>
      <c r="K200" s="79">
        <v>900</v>
      </c>
      <c r="L200" s="72"/>
    </row>
    <row r="201" spans="2:13" ht="15.75" thickBot="1" x14ac:dyDescent="0.3">
      <c r="B201" s="71" t="s">
        <v>639</v>
      </c>
      <c r="C201" s="71">
        <v>1</v>
      </c>
      <c r="D201" s="76">
        <v>46079</v>
      </c>
      <c r="E201" s="71" t="s">
        <v>8</v>
      </c>
      <c r="F201" s="77" t="s">
        <v>598</v>
      </c>
      <c r="G201" s="71">
        <v>200057</v>
      </c>
      <c r="H201" s="59" t="s">
        <v>266</v>
      </c>
      <c r="I201" s="71" t="s">
        <v>267</v>
      </c>
      <c r="J201" s="59">
        <v>0.28179999999999999</v>
      </c>
      <c r="K201" s="79">
        <v>1000</v>
      </c>
      <c r="L201" s="72"/>
    </row>
    <row r="202" spans="2:13" ht="16.5" thickBot="1" x14ac:dyDescent="0.3">
      <c r="B202" s="71" t="s">
        <v>613</v>
      </c>
      <c r="C202" s="71">
        <v>2</v>
      </c>
      <c r="D202" s="76">
        <v>46079</v>
      </c>
      <c r="E202" s="71" t="s">
        <v>8</v>
      </c>
      <c r="F202" s="77" t="s">
        <v>560</v>
      </c>
      <c r="G202" s="71">
        <v>101523</v>
      </c>
      <c r="H202" s="59" t="s">
        <v>89</v>
      </c>
      <c r="I202" s="71" t="s">
        <v>69</v>
      </c>
      <c r="J202" s="59">
        <v>0.89710000000000001</v>
      </c>
      <c r="K202" s="79">
        <f>874-228</f>
        <v>646</v>
      </c>
      <c r="L202" s="93" t="s">
        <v>953</v>
      </c>
      <c r="M202" s="51">
        <v>10146.59</v>
      </c>
    </row>
    <row r="203" spans="2:13" x14ac:dyDescent="0.25">
      <c r="B203" s="108" t="s">
        <v>641</v>
      </c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</row>
    <row r="204" spans="2:13" x14ac:dyDescent="0.25">
      <c r="B204" s="71" t="s">
        <v>485</v>
      </c>
      <c r="C204" s="71">
        <v>1</v>
      </c>
      <c r="D204" s="76">
        <v>46065</v>
      </c>
      <c r="E204" s="71" t="s">
        <v>8</v>
      </c>
      <c r="F204" s="77" t="s">
        <v>464</v>
      </c>
      <c r="G204" s="71">
        <v>400761</v>
      </c>
      <c r="H204" s="59" t="s">
        <v>29</v>
      </c>
      <c r="I204" s="71" t="s">
        <v>15</v>
      </c>
      <c r="J204" s="59">
        <v>0.1462</v>
      </c>
      <c r="K204" s="79">
        <f>20000-8000-9000-2000</f>
        <v>1000</v>
      </c>
      <c r="L204" s="93" t="s">
        <v>1059</v>
      </c>
    </row>
    <row r="205" spans="2:13" x14ac:dyDescent="0.25">
      <c r="B205" s="71" t="s">
        <v>519</v>
      </c>
      <c r="C205" s="71">
        <v>3</v>
      </c>
      <c r="D205" s="76">
        <v>46079</v>
      </c>
      <c r="E205" s="71" t="s">
        <v>8</v>
      </c>
      <c r="F205" s="77" t="s">
        <v>487</v>
      </c>
      <c r="G205" s="71">
        <v>200058</v>
      </c>
      <c r="H205" s="59" t="s">
        <v>86</v>
      </c>
      <c r="I205" s="71" t="s">
        <v>87</v>
      </c>
      <c r="J205" s="59">
        <v>0.1615</v>
      </c>
      <c r="K205" s="79">
        <v>3300</v>
      </c>
      <c r="L205" s="76"/>
    </row>
    <row r="206" spans="2:13" x14ac:dyDescent="0.25">
      <c r="B206" s="71" t="s">
        <v>519</v>
      </c>
      <c r="C206" s="71">
        <v>4</v>
      </c>
      <c r="D206" s="76">
        <v>46079</v>
      </c>
      <c r="E206" s="71" t="s">
        <v>8</v>
      </c>
      <c r="F206" s="77" t="s">
        <v>487</v>
      </c>
      <c r="G206" s="71">
        <v>400114</v>
      </c>
      <c r="H206" s="59" t="s">
        <v>491</v>
      </c>
      <c r="I206" s="71" t="s">
        <v>490</v>
      </c>
      <c r="J206" s="59">
        <v>0.218</v>
      </c>
      <c r="K206" s="79">
        <v>2000</v>
      </c>
      <c r="L206" s="76"/>
    </row>
    <row r="207" spans="2:13" x14ac:dyDescent="0.25">
      <c r="B207" s="71" t="s">
        <v>612</v>
      </c>
      <c r="C207" s="71">
        <v>6</v>
      </c>
      <c r="D207" s="76">
        <v>46079</v>
      </c>
      <c r="E207" s="71" t="s">
        <v>8</v>
      </c>
      <c r="F207" s="77" t="s">
        <v>540</v>
      </c>
      <c r="G207" s="71">
        <v>400939</v>
      </c>
      <c r="H207" s="59" t="s">
        <v>226</v>
      </c>
      <c r="I207" s="71" t="s">
        <v>193</v>
      </c>
      <c r="J207" s="59">
        <v>0.79649999999999999</v>
      </c>
      <c r="K207" s="79">
        <f>900-500</f>
        <v>400</v>
      </c>
      <c r="L207" s="93" t="s">
        <v>997</v>
      </c>
    </row>
    <row r="208" spans="2:13" x14ac:dyDescent="0.25">
      <c r="B208" s="71" t="s">
        <v>613</v>
      </c>
      <c r="C208" s="71">
        <v>4</v>
      </c>
      <c r="D208" s="76">
        <v>46079</v>
      </c>
      <c r="E208" s="71" t="s">
        <v>8</v>
      </c>
      <c r="F208" s="77" t="s">
        <v>560</v>
      </c>
      <c r="G208" s="71">
        <v>901309</v>
      </c>
      <c r="H208" s="59" t="s">
        <v>488</v>
      </c>
      <c r="I208" s="71" t="s">
        <v>489</v>
      </c>
      <c r="J208" s="59">
        <v>0.28189999999999998</v>
      </c>
      <c r="K208" s="79">
        <v>2500</v>
      </c>
      <c r="L208" s="76"/>
    </row>
    <row r="209" spans="2:13" x14ac:dyDescent="0.25">
      <c r="B209" s="71" t="s">
        <v>617</v>
      </c>
      <c r="C209" s="71">
        <v>1</v>
      </c>
      <c r="D209" s="76">
        <v>46079</v>
      </c>
      <c r="E209" s="71" t="s">
        <v>8</v>
      </c>
      <c r="F209" s="77" t="s">
        <v>604</v>
      </c>
      <c r="G209" s="71">
        <v>100080</v>
      </c>
      <c r="H209" s="59" t="s">
        <v>608</v>
      </c>
      <c r="I209" s="71" t="s">
        <v>605</v>
      </c>
      <c r="J209" s="59">
        <v>0.36</v>
      </c>
      <c r="K209" s="79">
        <v>500</v>
      </c>
      <c r="L209" s="76"/>
    </row>
    <row r="210" spans="2:13" x14ac:dyDescent="0.25">
      <c r="B210" s="71" t="s">
        <v>642</v>
      </c>
      <c r="C210" s="71">
        <v>7</v>
      </c>
      <c r="D210" s="76">
        <v>46093</v>
      </c>
      <c r="E210" s="71" t="s">
        <v>8</v>
      </c>
      <c r="F210" s="77" t="s">
        <v>559</v>
      </c>
      <c r="G210" s="71">
        <v>700027</v>
      </c>
      <c r="H210" s="59" t="s">
        <v>625</v>
      </c>
      <c r="I210" s="71" t="s">
        <v>626</v>
      </c>
      <c r="J210" s="59">
        <v>0.2041</v>
      </c>
      <c r="K210" s="79">
        <v>9000</v>
      </c>
      <c r="L210" s="93" t="s">
        <v>846</v>
      </c>
    </row>
    <row r="211" spans="2:13" x14ac:dyDescent="0.25">
      <c r="B211" s="71" t="s">
        <v>650</v>
      </c>
      <c r="C211" s="71">
        <v>2</v>
      </c>
      <c r="D211" s="76">
        <v>46093</v>
      </c>
      <c r="E211" s="71" t="s">
        <v>8</v>
      </c>
      <c r="F211" s="77" t="s">
        <v>630</v>
      </c>
      <c r="G211" s="71">
        <v>101523</v>
      </c>
      <c r="H211" s="71" t="s">
        <v>89</v>
      </c>
      <c r="I211" s="59" t="s">
        <v>69</v>
      </c>
      <c r="J211" s="59">
        <v>0.89710000000000001</v>
      </c>
      <c r="K211" s="79">
        <v>583</v>
      </c>
      <c r="L211" s="76"/>
    </row>
    <row r="212" spans="2:13" ht="15.75" thickBot="1" x14ac:dyDescent="0.3">
      <c r="B212" s="71" t="s">
        <v>650</v>
      </c>
      <c r="C212" s="71">
        <v>3</v>
      </c>
      <c r="D212" s="76">
        <v>46093</v>
      </c>
      <c r="E212" s="71" t="s">
        <v>8</v>
      </c>
      <c r="F212" s="77" t="s">
        <v>630</v>
      </c>
      <c r="G212" s="71">
        <v>700017</v>
      </c>
      <c r="H212" s="71" t="s">
        <v>233</v>
      </c>
      <c r="I212" s="59" t="s">
        <v>234</v>
      </c>
      <c r="J212" s="59">
        <v>0.1923</v>
      </c>
      <c r="K212" s="79">
        <v>5000</v>
      </c>
      <c r="L212" s="76"/>
    </row>
    <row r="213" spans="2:13" ht="16.5" thickBot="1" x14ac:dyDescent="0.3">
      <c r="B213" s="71" t="s">
        <v>679</v>
      </c>
      <c r="C213" s="71">
        <v>1</v>
      </c>
      <c r="D213" s="76">
        <v>46093</v>
      </c>
      <c r="E213" s="71" t="s">
        <v>8</v>
      </c>
      <c r="F213" s="77" t="s">
        <v>655</v>
      </c>
      <c r="G213" s="77">
        <v>200673</v>
      </c>
      <c r="H213" s="71" t="s">
        <v>656</v>
      </c>
      <c r="I213" s="59" t="s">
        <v>657</v>
      </c>
      <c r="J213" s="59">
        <v>0.22309999999999999</v>
      </c>
      <c r="K213" s="79">
        <v>6750</v>
      </c>
      <c r="L213" s="93" t="s">
        <v>976</v>
      </c>
      <c r="M213" s="51">
        <v>7230.91</v>
      </c>
    </row>
    <row r="214" spans="2:13" x14ac:dyDescent="0.25">
      <c r="B214" s="108" t="s">
        <v>1064</v>
      </c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</row>
    <row r="215" spans="2:13" x14ac:dyDescent="0.25">
      <c r="B215" s="18" t="s">
        <v>510</v>
      </c>
      <c r="C215" s="18">
        <v>3</v>
      </c>
      <c r="D215" s="27">
        <v>46079</v>
      </c>
      <c r="E215" s="8" t="s">
        <v>8</v>
      </c>
      <c r="F215" s="6" t="s">
        <v>495</v>
      </c>
      <c r="G215" s="8">
        <v>400049</v>
      </c>
      <c r="H215" s="5" t="s">
        <v>44</v>
      </c>
      <c r="I215" s="8" t="s">
        <v>47</v>
      </c>
      <c r="J215" s="5">
        <v>0.2077</v>
      </c>
      <c r="K215" s="16">
        <v>1000</v>
      </c>
      <c r="L215" s="44"/>
      <c r="M215" s="20">
        <f>J215*K215</f>
        <v>207.7</v>
      </c>
    </row>
    <row r="216" spans="2:13" x14ac:dyDescent="0.25">
      <c r="B216" s="18" t="s">
        <v>511</v>
      </c>
      <c r="C216" s="18">
        <v>4</v>
      </c>
      <c r="D216" s="27">
        <v>46079</v>
      </c>
      <c r="E216" s="8" t="s">
        <v>8</v>
      </c>
      <c r="F216" s="6" t="s">
        <v>501</v>
      </c>
      <c r="G216" s="8">
        <v>200050</v>
      </c>
      <c r="H216" s="5" t="s">
        <v>114</v>
      </c>
      <c r="I216" s="8" t="s">
        <v>104</v>
      </c>
      <c r="J216" s="5">
        <v>0.35899999999999999</v>
      </c>
      <c r="K216" s="16">
        <v>2000</v>
      </c>
      <c r="L216" s="19"/>
      <c r="M216" s="20">
        <f t="shared" ref="M216:M235" si="0">J216*K216</f>
        <v>718</v>
      </c>
    </row>
    <row r="217" spans="2:13" x14ac:dyDescent="0.25">
      <c r="B217" s="18" t="s">
        <v>512</v>
      </c>
      <c r="C217" s="18">
        <v>1</v>
      </c>
      <c r="D217" s="27">
        <v>46079</v>
      </c>
      <c r="E217" s="8" t="s">
        <v>8</v>
      </c>
      <c r="F217" s="6" t="s">
        <v>503</v>
      </c>
      <c r="G217" s="8">
        <v>300372</v>
      </c>
      <c r="H217" s="5" t="s">
        <v>62</v>
      </c>
      <c r="I217" s="8" t="s">
        <v>38</v>
      </c>
      <c r="J217" s="5">
        <v>0.32179999999999997</v>
      </c>
      <c r="K217" s="16">
        <v>250</v>
      </c>
      <c r="L217" s="19"/>
      <c r="M217" s="20">
        <f t="shared" si="0"/>
        <v>80.449999999999989</v>
      </c>
    </row>
    <row r="218" spans="2:13" x14ac:dyDescent="0.25">
      <c r="B218" s="18" t="s">
        <v>513</v>
      </c>
      <c r="C218" s="18">
        <v>1</v>
      </c>
      <c r="D218" s="27">
        <v>46079</v>
      </c>
      <c r="E218" s="8" t="s">
        <v>8</v>
      </c>
      <c r="F218" s="6" t="s">
        <v>477</v>
      </c>
      <c r="G218" s="8">
        <v>400001</v>
      </c>
      <c r="H218" s="5" t="s">
        <v>83</v>
      </c>
      <c r="I218" s="8" t="s">
        <v>536</v>
      </c>
      <c r="J218" s="5">
        <v>0.75380000000000003</v>
      </c>
      <c r="K218" s="16">
        <v>1000</v>
      </c>
      <c r="L218" s="10" t="s">
        <v>478</v>
      </c>
      <c r="M218" s="20">
        <f t="shared" si="0"/>
        <v>753.80000000000007</v>
      </c>
    </row>
    <row r="219" spans="2:13" x14ac:dyDescent="0.25">
      <c r="B219" s="18" t="s">
        <v>519</v>
      </c>
      <c r="C219" s="18">
        <v>1</v>
      </c>
      <c r="D219" s="27">
        <v>46079</v>
      </c>
      <c r="E219" s="8" t="s">
        <v>8</v>
      </c>
      <c r="F219" s="6" t="s">
        <v>487</v>
      </c>
      <c r="G219" s="8">
        <v>101531</v>
      </c>
      <c r="H219" s="5" t="s">
        <v>232</v>
      </c>
      <c r="I219" s="8" t="s">
        <v>231</v>
      </c>
      <c r="J219" s="23">
        <v>0.31900000000000001</v>
      </c>
      <c r="K219" s="16">
        <v>1000</v>
      </c>
      <c r="L219" s="10"/>
      <c r="M219" s="20">
        <f t="shared" si="0"/>
        <v>319</v>
      </c>
    </row>
    <row r="220" spans="2:13" x14ac:dyDescent="0.25">
      <c r="B220" s="18" t="s">
        <v>519</v>
      </c>
      <c r="C220" s="18">
        <v>2</v>
      </c>
      <c r="D220" s="27">
        <v>46079</v>
      </c>
      <c r="E220" s="8" t="s">
        <v>8</v>
      </c>
      <c r="F220" s="6" t="s">
        <v>487</v>
      </c>
      <c r="G220" s="8">
        <v>200027</v>
      </c>
      <c r="H220" s="5" t="s">
        <v>58</v>
      </c>
      <c r="I220" s="8" t="s">
        <v>56</v>
      </c>
      <c r="J220" s="5">
        <v>0.19139999999999999</v>
      </c>
      <c r="K220" s="16">
        <v>3000</v>
      </c>
      <c r="L220" s="10"/>
      <c r="M220" s="20">
        <f t="shared" si="0"/>
        <v>574.19999999999993</v>
      </c>
    </row>
    <row r="221" spans="2:13" x14ac:dyDescent="0.25">
      <c r="B221" s="8" t="s">
        <v>519</v>
      </c>
      <c r="C221" s="8">
        <v>3</v>
      </c>
      <c r="D221" s="9">
        <v>46079</v>
      </c>
      <c r="E221" s="8" t="s">
        <v>8</v>
      </c>
      <c r="F221" s="6" t="s">
        <v>487</v>
      </c>
      <c r="G221" s="8">
        <v>200058</v>
      </c>
      <c r="H221" s="23" t="s">
        <v>86</v>
      </c>
      <c r="I221" s="8" t="s">
        <v>87</v>
      </c>
      <c r="J221" s="23">
        <v>0.1615</v>
      </c>
      <c r="K221" s="25">
        <f>5000-3300</f>
        <v>1700</v>
      </c>
      <c r="L221" s="10" t="s">
        <v>1060</v>
      </c>
      <c r="M221" s="20">
        <f t="shared" si="0"/>
        <v>274.55</v>
      </c>
    </row>
    <row r="222" spans="2:13" x14ac:dyDescent="0.25">
      <c r="B222" s="18" t="s">
        <v>519</v>
      </c>
      <c r="C222" s="18">
        <v>5</v>
      </c>
      <c r="D222" s="27">
        <v>46079</v>
      </c>
      <c r="E222" s="8" t="s">
        <v>8</v>
      </c>
      <c r="F222" s="6" t="s">
        <v>487</v>
      </c>
      <c r="G222" s="8">
        <v>400508</v>
      </c>
      <c r="H222" s="5" t="s">
        <v>48</v>
      </c>
      <c r="I222" s="8" t="s">
        <v>79</v>
      </c>
      <c r="J222" s="5">
        <v>0.43080000000000002</v>
      </c>
      <c r="K222" s="16">
        <v>1000</v>
      </c>
      <c r="L222" s="10"/>
      <c r="M222" s="20">
        <f t="shared" si="0"/>
        <v>430.8</v>
      </c>
    </row>
    <row r="223" spans="2:13" x14ac:dyDescent="0.25">
      <c r="B223" s="18" t="s">
        <v>519</v>
      </c>
      <c r="C223" s="18">
        <v>6</v>
      </c>
      <c r="D223" s="27">
        <v>46079</v>
      </c>
      <c r="E223" s="8" t="s">
        <v>8</v>
      </c>
      <c r="F223" s="6" t="s">
        <v>487</v>
      </c>
      <c r="G223" s="8">
        <v>400644</v>
      </c>
      <c r="H223" s="5" t="s">
        <v>50</v>
      </c>
      <c r="I223" s="8" t="s">
        <v>52</v>
      </c>
      <c r="J223" s="5">
        <v>0.19</v>
      </c>
      <c r="K223" s="16">
        <v>1250</v>
      </c>
      <c r="L223" s="10"/>
      <c r="M223" s="20">
        <f t="shared" si="0"/>
        <v>237.5</v>
      </c>
    </row>
    <row r="224" spans="2:13" x14ac:dyDescent="0.25">
      <c r="B224" s="18" t="s">
        <v>520</v>
      </c>
      <c r="C224" s="18">
        <v>1</v>
      </c>
      <c r="D224" s="27">
        <v>46079</v>
      </c>
      <c r="E224" s="8" t="s">
        <v>8</v>
      </c>
      <c r="F224" s="6" t="s">
        <v>506</v>
      </c>
      <c r="G224" s="8">
        <v>101007</v>
      </c>
      <c r="H224" s="5" t="s">
        <v>517</v>
      </c>
      <c r="I224" s="8" t="s">
        <v>518</v>
      </c>
      <c r="J224" s="5">
        <v>0.43869999999999998</v>
      </c>
      <c r="K224" s="16">
        <v>1000</v>
      </c>
      <c r="L224" s="19"/>
      <c r="M224" s="20">
        <f t="shared" si="0"/>
        <v>438.7</v>
      </c>
    </row>
    <row r="225" spans="2:13" x14ac:dyDescent="0.25">
      <c r="B225" s="18" t="s">
        <v>522</v>
      </c>
      <c r="C225" s="18">
        <v>1</v>
      </c>
      <c r="D225" s="27">
        <v>46079</v>
      </c>
      <c r="E225" s="8" t="s">
        <v>8</v>
      </c>
      <c r="F225" s="6" t="s">
        <v>507</v>
      </c>
      <c r="G225" s="8">
        <v>401340</v>
      </c>
      <c r="H225" s="5" t="s">
        <v>246</v>
      </c>
      <c r="I225" s="8" t="s">
        <v>182</v>
      </c>
      <c r="J225" s="5">
        <v>0.32219999999999999</v>
      </c>
      <c r="K225" s="16">
        <v>1000</v>
      </c>
      <c r="L225" s="19"/>
      <c r="M225" s="20">
        <f t="shared" si="0"/>
        <v>322.2</v>
      </c>
    </row>
    <row r="226" spans="2:13" x14ac:dyDescent="0.25">
      <c r="B226" s="18" t="s">
        <v>547</v>
      </c>
      <c r="C226" s="18">
        <v>1</v>
      </c>
      <c r="D226" s="27">
        <v>46079</v>
      </c>
      <c r="E226" s="8" t="s">
        <v>8</v>
      </c>
      <c r="F226" s="6" t="s">
        <v>539</v>
      </c>
      <c r="G226" s="8">
        <v>700043</v>
      </c>
      <c r="H226" s="5" t="s">
        <v>22</v>
      </c>
      <c r="I226" s="8" t="s">
        <v>21</v>
      </c>
      <c r="J226" s="5">
        <v>0.2</v>
      </c>
      <c r="K226" s="25">
        <v>3164</v>
      </c>
      <c r="L226" s="19"/>
      <c r="M226" s="20">
        <f t="shared" si="0"/>
        <v>632.80000000000007</v>
      </c>
    </row>
    <row r="227" spans="2:13" x14ac:dyDescent="0.25">
      <c r="B227" s="18" t="s">
        <v>548</v>
      </c>
      <c r="C227" s="18">
        <v>1</v>
      </c>
      <c r="D227" s="27">
        <v>46079</v>
      </c>
      <c r="E227" s="8" t="s">
        <v>8</v>
      </c>
      <c r="F227" s="6" t="s">
        <v>496</v>
      </c>
      <c r="G227" s="8">
        <v>200152</v>
      </c>
      <c r="H227" s="5" t="s">
        <v>499</v>
      </c>
      <c r="I227" s="8" t="s">
        <v>500</v>
      </c>
      <c r="J227" s="5">
        <v>0.2</v>
      </c>
      <c r="K227" s="16">
        <v>5000</v>
      </c>
      <c r="L227" s="10" t="s">
        <v>497</v>
      </c>
      <c r="M227" s="20">
        <f t="shared" si="0"/>
        <v>1000</v>
      </c>
    </row>
    <row r="228" spans="2:13" x14ac:dyDescent="0.25">
      <c r="B228" s="18" t="s">
        <v>567</v>
      </c>
      <c r="C228" s="18">
        <v>1</v>
      </c>
      <c r="D228" s="27">
        <v>46079</v>
      </c>
      <c r="E228" s="8" t="s">
        <v>8</v>
      </c>
      <c r="F228" s="6" t="s">
        <v>553</v>
      </c>
      <c r="G228" s="8">
        <v>200221</v>
      </c>
      <c r="H228" s="5" t="s">
        <v>562</v>
      </c>
      <c r="I228" s="8" t="s">
        <v>563</v>
      </c>
      <c r="J228" s="5">
        <v>0.20749999999999999</v>
      </c>
      <c r="K228" s="16">
        <v>900</v>
      </c>
      <c r="L228" s="19"/>
      <c r="M228" s="20">
        <f t="shared" si="0"/>
        <v>186.75</v>
      </c>
    </row>
    <row r="229" spans="2:13" x14ac:dyDescent="0.25">
      <c r="B229" s="18" t="s">
        <v>568</v>
      </c>
      <c r="C229" s="18">
        <v>1</v>
      </c>
      <c r="D229" s="27">
        <v>46079</v>
      </c>
      <c r="E229" s="8" t="s">
        <v>8</v>
      </c>
      <c r="F229" s="6" t="s">
        <v>557</v>
      </c>
      <c r="G229" s="8">
        <v>100307</v>
      </c>
      <c r="H229" s="5" t="s">
        <v>18</v>
      </c>
      <c r="I229" s="8" t="s">
        <v>374</v>
      </c>
      <c r="J229" s="5">
        <v>0.26019999999999999</v>
      </c>
      <c r="K229" s="16">
        <v>2016</v>
      </c>
      <c r="L229" s="10" t="s">
        <v>14</v>
      </c>
      <c r="M229" s="20">
        <f t="shared" si="0"/>
        <v>524.56319999999994</v>
      </c>
    </row>
    <row r="230" spans="2:13" x14ac:dyDescent="0.25">
      <c r="B230" s="18" t="s">
        <v>571</v>
      </c>
      <c r="C230" s="18">
        <v>1</v>
      </c>
      <c r="D230" s="27">
        <v>46079</v>
      </c>
      <c r="E230" s="8" t="s">
        <v>8</v>
      </c>
      <c r="F230" s="6" t="s">
        <v>558</v>
      </c>
      <c r="G230" s="8">
        <v>100348</v>
      </c>
      <c r="H230" s="5" t="s">
        <v>81</v>
      </c>
      <c r="I230" s="8" t="s">
        <v>347</v>
      </c>
      <c r="J230" s="5">
        <v>0.41539999999999999</v>
      </c>
      <c r="K230" s="16">
        <v>2000</v>
      </c>
      <c r="L230" s="10"/>
      <c r="M230" s="20">
        <f t="shared" si="0"/>
        <v>830.8</v>
      </c>
    </row>
    <row r="231" spans="2:13" x14ac:dyDescent="0.25">
      <c r="B231" s="18" t="s">
        <v>577</v>
      </c>
      <c r="C231" s="18">
        <v>1</v>
      </c>
      <c r="D231" s="27">
        <v>46079</v>
      </c>
      <c r="E231" s="8" t="s">
        <v>8</v>
      </c>
      <c r="F231" s="6" t="s">
        <v>554</v>
      </c>
      <c r="G231" s="8">
        <v>300040</v>
      </c>
      <c r="H231" s="5" t="s">
        <v>555</v>
      </c>
      <c r="I231" s="8" t="s">
        <v>556</v>
      </c>
      <c r="J231" s="5">
        <v>0.29699999999999999</v>
      </c>
      <c r="K231" s="16">
        <v>1200</v>
      </c>
      <c r="L231" s="10"/>
      <c r="M231" s="20">
        <f t="shared" si="0"/>
        <v>356.4</v>
      </c>
    </row>
    <row r="232" spans="2:13" x14ac:dyDescent="0.25">
      <c r="B232" s="18" t="s">
        <v>578</v>
      </c>
      <c r="C232" s="18">
        <v>1</v>
      </c>
      <c r="D232" s="27">
        <v>46079</v>
      </c>
      <c r="E232" s="8" t="s">
        <v>8</v>
      </c>
      <c r="F232" s="6" t="s">
        <v>572</v>
      </c>
      <c r="G232" s="8">
        <v>200058</v>
      </c>
      <c r="H232" s="8" t="s">
        <v>86</v>
      </c>
      <c r="I232" s="8" t="s">
        <v>87</v>
      </c>
      <c r="J232" s="5">
        <v>0.1615</v>
      </c>
      <c r="K232" s="16">
        <v>5000</v>
      </c>
      <c r="L232" s="10"/>
      <c r="M232" s="20">
        <f t="shared" si="0"/>
        <v>807.5</v>
      </c>
    </row>
    <row r="233" spans="2:13" x14ac:dyDescent="0.25">
      <c r="B233" s="18" t="s">
        <v>609</v>
      </c>
      <c r="C233" s="18">
        <v>1</v>
      </c>
      <c r="D233" s="27">
        <v>46079</v>
      </c>
      <c r="E233" s="8" t="s">
        <v>8</v>
      </c>
      <c r="F233" s="6" t="s">
        <v>570</v>
      </c>
      <c r="G233" s="8">
        <v>100099</v>
      </c>
      <c r="H233" s="5" t="s">
        <v>573</v>
      </c>
      <c r="I233" s="8" t="s">
        <v>574</v>
      </c>
      <c r="J233" s="5">
        <v>0.52390000000000003</v>
      </c>
      <c r="K233" s="16">
        <v>2000</v>
      </c>
      <c r="L233" s="10"/>
      <c r="M233" s="20">
        <f t="shared" si="0"/>
        <v>1047.8</v>
      </c>
    </row>
    <row r="234" spans="2:13" x14ac:dyDescent="0.25">
      <c r="B234" s="18" t="s">
        <v>610</v>
      </c>
      <c r="C234" s="18">
        <v>11</v>
      </c>
      <c r="D234" s="27">
        <v>46079</v>
      </c>
      <c r="E234" s="8" t="s">
        <v>8</v>
      </c>
      <c r="F234" s="6" t="s">
        <v>564</v>
      </c>
      <c r="G234" s="8">
        <v>200950</v>
      </c>
      <c r="H234" s="5" t="s">
        <v>565</v>
      </c>
      <c r="I234" s="8" t="s">
        <v>566</v>
      </c>
      <c r="J234" s="5">
        <v>0.7077</v>
      </c>
      <c r="K234" s="16">
        <v>200</v>
      </c>
      <c r="L234" s="10"/>
      <c r="M234" s="20">
        <f t="shared" si="0"/>
        <v>141.54</v>
      </c>
    </row>
    <row r="235" spans="2:13" x14ac:dyDescent="0.25">
      <c r="B235" s="18" t="s">
        <v>612</v>
      </c>
      <c r="C235" s="18">
        <v>1</v>
      </c>
      <c r="D235" s="27">
        <v>46079</v>
      </c>
      <c r="E235" s="8" t="s">
        <v>8</v>
      </c>
      <c r="F235" s="6" t="s">
        <v>540</v>
      </c>
      <c r="G235" s="8">
        <v>200010</v>
      </c>
      <c r="H235" s="5" t="s">
        <v>24</v>
      </c>
      <c r="I235" s="8" t="s">
        <v>25</v>
      </c>
      <c r="J235" s="5">
        <v>0.38200000000000001</v>
      </c>
      <c r="K235" s="16">
        <v>1500</v>
      </c>
      <c r="L235" s="19"/>
      <c r="M235" s="20">
        <f t="shared" si="0"/>
        <v>573</v>
      </c>
    </row>
    <row r="236" spans="2:13" x14ac:dyDescent="0.25">
      <c r="B236" s="18" t="s">
        <v>612</v>
      </c>
      <c r="C236" s="18">
        <v>2</v>
      </c>
      <c r="D236" s="27">
        <v>46079</v>
      </c>
      <c r="E236" s="8" t="s">
        <v>8</v>
      </c>
      <c r="F236" s="6" t="s">
        <v>540</v>
      </c>
      <c r="G236" s="8">
        <v>200205</v>
      </c>
      <c r="H236" s="5" t="s">
        <v>549</v>
      </c>
      <c r="I236" s="8" t="s">
        <v>550</v>
      </c>
      <c r="J236" s="5">
        <v>0.32040000000000002</v>
      </c>
      <c r="K236" s="16">
        <v>1000</v>
      </c>
      <c r="L236" s="19"/>
      <c r="M236" s="20">
        <f t="shared" ref="M236:M250" si="1">J236*K236</f>
        <v>320.40000000000003</v>
      </c>
    </row>
    <row r="237" spans="2:13" x14ac:dyDescent="0.25">
      <c r="B237" s="18" t="s">
        <v>612</v>
      </c>
      <c r="C237" s="18">
        <v>3</v>
      </c>
      <c r="D237" s="27">
        <v>46079</v>
      </c>
      <c r="E237" s="8" t="s">
        <v>8</v>
      </c>
      <c r="F237" s="6" t="s">
        <v>540</v>
      </c>
      <c r="G237" s="8">
        <v>400081</v>
      </c>
      <c r="H237" s="5" t="s">
        <v>551</v>
      </c>
      <c r="I237" s="8" t="s">
        <v>552</v>
      </c>
      <c r="J237" s="5">
        <v>0.23</v>
      </c>
      <c r="K237" s="16">
        <v>1500</v>
      </c>
      <c r="L237" s="10" t="s">
        <v>541</v>
      </c>
      <c r="M237" s="20">
        <f t="shared" si="1"/>
        <v>345</v>
      </c>
    </row>
    <row r="238" spans="2:13" x14ac:dyDescent="0.25">
      <c r="B238" s="18" t="s">
        <v>612</v>
      </c>
      <c r="C238" s="18">
        <v>4</v>
      </c>
      <c r="D238" s="27">
        <v>46079</v>
      </c>
      <c r="E238" s="8" t="s">
        <v>8</v>
      </c>
      <c r="F238" s="6" t="s">
        <v>540</v>
      </c>
      <c r="G238" s="8">
        <v>400128</v>
      </c>
      <c r="H238" s="5" t="s">
        <v>542</v>
      </c>
      <c r="I238" s="8" t="s">
        <v>543</v>
      </c>
      <c r="J238" s="5">
        <v>0.21390000000000001</v>
      </c>
      <c r="K238" s="16">
        <v>1200</v>
      </c>
      <c r="L238" s="19"/>
      <c r="M238" s="20">
        <f t="shared" si="1"/>
        <v>256.68</v>
      </c>
    </row>
    <row r="239" spans="2:13" x14ac:dyDescent="0.25">
      <c r="B239" s="18" t="s">
        <v>613</v>
      </c>
      <c r="C239" s="18">
        <v>1</v>
      </c>
      <c r="D239" s="27">
        <v>46079</v>
      </c>
      <c r="E239" s="8" t="s">
        <v>8</v>
      </c>
      <c r="F239" s="6" t="s">
        <v>560</v>
      </c>
      <c r="G239" s="8">
        <v>101467</v>
      </c>
      <c r="H239" s="5" t="s">
        <v>80</v>
      </c>
      <c r="I239" s="8" t="s">
        <v>28</v>
      </c>
      <c r="J239" s="5">
        <v>0.40699999999999997</v>
      </c>
      <c r="K239" s="16">
        <v>483</v>
      </c>
      <c r="L239" s="19"/>
      <c r="M239" s="20">
        <f t="shared" si="1"/>
        <v>196.58099999999999</v>
      </c>
    </row>
    <row r="240" spans="2:13" x14ac:dyDescent="0.25">
      <c r="B240" s="18" t="s">
        <v>613</v>
      </c>
      <c r="C240" s="18">
        <v>3</v>
      </c>
      <c r="D240" s="27">
        <v>46079</v>
      </c>
      <c r="E240" s="8" t="s">
        <v>8</v>
      </c>
      <c r="F240" s="6" t="s">
        <v>560</v>
      </c>
      <c r="G240" s="8">
        <v>300115</v>
      </c>
      <c r="H240" s="5" t="s">
        <v>607</v>
      </c>
      <c r="I240" s="8" t="s">
        <v>561</v>
      </c>
      <c r="J240" s="5">
        <v>1.0794999999999999</v>
      </c>
      <c r="K240" s="16">
        <v>100</v>
      </c>
      <c r="L240" s="19"/>
      <c r="M240" s="20">
        <f t="shared" si="1"/>
        <v>107.94999999999999</v>
      </c>
    </row>
    <row r="241" spans="2:13" x14ac:dyDescent="0.25">
      <c r="B241" s="18" t="s">
        <v>613</v>
      </c>
      <c r="C241" s="18">
        <v>4</v>
      </c>
      <c r="D241" s="27">
        <v>46079</v>
      </c>
      <c r="E241" s="18" t="s">
        <v>8</v>
      </c>
      <c r="F241" s="28" t="s">
        <v>560</v>
      </c>
      <c r="G241" s="18">
        <v>901309</v>
      </c>
      <c r="H241" s="5" t="s">
        <v>488</v>
      </c>
      <c r="I241" s="18" t="s">
        <v>489</v>
      </c>
      <c r="J241" s="5">
        <v>0.28189999999999998</v>
      </c>
      <c r="K241" s="25">
        <f>20000-2500</f>
        <v>17500</v>
      </c>
      <c r="L241" s="10" t="s">
        <v>1066</v>
      </c>
      <c r="M241" s="20">
        <f t="shared" si="1"/>
        <v>4933.25</v>
      </c>
    </row>
    <row r="242" spans="2:13" x14ac:dyDescent="0.25">
      <c r="B242" s="18" t="s">
        <v>615</v>
      </c>
      <c r="C242" s="18">
        <v>1</v>
      </c>
      <c r="D242" s="27">
        <v>46079</v>
      </c>
      <c r="E242" s="8" t="s">
        <v>8</v>
      </c>
      <c r="F242" s="6" t="s">
        <v>579</v>
      </c>
      <c r="G242" s="8">
        <v>400441</v>
      </c>
      <c r="H242" s="5" t="s">
        <v>580</v>
      </c>
      <c r="I242" s="8" t="s">
        <v>581</v>
      </c>
      <c r="J242" s="5">
        <v>0.215</v>
      </c>
      <c r="K242" s="16">
        <v>1000</v>
      </c>
      <c r="L242" s="10"/>
      <c r="M242" s="20">
        <f t="shared" si="1"/>
        <v>215</v>
      </c>
    </row>
    <row r="243" spans="2:13" x14ac:dyDescent="0.25">
      <c r="B243" s="18" t="s">
        <v>616</v>
      </c>
      <c r="C243" s="18">
        <v>1</v>
      </c>
      <c r="D243" s="27">
        <v>46079</v>
      </c>
      <c r="E243" s="18" t="s">
        <v>8</v>
      </c>
      <c r="F243" s="28" t="s">
        <v>593</v>
      </c>
      <c r="G243" s="18">
        <v>401685</v>
      </c>
      <c r="H243" s="5" t="s">
        <v>596</v>
      </c>
      <c r="I243" s="18" t="s">
        <v>594</v>
      </c>
      <c r="J243" s="5">
        <v>0.2069</v>
      </c>
      <c r="K243" s="30">
        <v>1000</v>
      </c>
      <c r="L243" s="10"/>
      <c r="M243" s="20">
        <f t="shared" si="1"/>
        <v>206.9</v>
      </c>
    </row>
    <row r="244" spans="2:13" x14ac:dyDescent="0.25">
      <c r="B244" s="18" t="s">
        <v>618</v>
      </c>
      <c r="C244" s="18">
        <v>1</v>
      </c>
      <c r="D244" s="27">
        <v>46079</v>
      </c>
      <c r="E244" s="8" t="s">
        <v>8</v>
      </c>
      <c r="F244" s="6" t="s">
        <v>600</v>
      </c>
      <c r="G244" s="8">
        <v>100435</v>
      </c>
      <c r="H244" s="5" t="s">
        <v>606</v>
      </c>
      <c r="I244" s="8" t="s">
        <v>601</v>
      </c>
      <c r="J244" s="5">
        <v>0.3175</v>
      </c>
      <c r="K244" s="16">
        <v>400</v>
      </c>
      <c r="L244" s="10"/>
      <c r="M244" s="20">
        <f t="shared" si="1"/>
        <v>127</v>
      </c>
    </row>
    <row r="245" spans="2:13" x14ac:dyDescent="0.25">
      <c r="B245" s="18" t="s">
        <v>627</v>
      </c>
      <c r="C245" s="18">
        <v>1</v>
      </c>
      <c r="D245" s="27">
        <v>46079</v>
      </c>
      <c r="E245" s="8" t="s">
        <v>8</v>
      </c>
      <c r="F245" s="6" t="s">
        <v>592</v>
      </c>
      <c r="G245" s="8">
        <v>100710</v>
      </c>
      <c r="H245" s="5" t="s">
        <v>595</v>
      </c>
      <c r="I245" s="8" t="s">
        <v>611</v>
      </c>
      <c r="J245" s="5">
        <v>0.28470000000000001</v>
      </c>
      <c r="K245" s="16">
        <v>2400</v>
      </c>
      <c r="L245" s="10"/>
      <c r="M245" s="20">
        <f t="shared" si="1"/>
        <v>683.28</v>
      </c>
    </row>
    <row r="246" spans="2:13" x14ac:dyDescent="0.25">
      <c r="B246" s="18" t="s">
        <v>635</v>
      </c>
      <c r="C246" s="18">
        <v>1</v>
      </c>
      <c r="D246" s="27">
        <v>46079</v>
      </c>
      <c r="E246" s="8" t="s">
        <v>8</v>
      </c>
      <c r="F246" s="6" t="s">
        <v>599</v>
      </c>
      <c r="G246" s="8">
        <v>200513</v>
      </c>
      <c r="H246" s="5" t="s">
        <v>622</v>
      </c>
      <c r="I246" s="8" t="s">
        <v>624</v>
      </c>
      <c r="J246" s="5">
        <v>0.27789999999999998</v>
      </c>
      <c r="K246" s="16">
        <v>1000</v>
      </c>
      <c r="L246" s="10" t="s">
        <v>623</v>
      </c>
      <c r="M246" s="20">
        <f t="shared" si="1"/>
        <v>277.89999999999998</v>
      </c>
    </row>
    <row r="247" spans="2:13" x14ac:dyDescent="0.25">
      <c r="B247" s="18" t="s">
        <v>640</v>
      </c>
      <c r="C247" s="18">
        <v>2</v>
      </c>
      <c r="D247" s="27">
        <v>46079</v>
      </c>
      <c r="E247" s="8" t="s">
        <v>8</v>
      </c>
      <c r="F247" s="6" t="s">
        <v>597</v>
      </c>
      <c r="G247" s="8">
        <v>500003</v>
      </c>
      <c r="H247" s="5" t="s">
        <v>602</v>
      </c>
      <c r="I247" s="8" t="s">
        <v>603</v>
      </c>
      <c r="J247" s="5">
        <v>0.27810000000000001</v>
      </c>
      <c r="K247" s="16">
        <v>1200</v>
      </c>
      <c r="L247" s="10"/>
      <c r="M247" s="20">
        <f t="shared" si="1"/>
        <v>333.72</v>
      </c>
    </row>
    <row r="248" spans="2:13" x14ac:dyDescent="0.25">
      <c r="B248" s="18" t="s">
        <v>674</v>
      </c>
      <c r="C248" s="18">
        <v>1</v>
      </c>
      <c r="D248" s="27">
        <v>46079</v>
      </c>
      <c r="E248" s="8" t="s">
        <v>8</v>
      </c>
      <c r="F248" s="6" t="s">
        <v>653</v>
      </c>
      <c r="G248" s="6">
        <v>200016</v>
      </c>
      <c r="H248" s="8" t="s">
        <v>60</v>
      </c>
      <c r="I248" s="5" t="s">
        <v>654</v>
      </c>
      <c r="J248" s="5">
        <v>0.2094</v>
      </c>
      <c r="K248" s="16">
        <v>3000</v>
      </c>
      <c r="L248" s="10"/>
      <c r="M248" s="20">
        <f t="shared" si="1"/>
        <v>628.20000000000005</v>
      </c>
    </row>
    <row r="249" spans="2:13" x14ac:dyDescent="0.25">
      <c r="B249" s="18" t="s">
        <v>675</v>
      </c>
      <c r="C249" s="18">
        <v>1</v>
      </c>
      <c r="D249" s="27">
        <v>46079</v>
      </c>
      <c r="E249" s="8" t="s">
        <v>8</v>
      </c>
      <c r="F249" s="6" t="s">
        <v>652</v>
      </c>
      <c r="G249" s="8">
        <v>400274</v>
      </c>
      <c r="H249" s="8" t="s">
        <v>620</v>
      </c>
      <c r="I249" s="5" t="s">
        <v>621</v>
      </c>
      <c r="J249" s="5">
        <v>0.15379999999999999</v>
      </c>
      <c r="K249" s="16">
        <v>1000</v>
      </c>
      <c r="L249" s="10"/>
      <c r="M249" s="20">
        <f t="shared" si="1"/>
        <v>153.79999999999998</v>
      </c>
    </row>
    <row r="250" spans="2:13" x14ac:dyDescent="0.25">
      <c r="B250" s="18" t="s">
        <v>676</v>
      </c>
      <c r="C250" s="18">
        <v>1</v>
      </c>
      <c r="D250" s="27">
        <v>46079</v>
      </c>
      <c r="E250" s="8" t="s">
        <v>8</v>
      </c>
      <c r="F250" s="6" t="s">
        <v>644</v>
      </c>
      <c r="G250" s="8">
        <v>100033</v>
      </c>
      <c r="H250" s="8" t="s">
        <v>645</v>
      </c>
      <c r="I250" s="5" t="s">
        <v>646</v>
      </c>
      <c r="J250" s="5">
        <v>0.17369999999999999</v>
      </c>
      <c r="K250" s="16">
        <v>2000</v>
      </c>
      <c r="L250" s="10"/>
      <c r="M250" s="20">
        <f t="shared" si="1"/>
        <v>347.4</v>
      </c>
    </row>
    <row r="251" spans="2:13" x14ac:dyDescent="0.25">
      <c r="B251" s="49" t="s">
        <v>642</v>
      </c>
      <c r="C251" s="49">
        <v>7</v>
      </c>
      <c r="D251" s="44">
        <v>46093</v>
      </c>
      <c r="E251" s="49" t="s">
        <v>8</v>
      </c>
      <c r="F251" s="106" t="s">
        <v>559</v>
      </c>
      <c r="G251" s="49">
        <v>700027</v>
      </c>
      <c r="H251" s="47" t="s">
        <v>625</v>
      </c>
      <c r="I251" s="49" t="s">
        <v>626</v>
      </c>
      <c r="J251" s="47">
        <v>0.2041</v>
      </c>
      <c r="K251" s="105">
        <f>20000-9000</f>
        <v>11000</v>
      </c>
      <c r="L251" s="19" t="s">
        <v>1061</v>
      </c>
      <c r="M251" s="20">
        <f t="shared" ref="M251:M264" si="2">J251*K251</f>
        <v>2245.1</v>
      </c>
    </row>
    <row r="252" spans="2:13" x14ac:dyDescent="0.25">
      <c r="B252" s="18" t="s">
        <v>647</v>
      </c>
      <c r="C252" s="18">
        <v>1</v>
      </c>
      <c r="D252" s="27">
        <v>46093</v>
      </c>
      <c r="E252" s="8" t="s">
        <v>8</v>
      </c>
      <c r="F252" s="6" t="s">
        <v>628</v>
      </c>
      <c r="G252" s="8">
        <v>500001</v>
      </c>
      <c r="H252" s="8" t="s">
        <v>633</v>
      </c>
      <c r="I252" s="5" t="s">
        <v>629</v>
      </c>
      <c r="J252" s="5">
        <v>0.20200000000000001</v>
      </c>
      <c r="K252" s="16">
        <v>10000</v>
      </c>
      <c r="L252" s="10"/>
      <c r="M252" s="20">
        <f t="shared" si="2"/>
        <v>2020.0000000000002</v>
      </c>
    </row>
    <row r="253" spans="2:13" x14ac:dyDescent="0.25">
      <c r="B253" s="18" t="s">
        <v>648</v>
      </c>
      <c r="C253" s="18">
        <v>1</v>
      </c>
      <c r="D253" s="27">
        <v>46093</v>
      </c>
      <c r="E253" s="8" t="s">
        <v>8</v>
      </c>
      <c r="F253" s="6" t="s">
        <v>619</v>
      </c>
      <c r="G253" s="8">
        <v>400274</v>
      </c>
      <c r="H253" s="8" t="s">
        <v>620</v>
      </c>
      <c r="I253" s="5" t="s">
        <v>621</v>
      </c>
      <c r="J253" s="5">
        <v>0.15379999999999999</v>
      </c>
      <c r="K253" s="16">
        <v>3000</v>
      </c>
      <c r="L253" s="10"/>
      <c r="M253" s="20">
        <f t="shared" si="2"/>
        <v>461.4</v>
      </c>
    </row>
    <row r="254" spans="2:13" x14ac:dyDescent="0.25">
      <c r="B254" s="18" t="s">
        <v>650</v>
      </c>
      <c r="C254" s="18">
        <v>1</v>
      </c>
      <c r="D254" s="27">
        <v>46093</v>
      </c>
      <c r="E254" s="8" t="s">
        <v>8</v>
      </c>
      <c r="F254" s="6" t="s">
        <v>630</v>
      </c>
      <c r="G254" s="8">
        <v>101467</v>
      </c>
      <c r="H254" s="5" t="s">
        <v>80</v>
      </c>
      <c r="I254" s="8" t="s">
        <v>28</v>
      </c>
      <c r="J254" s="5">
        <v>0.40699999999999997</v>
      </c>
      <c r="K254" s="16">
        <v>1800</v>
      </c>
      <c r="L254" s="10"/>
      <c r="M254" s="20">
        <f t="shared" si="2"/>
        <v>732.59999999999991</v>
      </c>
    </row>
    <row r="255" spans="2:13" x14ac:dyDescent="0.25">
      <c r="B255" s="18" t="s">
        <v>650</v>
      </c>
      <c r="C255" s="18">
        <v>2</v>
      </c>
      <c r="D255" s="27">
        <v>46093</v>
      </c>
      <c r="E255" s="18" t="s">
        <v>8</v>
      </c>
      <c r="F255" s="28" t="s">
        <v>630</v>
      </c>
      <c r="G255" s="18">
        <v>101523</v>
      </c>
      <c r="H255" s="18" t="s">
        <v>89</v>
      </c>
      <c r="I255" s="5" t="s">
        <v>69</v>
      </c>
      <c r="J255" s="5">
        <v>0.89710000000000001</v>
      </c>
      <c r="K255" s="25">
        <f>736-583</f>
        <v>153</v>
      </c>
      <c r="L255" s="10" t="s">
        <v>1062</v>
      </c>
      <c r="M255" s="20">
        <f t="shared" si="2"/>
        <v>137.25630000000001</v>
      </c>
    </row>
    <row r="256" spans="2:13" x14ac:dyDescent="0.25">
      <c r="B256" s="18" t="s">
        <v>649</v>
      </c>
      <c r="C256" s="18">
        <v>1</v>
      </c>
      <c r="D256" s="27">
        <v>46093</v>
      </c>
      <c r="E256" s="8" t="s">
        <v>8</v>
      </c>
      <c r="F256" s="6" t="s">
        <v>631</v>
      </c>
      <c r="G256" s="8">
        <v>200969</v>
      </c>
      <c r="H256" s="8" t="s">
        <v>634</v>
      </c>
      <c r="I256" s="5" t="s">
        <v>632</v>
      </c>
      <c r="J256" s="5">
        <v>0.22969999999999999</v>
      </c>
      <c r="K256" s="16">
        <v>4000</v>
      </c>
      <c r="L256" s="10"/>
      <c r="M256" s="20">
        <f t="shared" si="2"/>
        <v>918.8</v>
      </c>
    </row>
    <row r="257" spans="2:13" x14ac:dyDescent="0.25">
      <c r="B257" s="49" t="s">
        <v>679</v>
      </c>
      <c r="C257" s="49">
        <v>1</v>
      </c>
      <c r="D257" s="44">
        <v>46093</v>
      </c>
      <c r="E257" s="49" t="s">
        <v>8</v>
      </c>
      <c r="F257" s="106" t="s">
        <v>655</v>
      </c>
      <c r="G257" s="106">
        <v>200673</v>
      </c>
      <c r="H257" s="49" t="s">
        <v>656</v>
      </c>
      <c r="I257" s="47" t="s">
        <v>657</v>
      </c>
      <c r="J257" s="47">
        <v>0.22309999999999999</v>
      </c>
      <c r="K257" s="105">
        <f>10000-6750</f>
        <v>3250</v>
      </c>
      <c r="L257" s="19" t="s">
        <v>1063</v>
      </c>
      <c r="M257" s="20">
        <f t="shared" si="2"/>
        <v>725.07499999999993</v>
      </c>
    </row>
    <row r="258" spans="2:13" x14ac:dyDescent="0.25">
      <c r="B258" s="18" t="s">
        <v>684</v>
      </c>
      <c r="C258" s="18">
        <v>1</v>
      </c>
      <c r="D258" s="27">
        <v>46093</v>
      </c>
      <c r="E258" s="8" t="s">
        <v>8</v>
      </c>
      <c r="F258" s="6" t="s">
        <v>667</v>
      </c>
      <c r="G258" s="8">
        <v>100027</v>
      </c>
      <c r="H258" s="8" t="s">
        <v>95</v>
      </c>
      <c r="I258" s="5" t="s">
        <v>53</v>
      </c>
      <c r="J258" s="5">
        <v>0.3216</v>
      </c>
      <c r="K258" s="16">
        <v>2500</v>
      </c>
      <c r="L258" s="10"/>
      <c r="M258" s="20">
        <f t="shared" si="2"/>
        <v>804</v>
      </c>
    </row>
    <row r="259" spans="2:13" x14ac:dyDescent="0.25">
      <c r="B259" s="18" t="s">
        <v>684</v>
      </c>
      <c r="C259" s="18">
        <v>2</v>
      </c>
      <c r="D259" s="27">
        <v>46093</v>
      </c>
      <c r="E259" s="8" t="s">
        <v>8</v>
      </c>
      <c r="F259" s="6" t="s">
        <v>667</v>
      </c>
      <c r="G259" s="8">
        <v>200065</v>
      </c>
      <c r="H259" s="8" t="s">
        <v>410</v>
      </c>
      <c r="I259" s="5" t="s">
        <v>409</v>
      </c>
      <c r="J259" s="5">
        <v>0.36020000000000002</v>
      </c>
      <c r="K259" s="16">
        <v>4000</v>
      </c>
      <c r="L259" s="10"/>
      <c r="M259" s="20">
        <f t="shared" si="2"/>
        <v>1440.8000000000002</v>
      </c>
    </row>
    <row r="260" spans="2:13" x14ac:dyDescent="0.25">
      <c r="B260" s="18" t="s">
        <v>685</v>
      </c>
      <c r="C260" s="18">
        <v>2</v>
      </c>
      <c r="D260" s="27">
        <v>46093</v>
      </c>
      <c r="E260" s="8" t="s">
        <v>8</v>
      </c>
      <c r="F260" s="6" t="s">
        <v>665</v>
      </c>
      <c r="G260" s="8">
        <v>101359</v>
      </c>
      <c r="H260" s="8" t="s">
        <v>668</v>
      </c>
      <c r="I260" s="5" t="s">
        <v>666</v>
      </c>
      <c r="J260" s="5">
        <v>0.23980000000000001</v>
      </c>
      <c r="K260" s="16">
        <v>1600</v>
      </c>
      <c r="L260" s="10"/>
      <c r="M260" s="20">
        <f t="shared" si="2"/>
        <v>383.68</v>
      </c>
    </row>
    <row r="261" spans="2:13" x14ac:dyDescent="0.25">
      <c r="B261" s="18" t="s">
        <v>693</v>
      </c>
      <c r="C261" s="18">
        <v>1</v>
      </c>
      <c r="D261" s="27">
        <v>46093</v>
      </c>
      <c r="E261" s="8" t="s">
        <v>8</v>
      </c>
      <c r="F261" s="6" t="s">
        <v>636</v>
      </c>
      <c r="G261" s="8">
        <v>401585</v>
      </c>
      <c r="H261" s="8" t="s">
        <v>651</v>
      </c>
      <c r="I261" s="5" t="s">
        <v>637</v>
      </c>
      <c r="J261" s="5">
        <v>0.2102</v>
      </c>
      <c r="K261" s="16">
        <v>1000</v>
      </c>
      <c r="L261" s="10" t="s">
        <v>638</v>
      </c>
      <c r="M261" s="20">
        <f t="shared" si="2"/>
        <v>210.2</v>
      </c>
    </row>
    <row r="262" spans="2:13" x14ac:dyDescent="0.25">
      <c r="B262" s="18" t="s">
        <v>694</v>
      </c>
      <c r="C262" s="18">
        <v>1</v>
      </c>
      <c r="D262" s="27">
        <v>46093</v>
      </c>
      <c r="E262" s="8" t="s">
        <v>8</v>
      </c>
      <c r="F262" s="6" t="s">
        <v>669</v>
      </c>
      <c r="G262" s="8">
        <v>200519</v>
      </c>
      <c r="H262" s="8" t="s">
        <v>670</v>
      </c>
      <c r="I262" s="5" t="s">
        <v>671</v>
      </c>
      <c r="J262" s="5">
        <v>0.44900000000000001</v>
      </c>
      <c r="K262" s="16">
        <v>200</v>
      </c>
      <c r="L262" s="10"/>
      <c r="M262" s="20">
        <f t="shared" si="2"/>
        <v>89.8</v>
      </c>
    </row>
    <row r="263" spans="2:13" x14ac:dyDescent="0.25">
      <c r="B263" s="18" t="s">
        <v>695</v>
      </c>
      <c r="C263" s="18">
        <v>1</v>
      </c>
      <c r="D263" s="27">
        <v>46093</v>
      </c>
      <c r="E263" s="8" t="s">
        <v>8</v>
      </c>
      <c r="F263" s="6" t="s">
        <v>672</v>
      </c>
      <c r="G263" s="8">
        <v>200966</v>
      </c>
      <c r="H263" s="8" t="s">
        <v>677</v>
      </c>
      <c r="I263" s="5" t="s">
        <v>673</v>
      </c>
      <c r="J263" s="5">
        <v>0.9264</v>
      </c>
      <c r="K263" s="16">
        <v>300</v>
      </c>
      <c r="L263" s="10"/>
      <c r="M263" s="20">
        <f t="shared" si="2"/>
        <v>277.92</v>
      </c>
    </row>
    <row r="264" spans="2:13" x14ac:dyDescent="0.25">
      <c r="B264" s="18" t="s">
        <v>699</v>
      </c>
      <c r="C264" s="18">
        <v>1</v>
      </c>
      <c r="D264" s="27">
        <v>46093</v>
      </c>
      <c r="E264" s="8" t="s">
        <v>8</v>
      </c>
      <c r="F264" s="6" t="s">
        <v>700</v>
      </c>
      <c r="G264" s="8">
        <v>400758</v>
      </c>
      <c r="H264" s="8" t="s">
        <v>328</v>
      </c>
      <c r="I264" s="5" t="s">
        <v>327</v>
      </c>
      <c r="J264" s="5">
        <v>0.1769</v>
      </c>
      <c r="K264" s="16">
        <v>2000</v>
      </c>
      <c r="L264" s="10"/>
      <c r="M264" s="20">
        <f t="shared" si="2"/>
        <v>353.8</v>
      </c>
    </row>
    <row r="265" spans="2:13" x14ac:dyDescent="0.25">
      <c r="B265" s="108" t="s">
        <v>688</v>
      </c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</row>
    <row r="266" spans="2:13" x14ac:dyDescent="0.25">
      <c r="B266" s="18" t="s">
        <v>689</v>
      </c>
      <c r="C266" s="18">
        <v>1</v>
      </c>
      <c r="D266" s="27">
        <v>46107</v>
      </c>
      <c r="E266" s="8" t="s">
        <v>8</v>
      </c>
      <c r="F266" s="6" t="s">
        <v>659</v>
      </c>
      <c r="G266" s="8">
        <v>200673</v>
      </c>
      <c r="H266" s="8" t="s">
        <v>656</v>
      </c>
      <c r="I266" s="5" t="s">
        <v>657</v>
      </c>
      <c r="J266" s="5">
        <v>0.22309999999999999</v>
      </c>
      <c r="K266" s="16">
        <v>15000</v>
      </c>
      <c r="L266" s="10"/>
      <c r="M266" s="20">
        <f t="shared" ref="M266:M280" si="3">J266*K266</f>
        <v>3346.5</v>
      </c>
    </row>
    <row r="267" spans="2:13" x14ac:dyDescent="0.25">
      <c r="B267" s="18" t="s">
        <v>703</v>
      </c>
      <c r="C267" s="18">
        <v>1</v>
      </c>
      <c r="D267" s="27">
        <v>46107</v>
      </c>
      <c r="E267" s="8" t="s">
        <v>8</v>
      </c>
      <c r="F267" s="6" t="s">
        <v>701</v>
      </c>
      <c r="G267" s="8">
        <v>200673</v>
      </c>
      <c r="H267" s="8" t="s">
        <v>656</v>
      </c>
      <c r="I267" s="5" t="s">
        <v>657</v>
      </c>
      <c r="J267" s="5">
        <v>0.22309999999999999</v>
      </c>
      <c r="K267" s="16">
        <v>15000</v>
      </c>
      <c r="L267" s="10"/>
      <c r="M267" s="20">
        <f t="shared" si="3"/>
        <v>3346.5</v>
      </c>
    </row>
    <row r="268" spans="2:13" x14ac:dyDescent="0.25">
      <c r="B268" s="18" t="s">
        <v>706</v>
      </c>
      <c r="C268" s="18">
        <v>1</v>
      </c>
      <c r="D268" s="27">
        <v>46107</v>
      </c>
      <c r="E268" s="8" t="s">
        <v>8</v>
      </c>
      <c r="F268" s="6" t="s">
        <v>702</v>
      </c>
      <c r="G268" s="8">
        <v>100605</v>
      </c>
      <c r="H268" s="8" t="s">
        <v>91</v>
      </c>
      <c r="I268" s="5" t="s">
        <v>67</v>
      </c>
      <c r="J268" s="5">
        <v>0.16980000000000001</v>
      </c>
      <c r="K268" s="16">
        <v>500</v>
      </c>
      <c r="L268" s="10"/>
      <c r="M268" s="20">
        <f t="shared" si="3"/>
        <v>84.9</v>
      </c>
    </row>
    <row r="269" spans="2:13" x14ac:dyDescent="0.25">
      <c r="B269" s="18" t="s">
        <v>741</v>
      </c>
      <c r="C269" s="18">
        <v>1</v>
      </c>
      <c r="D269" s="27">
        <v>46107</v>
      </c>
      <c r="E269" s="8" t="s">
        <v>8</v>
      </c>
      <c r="F269" s="6" t="s">
        <v>734</v>
      </c>
      <c r="G269" s="8">
        <v>100565</v>
      </c>
      <c r="H269" s="8" t="s">
        <v>740</v>
      </c>
      <c r="I269" s="5" t="s">
        <v>735</v>
      </c>
      <c r="J269" s="5">
        <v>0.96609999999999996</v>
      </c>
      <c r="K269" s="16">
        <v>200</v>
      </c>
      <c r="L269" s="10"/>
      <c r="M269" s="20">
        <f t="shared" si="3"/>
        <v>193.22</v>
      </c>
    </row>
    <row r="270" spans="2:13" x14ac:dyDescent="0.25">
      <c r="B270" s="18" t="s">
        <v>742</v>
      </c>
      <c r="C270" s="18">
        <v>1</v>
      </c>
      <c r="D270" s="27">
        <v>46107</v>
      </c>
      <c r="E270" s="8" t="s">
        <v>8</v>
      </c>
      <c r="F270" s="6" t="s">
        <v>726</v>
      </c>
      <c r="G270" s="8">
        <v>200301</v>
      </c>
      <c r="H270" s="8" t="s">
        <v>49</v>
      </c>
      <c r="I270" s="5" t="s">
        <v>727</v>
      </c>
      <c r="J270" s="5">
        <v>0.44619999999999999</v>
      </c>
      <c r="K270" s="16">
        <v>100</v>
      </c>
      <c r="L270" s="10"/>
      <c r="M270" s="20">
        <f t="shared" si="3"/>
        <v>44.62</v>
      </c>
    </row>
    <row r="271" spans="2:13" x14ac:dyDescent="0.25">
      <c r="B271" s="18" t="s">
        <v>743</v>
      </c>
      <c r="C271" s="18">
        <v>1</v>
      </c>
      <c r="D271" s="27">
        <v>46107</v>
      </c>
      <c r="E271" s="8" t="s">
        <v>8</v>
      </c>
      <c r="F271" s="6" t="s">
        <v>716</v>
      </c>
      <c r="G271" s="8">
        <v>500111</v>
      </c>
      <c r="H271" s="8" t="s">
        <v>250</v>
      </c>
      <c r="I271" s="5" t="s">
        <v>717</v>
      </c>
      <c r="J271" s="5">
        <v>0.23350000000000001</v>
      </c>
      <c r="K271" s="16">
        <v>1000</v>
      </c>
      <c r="L271" s="10"/>
      <c r="M271" s="20">
        <f t="shared" si="3"/>
        <v>233.5</v>
      </c>
    </row>
    <row r="272" spans="2:13" x14ac:dyDescent="0.25">
      <c r="B272" s="18" t="s">
        <v>743</v>
      </c>
      <c r="C272" s="18">
        <v>2</v>
      </c>
      <c r="D272" s="27">
        <v>46107</v>
      </c>
      <c r="E272" s="8" t="s">
        <v>8</v>
      </c>
      <c r="F272" s="6" t="s">
        <v>716</v>
      </c>
      <c r="G272" s="8">
        <v>500111</v>
      </c>
      <c r="H272" s="8" t="s">
        <v>250</v>
      </c>
      <c r="I272" s="5" t="s">
        <v>717</v>
      </c>
      <c r="J272" s="5">
        <v>0.23350000000000001</v>
      </c>
      <c r="K272" s="16">
        <v>1000</v>
      </c>
      <c r="L272" s="10"/>
      <c r="M272" s="20">
        <f t="shared" si="3"/>
        <v>233.5</v>
      </c>
    </row>
    <row r="273" spans="2:13" x14ac:dyDescent="0.25">
      <c r="B273" s="18" t="s">
        <v>752</v>
      </c>
      <c r="C273" s="18">
        <v>1</v>
      </c>
      <c r="D273" s="27">
        <v>46107</v>
      </c>
      <c r="E273" s="8" t="s">
        <v>8</v>
      </c>
      <c r="F273" s="6" t="s">
        <v>718</v>
      </c>
      <c r="G273" s="8">
        <v>500006</v>
      </c>
      <c r="H273" s="8" t="s">
        <v>725</v>
      </c>
      <c r="I273" s="5" t="s">
        <v>719</v>
      </c>
      <c r="J273" s="5">
        <v>0.45</v>
      </c>
      <c r="K273" s="16">
        <v>2500</v>
      </c>
      <c r="L273" s="10"/>
      <c r="M273" s="20">
        <f t="shared" si="3"/>
        <v>1125</v>
      </c>
    </row>
    <row r="274" spans="2:13" x14ac:dyDescent="0.25">
      <c r="B274" s="18" t="s">
        <v>776</v>
      </c>
      <c r="C274" s="18">
        <v>5</v>
      </c>
      <c r="D274" s="27">
        <v>46107</v>
      </c>
      <c r="E274" s="8" t="s">
        <v>8</v>
      </c>
      <c r="F274" s="6" t="s">
        <v>745</v>
      </c>
      <c r="G274" s="8">
        <v>200050</v>
      </c>
      <c r="H274" s="8" t="s">
        <v>114</v>
      </c>
      <c r="I274" s="5" t="s">
        <v>104</v>
      </c>
      <c r="J274" s="5">
        <v>0.35899999999999999</v>
      </c>
      <c r="K274" s="16">
        <v>500</v>
      </c>
      <c r="L274" s="10"/>
      <c r="M274" s="20">
        <f t="shared" si="3"/>
        <v>179.5</v>
      </c>
    </row>
    <row r="275" spans="2:13" x14ac:dyDescent="0.25">
      <c r="B275" s="18" t="s">
        <v>780</v>
      </c>
      <c r="C275" s="18">
        <v>4</v>
      </c>
      <c r="D275" s="27">
        <v>46107</v>
      </c>
      <c r="E275" s="8" t="s">
        <v>8</v>
      </c>
      <c r="F275" s="6" t="s">
        <v>764</v>
      </c>
      <c r="G275" s="8">
        <v>400404</v>
      </c>
      <c r="H275" s="8" t="s">
        <v>773</v>
      </c>
      <c r="I275" s="5" t="s">
        <v>765</v>
      </c>
      <c r="J275" s="5">
        <v>0.2495</v>
      </c>
      <c r="K275" s="16">
        <v>300</v>
      </c>
      <c r="L275" s="10" t="s">
        <v>775</v>
      </c>
      <c r="M275" s="20">
        <f t="shared" si="3"/>
        <v>74.849999999999994</v>
      </c>
    </row>
    <row r="276" spans="2:13" x14ac:dyDescent="0.25">
      <c r="B276" s="18" t="s">
        <v>783</v>
      </c>
      <c r="C276" s="18">
        <v>1</v>
      </c>
      <c r="D276" s="27">
        <v>46107</v>
      </c>
      <c r="E276" s="8" t="s">
        <v>8</v>
      </c>
      <c r="F276" s="6" t="s">
        <v>730</v>
      </c>
      <c r="G276" s="8">
        <v>201898</v>
      </c>
      <c r="H276" s="8" t="s">
        <v>731</v>
      </c>
      <c r="I276" s="5" t="s">
        <v>733</v>
      </c>
      <c r="J276" s="5">
        <v>0.23599999999999999</v>
      </c>
      <c r="K276" s="16">
        <v>500</v>
      </c>
      <c r="L276" s="19" t="s">
        <v>732</v>
      </c>
      <c r="M276" s="20">
        <f t="shared" si="3"/>
        <v>118</v>
      </c>
    </row>
    <row r="277" spans="2:13" x14ac:dyDescent="0.25">
      <c r="B277" s="18" t="s">
        <v>788</v>
      </c>
      <c r="C277" s="18">
        <v>1</v>
      </c>
      <c r="D277" s="27">
        <v>46107</v>
      </c>
      <c r="E277" s="8" t="s">
        <v>8</v>
      </c>
      <c r="F277" s="6" t="s">
        <v>768</v>
      </c>
      <c r="G277" s="8">
        <v>100356</v>
      </c>
      <c r="H277" s="8" t="s">
        <v>786</v>
      </c>
      <c r="I277" s="5" t="s">
        <v>769</v>
      </c>
      <c r="J277" s="5">
        <v>0.33079999999999998</v>
      </c>
      <c r="K277" s="16">
        <v>500</v>
      </c>
      <c r="L277" s="10"/>
      <c r="M277" s="20">
        <f t="shared" si="3"/>
        <v>165.39999999999998</v>
      </c>
    </row>
    <row r="278" spans="2:13" x14ac:dyDescent="0.25">
      <c r="B278" s="18" t="s">
        <v>871</v>
      </c>
      <c r="C278" s="18">
        <v>1</v>
      </c>
      <c r="D278" s="27">
        <v>46107</v>
      </c>
      <c r="E278" s="8" t="s">
        <v>8</v>
      </c>
      <c r="F278" s="6" t="s">
        <v>851</v>
      </c>
      <c r="G278" s="8">
        <v>200420</v>
      </c>
      <c r="H278" s="8" t="s">
        <v>856</v>
      </c>
      <c r="I278" s="5" t="s">
        <v>857</v>
      </c>
      <c r="J278" s="5">
        <v>0.9335</v>
      </c>
      <c r="K278" s="16">
        <v>150</v>
      </c>
      <c r="L278" s="10"/>
      <c r="M278" s="20">
        <f t="shared" si="3"/>
        <v>140.02500000000001</v>
      </c>
    </row>
    <row r="279" spans="2:13" x14ac:dyDescent="0.25">
      <c r="B279" s="18"/>
      <c r="C279" s="18"/>
      <c r="D279" s="27"/>
      <c r="E279" s="8"/>
      <c r="F279" s="6"/>
      <c r="G279" s="8"/>
      <c r="H279" s="8"/>
      <c r="I279" s="5"/>
      <c r="J279" s="5"/>
      <c r="K279" s="16"/>
      <c r="L279" s="10"/>
      <c r="M279" s="20">
        <f t="shared" si="3"/>
        <v>0</v>
      </c>
    </row>
    <row r="280" spans="2:13" x14ac:dyDescent="0.25">
      <c r="B280" s="18"/>
      <c r="C280" s="18"/>
      <c r="D280" s="27"/>
      <c r="E280" s="8"/>
      <c r="F280" s="6"/>
      <c r="G280" s="8"/>
      <c r="H280" s="8"/>
      <c r="I280" s="5"/>
      <c r="J280" s="5"/>
      <c r="K280" s="16"/>
      <c r="L280" s="10"/>
      <c r="M280" s="20">
        <f t="shared" si="3"/>
        <v>0</v>
      </c>
    </row>
    <row r="281" spans="2:13" x14ac:dyDescent="0.25">
      <c r="B281" s="108" t="s">
        <v>686</v>
      </c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</row>
    <row r="282" spans="2:13" x14ac:dyDescent="0.25">
      <c r="B282" s="18" t="s">
        <v>687</v>
      </c>
      <c r="C282" s="18">
        <v>1</v>
      </c>
      <c r="D282" s="27">
        <v>46121</v>
      </c>
      <c r="E282" s="8" t="s">
        <v>8</v>
      </c>
      <c r="F282" s="6" t="s">
        <v>658</v>
      </c>
      <c r="G282" s="8">
        <v>200673</v>
      </c>
      <c r="H282" s="8" t="s">
        <v>656</v>
      </c>
      <c r="I282" s="5" t="s">
        <v>657</v>
      </c>
      <c r="J282" s="5">
        <v>0.22309999999999999</v>
      </c>
      <c r="K282" s="16">
        <v>15000</v>
      </c>
      <c r="L282" s="10"/>
      <c r="M282" s="20">
        <f>J282*K282</f>
        <v>3346.5</v>
      </c>
    </row>
    <row r="283" spans="2:13" x14ac:dyDescent="0.25">
      <c r="B283" s="18" t="s">
        <v>753</v>
      </c>
      <c r="C283" s="18">
        <v>1</v>
      </c>
      <c r="D283" s="27">
        <v>46121</v>
      </c>
      <c r="E283" s="8" t="s">
        <v>8</v>
      </c>
      <c r="F283" s="6" t="s">
        <v>729</v>
      </c>
      <c r="G283" s="8">
        <v>400761</v>
      </c>
      <c r="H283" s="8" t="s">
        <v>29</v>
      </c>
      <c r="I283" s="5" t="s">
        <v>15</v>
      </c>
      <c r="J283" s="5">
        <v>0.1462</v>
      </c>
      <c r="K283" s="16">
        <v>10000</v>
      </c>
      <c r="L283" s="10" t="s">
        <v>16</v>
      </c>
      <c r="M283" s="20">
        <f t="shared" ref="M283:M408" si="4">J283*K283</f>
        <v>1462</v>
      </c>
    </row>
    <row r="284" spans="2:13" x14ac:dyDescent="0.25">
      <c r="B284" s="18" t="s">
        <v>760</v>
      </c>
      <c r="C284" s="18">
        <v>1</v>
      </c>
      <c r="D284" s="27">
        <v>46121</v>
      </c>
      <c r="E284" s="8" t="s">
        <v>8</v>
      </c>
      <c r="F284" s="6" t="s">
        <v>723</v>
      </c>
      <c r="G284" s="8">
        <v>400983</v>
      </c>
      <c r="H284" s="8" t="s">
        <v>728</v>
      </c>
      <c r="I284" s="5" t="s">
        <v>724</v>
      </c>
      <c r="J284" s="5">
        <v>0.41360000000000002</v>
      </c>
      <c r="K284" s="16">
        <v>5000</v>
      </c>
      <c r="L284" s="10"/>
      <c r="M284" s="20">
        <f t="shared" si="4"/>
        <v>2068</v>
      </c>
    </row>
    <row r="285" spans="2:13" x14ac:dyDescent="0.25">
      <c r="B285" s="18" t="s">
        <v>777</v>
      </c>
      <c r="C285" s="18">
        <v>1</v>
      </c>
      <c r="D285" s="27">
        <v>46121</v>
      </c>
      <c r="E285" s="8" t="s">
        <v>8</v>
      </c>
      <c r="F285" s="6" t="s">
        <v>744</v>
      </c>
      <c r="G285" s="8">
        <v>101478</v>
      </c>
      <c r="H285" s="8" t="s">
        <v>98</v>
      </c>
      <c r="I285" s="5" t="s">
        <v>99</v>
      </c>
      <c r="J285" s="5">
        <v>0.33079999999999998</v>
      </c>
      <c r="K285" s="16">
        <v>2900</v>
      </c>
      <c r="L285" s="10"/>
      <c r="M285" s="20">
        <f t="shared" si="4"/>
        <v>959.31999999999994</v>
      </c>
    </row>
    <row r="286" spans="2:13" x14ac:dyDescent="0.25">
      <c r="B286" s="49" t="s">
        <v>779</v>
      </c>
      <c r="C286" s="49">
        <v>1</v>
      </c>
      <c r="D286" s="44">
        <v>46121</v>
      </c>
      <c r="E286" s="46" t="s">
        <v>8</v>
      </c>
      <c r="F286" s="1" t="s">
        <v>766</v>
      </c>
      <c r="G286" s="46">
        <v>100666</v>
      </c>
      <c r="H286" s="46" t="s">
        <v>774</v>
      </c>
      <c r="I286" s="47" t="s">
        <v>767</v>
      </c>
      <c r="J286" s="47">
        <v>0.29099999999999998</v>
      </c>
      <c r="K286" s="48">
        <v>2100</v>
      </c>
      <c r="L286" s="19" t="s">
        <v>546</v>
      </c>
      <c r="M286" s="20">
        <f t="shared" si="4"/>
        <v>611.09999999999991</v>
      </c>
    </row>
    <row r="287" spans="2:13" x14ac:dyDescent="0.25">
      <c r="B287" s="18" t="s">
        <v>781</v>
      </c>
      <c r="C287" s="18">
        <v>1</v>
      </c>
      <c r="D287" s="27">
        <v>46121</v>
      </c>
      <c r="E287" s="8" t="s">
        <v>8</v>
      </c>
      <c r="F287" s="6" t="s">
        <v>763</v>
      </c>
      <c r="G287" s="8">
        <v>200950</v>
      </c>
      <c r="H287" s="8" t="s">
        <v>565</v>
      </c>
      <c r="I287" s="5" t="s">
        <v>566</v>
      </c>
      <c r="J287" s="5">
        <v>0.7077</v>
      </c>
      <c r="K287" s="16">
        <v>200</v>
      </c>
      <c r="L287" s="10"/>
      <c r="M287" s="20">
        <f t="shared" si="4"/>
        <v>141.54</v>
      </c>
    </row>
    <row r="288" spans="2:13" x14ac:dyDescent="0.25">
      <c r="B288" s="18" t="s">
        <v>782</v>
      </c>
      <c r="C288" s="18">
        <v>1</v>
      </c>
      <c r="D288" s="27">
        <v>46121</v>
      </c>
      <c r="E288" s="8" t="s">
        <v>8</v>
      </c>
      <c r="F288" s="6" t="s">
        <v>758</v>
      </c>
      <c r="G288" s="8">
        <v>201546</v>
      </c>
      <c r="H288" s="8" t="s">
        <v>761</v>
      </c>
      <c r="I288" s="5" t="s">
        <v>759</v>
      </c>
      <c r="J288" s="5">
        <v>0.4153</v>
      </c>
      <c r="K288" s="16">
        <v>7000</v>
      </c>
      <c r="L288" s="10"/>
      <c r="M288" s="20">
        <f t="shared" si="4"/>
        <v>2907.1</v>
      </c>
    </row>
    <row r="289" spans="2:13" x14ac:dyDescent="0.25">
      <c r="B289" s="18" t="s">
        <v>787</v>
      </c>
      <c r="C289" s="18">
        <v>1</v>
      </c>
      <c r="D289" s="27">
        <v>46121</v>
      </c>
      <c r="E289" s="8" t="s">
        <v>8</v>
      </c>
      <c r="F289" s="6" t="s">
        <v>762</v>
      </c>
      <c r="G289" s="8">
        <v>200923</v>
      </c>
      <c r="H289" s="8" t="s">
        <v>784</v>
      </c>
      <c r="I289" s="5" t="s">
        <v>785</v>
      </c>
      <c r="J289" s="5">
        <v>0.2097</v>
      </c>
      <c r="K289" s="16">
        <v>500</v>
      </c>
      <c r="L289" s="10"/>
      <c r="M289" s="20">
        <f t="shared" si="4"/>
        <v>104.85</v>
      </c>
    </row>
    <row r="290" spans="2:13" x14ac:dyDescent="0.25">
      <c r="B290" s="18" t="s">
        <v>789</v>
      </c>
      <c r="C290" s="18">
        <v>1</v>
      </c>
      <c r="D290" s="27">
        <v>46121</v>
      </c>
      <c r="E290" s="8" t="s">
        <v>8</v>
      </c>
      <c r="F290" s="6" t="s">
        <v>736</v>
      </c>
      <c r="G290" s="8">
        <v>200027</v>
      </c>
      <c r="H290" s="8" t="s">
        <v>58</v>
      </c>
      <c r="I290" s="5" t="s">
        <v>56</v>
      </c>
      <c r="J290" s="5">
        <v>0.19139999999999999</v>
      </c>
      <c r="K290" s="16">
        <v>3000</v>
      </c>
      <c r="L290" s="10"/>
      <c r="M290" s="20">
        <f t="shared" si="4"/>
        <v>574.19999999999993</v>
      </c>
    </row>
    <row r="291" spans="2:13" x14ac:dyDescent="0.25">
      <c r="B291" s="18" t="s">
        <v>789</v>
      </c>
      <c r="C291" s="18">
        <v>2</v>
      </c>
      <c r="D291" s="27">
        <v>46121</v>
      </c>
      <c r="E291" s="8" t="s">
        <v>8</v>
      </c>
      <c r="F291" s="6" t="s">
        <v>736</v>
      </c>
      <c r="G291" s="8">
        <v>201003</v>
      </c>
      <c r="H291" s="8" t="s">
        <v>339</v>
      </c>
      <c r="I291" s="5" t="s">
        <v>340</v>
      </c>
      <c r="J291" s="5">
        <v>0.22969999999999999</v>
      </c>
      <c r="K291" s="16">
        <v>1500</v>
      </c>
      <c r="L291" s="10"/>
      <c r="M291" s="20">
        <f t="shared" si="4"/>
        <v>344.54999999999995</v>
      </c>
    </row>
    <row r="292" spans="2:13" x14ac:dyDescent="0.25">
      <c r="B292" s="18" t="s">
        <v>789</v>
      </c>
      <c r="C292" s="18">
        <v>3</v>
      </c>
      <c r="D292" s="27">
        <v>46121</v>
      </c>
      <c r="E292" s="8" t="s">
        <v>8</v>
      </c>
      <c r="F292" s="6" t="s">
        <v>736</v>
      </c>
      <c r="G292" s="8">
        <v>300694</v>
      </c>
      <c r="H292" s="8" t="s">
        <v>714</v>
      </c>
      <c r="I292" s="5" t="s">
        <v>715</v>
      </c>
      <c r="J292" s="5">
        <v>0.52</v>
      </c>
      <c r="K292" s="16">
        <v>500</v>
      </c>
      <c r="L292" s="10"/>
      <c r="M292" s="20">
        <f t="shared" si="4"/>
        <v>260</v>
      </c>
    </row>
    <row r="293" spans="2:13" x14ac:dyDescent="0.25">
      <c r="B293" s="18" t="s">
        <v>789</v>
      </c>
      <c r="C293" s="18">
        <v>4</v>
      </c>
      <c r="D293" s="27">
        <v>46121</v>
      </c>
      <c r="E293" s="8" t="s">
        <v>8</v>
      </c>
      <c r="F293" s="6" t="s">
        <v>736</v>
      </c>
      <c r="G293" s="8">
        <v>500043</v>
      </c>
      <c r="H293" s="8" t="s">
        <v>227</v>
      </c>
      <c r="I293" s="5" t="s">
        <v>224</v>
      </c>
      <c r="J293" s="5">
        <v>0.2792</v>
      </c>
      <c r="K293" s="16">
        <v>1000</v>
      </c>
      <c r="L293" s="10"/>
      <c r="M293" s="20">
        <f t="shared" si="4"/>
        <v>279.2</v>
      </c>
    </row>
    <row r="294" spans="2:13" x14ac:dyDescent="0.25">
      <c r="B294" s="18" t="s">
        <v>802</v>
      </c>
      <c r="C294" s="18">
        <v>1</v>
      </c>
      <c r="D294" s="27">
        <v>46121</v>
      </c>
      <c r="E294" s="8" t="s">
        <v>8</v>
      </c>
      <c r="F294" s="6" t="s">
        <v>737</v>
      </c>
      <c r="G294" s="8">
        <v>300131</v>
      </c>
      <c r="H294" s="8" t="s">
        <v>738</v>
      </c>
      <c r="I294" s="5" t="s">
        <v>739</v>
      </c>
      <c r="J294" s="5">
        <v>1.5976999999999999</v>
      </c>
      <c r="K294" s="16">
        <v>50</v>
      </c>
      <c r="L294" s="10"/>
      <c r="M294" s="20">
        <f t="shared" si="4"/>
        <v>79.884999999999991</v>
      </c>
    </row>
    <row r="295" spans="2:13" x14ac:dyDescent="0.25">
      <c r="B295" s="18" t="s">
        <v>810</v>
      </c>
      <c r="C295" s="18">
        <v>2</v>
      </c>
      <c r="D295" s="27">
        <v>46121</v>
      </c>
      <c r="E295" s="8" t="s">
        <v>8</v>
      </c>
      <c r="F295" s="6" t="s">
        <v>746</v>
      </c>
      <c r="G295" s="8">
        <v>300695</v>
      </c>
      <c r="H295" s="8" t="s">
        <v>749</v>
      </c>
      <c r="I295" s="5" t="s">
        <v>748</v>
      </c>
      <c r="J295" s="5">
        <v>0.71</v>
      </c>
      <c r="K295" s="16">
        <v>1000</v>
      </c>
      <c r="L295" s="10" t="s">
        <v>747</v>
      </c>
      <c r="M295" s="20">
        <f t="shared" si="4"/>
        <v>710</v>
      </c>
    </row>
    <row r="296" spans="2:13" x14ac:dyDescent="0.25">
      <c r="B296" s="18" t="s">
        <v>836</v>
      </c>
      <c r="C296" s="18">
        <v>1</v>
      </c>
      <c r="D296" s="27">
        <v>46121</v>
      </c>
      <c r="E296" s="8" t="s">
        <v>8</v>
      </c>
      <c r="F296" s="6" t="s">
        <v>799</v>
      </c>
      <c r="G296" s="8">
        <v>300029</v>
      </c>
      <c r="H296" s="8" t="s">
        <v>800</v>
      </c>
      <c r="I296" s="5" t="s">
        <v>801</v>
      </c>
      <c r="J296" s="5">
        <v>0.34620000000000001</v>
      </c>
      <c r="K296" s="16">
        <v>1000</v>
      </c>
      <c r="L296" s="10"/>
      <c r="M296" s="20">
        <f t="shared" si="4"/>
        <v>346.2</v>
      </c>
    </row>
    <row r="297" spans="2:13" x14ac:dyDescent="0.25">
      <c r="B297" s="18" t="s">
        <v>838</v>
      </c>
      <c r="C297" s="18">
        <v>1</v>
      </c>
      <c r="D297" s="27">
        <v>46121</v>
      </c>
      <c r="E297" s="8" t="s">
        <v>8</v>
      </c>
      <c r="F297" s="6" t="s">
        <v>803</v>
      </c>
      <c r="G297" s="8">
        <v>400095</v>
      </c>
      <c r="H297" s="8" t="s">
        <v>804</v>
      </c>
      <c r="I297" s="5" t="s">
        <v>805</v>
      </c>
      <c r="J297" s="5">
        <v>0.3231</v>
      </c>
      <c r="K297" s="16">
        <v>1500</v>
      </c>
      <c r="L297" s="10"/>
      <c r="M297" s="20">
        <f t="shared" si="4"/>
        <v>484.65</v>
      </c>
    </row>
    <row r="298" spans="2:13" x14ac:dyDescent="0.25">
      <c r="B298" s="18" t="s">
        <v>841</v>
      </c>
      <c r="C298" s="18">
        <v>1</v>
      </c>
      <c r="D298" s="27">
        <v>46121</v>
      </c>
      <c r="E298" s="8" t="s">
        <v>8</v>
      </c>
      <c r="F298" s="6" t="s">
        <v>816</v>
      </c>
      <c r="G298" s="8">
        <v>300837</v>
      </c>
      <c r="H298" s="8" t="s">
        <v>822</v>
      </c>
      <c r="I298" s="5" t="s">
        <v>817</v>
      </c>
      <c r="J298" s="5">
        <v>1.2218</v>
      </c>
      <c r="K298" s="16">
        <v>200</v>
      </c>
      <c r="L298" s="10"/>
      <c r="M298" s="20">
        <f t="shared" si="4"/>
        <v>244.36</v>
      </c>
    </row>
    <row r="299" spans="2:13" x14ac:dyDescent="0.25">
      <c r="B299" s="18" t="s">
        <v>845</v>
      </c>
      <c r="C299" s="18">
        <v>1</v>
      </c>
      <c r="D299" s="27">
        <v>46121</v>
      </c>
      <c r="E299" s="8" t="s">
        <v>8</v>
      </c>
      <c r="F299" s="6" t="s">
        <v>797</v>
      </c>
      <c r="G299" s="8">
        <v>401626</v>
      </c>
      <c r="H299" s="8" t="s">
        <v>809</v>
      </c>
      <c r="I299" s="5" t="s">
        <v>798</v>
      </c>
      <c r="J299" s="5">
        <v>0.86380000000000001</v>
      </c>
      <c r="K299" s="16">
        <v>600</v>
      </c>
      <c r="L299" s="10"/>
      <c r="M299" s="20">
        <f t="shared" si="4"/>
        <v>518.28</v>
      </c>
    </row>
    <row r="300" spans="2:13" x14ac:dyDescent="0.25">
      <c r="B300" s="18" t="s">
        <v>876</v>
      </c>
      <c r="C300" s="18">
        <v>1</v>
      </c>
      <c r="D300" s="27">
        <v>46121</v>
      </c>
      <c r="E300" s="8" t="s">
        <v>8</v>
      </c>
      <c r="F300" s="6" t="s">
        <v>855</v>
      </c>
      <c r="G300" s="8">
        <v>100303</v>
      </c>
      <c r="H300" s="8" t="s">
        <v>860</v>
      </c>
      <c r="I300" s="5" t="s">
        <v>878</v>
      </c>
      <c r="J300" s="5">
        <v>0.19550000000000001</v>
      </c>
      <c r="K300" s="16">
        <v>400</v>
      </c>
      <c r="L300" s="10" t="s">
        <v>877</v>
      </c>
      <c r="M300" s="20">
        <f t="shared" si="4"/>
        <v>78.2</v>
      </c>
    </row>
    <row r="301" spans="2:13" x14ac:dyDescent="0.25">
      <c r="B301" s="49" t="s">
        <v>872</v>
      </c>
      <c r="C301" s="49">
        <v>1</v>
      </c>
      <c r="D301" s="44">
        <v>46142</v>
      </c>
      <c r="E301" s="46" t="s">
        <v>8</v>
      </c>
      <c r="F301" s="1" t="s">
        <v>852</v>
      </c>
      <c r="G301" s="46">
        <v>900009</v>
      </c>
      <c r="H301" s="46" t="s">
        <v>858</v>
      </c>
      <c r="I301" s="47" t="s">
        <v>853</v>
      </c>
      <c r="J301" s="47">
        <v>0.26900000000000002</v>
      </c>
      <c r="K301" s="48">
        <v>1000</v>
      </c>
      <c r="L301" s="19" t="s">
        <v>957</v>
      </c>
      <c r="M301" s="20">
        <f t="shared" si="4"/>
        <v>269</v>
      </c>
    </row>
    <row r="302" spans="2:13" x14ac:dyDescent="0.25">
      <c r="B302" s="108" t="s">
        <v>750</v>
      </c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</row>
    <row r="303" spans="2:13" x14ac:dyDescent="0.25">
      <c r="B303" s="18" t="s">
        <v>751</v>
      </c>
      <c r="C303" s="18">
        <v>1</v>
      </c>
      <c r="D303" s="27">
        <v>46142</v>
      </c>
      <c r="E303" s="8" t="s">
        <v>8</v>
      </c>
      <c r="F303" s="6" t="s">
        <v>707</v>
      </c>
      <c r="G303" s="8">
        <v>100055</v>
      </c>
      <c r="H303" s="8" t="s">
        <v>708</v>
      </c>
      <c r="I303" s="5" t="s">
        <v>709</v>
      </c>
      <c r="J303" s="5">
        <v>0.18410000000000001</v>
      </c>
      <c r="K303" s="16">
        <v>1500</v>
      </c>
      <c r="L303" s="10"/>
      <c r="M303" s="20">
        <f t="shared" si="4"/>
        <v>276.15000000000003</v>
      </c>
    </row>
    <row r="304" spans="2:13" x14ac:dyDescent="0.25">
      <c r="B304" s="18" t="s">
        <v>751</v>
      </c>
      <c r="C304" s="18">
        <v>2</v>
      </c>
      <c r="D304" s="27">
        <v>46142</v>
      </c>
      <c r="E304" s="8" t="s">
        <v>8</v>
      </c>
      <c r="F304" s="6" t="s">
        <v>707</v>
      </c>
      <c r="G304" s="8">
        <v>200058</v>
      </c>
      <c r="H304" s="8" t="s">
        <v>86</v>
      </c>
      <c r="I304" s="5" t="s">
        <v>87</v>
      </c>
      <c r="J304" s="5">
        <v>0.1615</v>
      </c>
      <c r="K304" s="16">
        <v>5000</v>
      </c>
      <c r="L304" s="10"/>
      <c r="M304" s="20">
        <f t="shared" si="4"/>
        <v>807.5</v>
      </c>
    </row>
    <row r="305" spans="2:13" x14ac:dyDescent="0.25">
      <c r="B305" s="18" t="s">
        <v>751</v>
      </c>
      <c r="C305" s="18">
        <v>3</v>
      </c>
      <c r="D305" s="27">
        <v>46142</v>
      </c>
      <c r="E305" s="8" t="s">
        <v>8</v>
      </c>
      <c r="F305" s="6" t="s">
        <v>707</v>
      </c>
      <c r="G305" s="8">
        <v>200201</v>
      </c>
      <c r="H305" s="8" t="s">
        <v>96</v>
      </c>
      <c r="I305" s="5" t="s">
        <v>97</v>
      </c>
      <c r="J305" s="5">
        <v>0.22969999999999999</v>
      </c>
      <c r="K305" s="16">
        <v>2500</v>
      </c>
      <c r="L305" s="10"/>
      <c r="M305" s="20">
        <f t="shared" si="4"/>
        <v>574.25</v>
      </c>
    </row>
    <row r="306" spans="2:13" x14ac:dyDescent="0.25">
      <c r="B306" s="18" t="s">
        <v>751</v>
      </c>
      <c r="C306" s="18">
        <v>4</v>
      </c>
      <c r="D306" s="27">
        <v>46142</v>
      </c>
      <c r="E306" s="8" t="s">
        <v>8</v>
      </c>
      <c r="F306" s="6" t="s">
        <v>707</v>
      </c>
      <c r="G306" s="8">
        <v>300694</v>
      </c>
      <c r="H306" s="8" t="s">
        <v>714</v>
      </c>
      <c r="I306" s="5" t="s">
        <v>715</v>
      </c>
      <c r="J306" s="5">
        <v>0.52</v>
      </c>
      <c r="K306" s="16">
        <v>500</v>
      </c>
      <c r="L306" s="10"/>
      <c r="M306" s="20">
        <f t="shared" si="4"/>
        <v>260</v>
      </c>
    </row>
    <row r="307" spans="2:13" x14ac:dyDescent="0.25">
      <c r="B307" s="18" t="s">
        <v>751</v>
      </c>
      <c r="C307" s="18">
        <v>5</v>
      </c>
      <c r="D307" s="27">
        <v>46142</v>
      </c>
      <c r="E307" s="8" t="s">
        <v>8</v>
      </c>
      <c r="F307" s="6" t="s">
        <v>707</v>
      </c>
      <c r="G307" s="8">
        <v>400008</v>
      </c>
      <c r="H307" s="8" t="s">
        <v>710</v>
      </c>
      <c r="I307" s="5" t="s">
        <v>711</v>
      </c>
      <c r="J307" s="5">
        <v>0.21279999999999999</v>
      </c>
      <c r="K307" s="16">
        <v>10000</v>
      </c>
      <c r="L307" s="10"/>
      <c r="M307" s="20">
        <f t="shared" si="4"/>
        <v>2128</v>
      </c>
    </row>
    <row r="308" spans="2:13" x14ac:dyDescent="0.25">
      <c r="B308" s="18" t="s">
        <v>751</v>
      </c>
      <c r="C308" s="18">
        <v>6</v>
      </c>
      <c r="D308" s="27">
        <v>46142</v>
      </c>
      <c r="E308" s="8" t="s">
        <v>8</v>
      </c>
      <c r="F308" s="6" t="s">
        <v>707</v>
      </c>
      <c r="G308" s="8">
        <v>400027</v>
      </c>
      <c r="H308" s="8" t="s">
        <v>712</v>
      </c>
      <c r="I308" s="5" t="s">
        <v>713</v>
      </c>
      <c r="J308" s="5">
        <v>0.3231</v>
      </c>
      <c r="K308" s="16">
        <v>4000</v>
      </c>
      <c r="L308" s="10"/>
      <c r="M308" s="20">
        <f t="shared" si="4"/>
        <v>1292.4000000000001</v>
      </c>
    </row>
    <row r="309" spans="2:13" x14ac:dyDescent="0.25">
      <c r="B309" s="18" t="s">
        <v>751</v>
      </c>
      <c r="C309" s="18">
        <v>7</v>
      </c>
      <c r="D309" s="27">
        <v>46142</v>
      </c>
      <c r="E309" s="8" t="s">
        <v>8</v>
      </c>
      <c r="F309" s="6" t="s">
        <v>707</v>
      </c>
      <c r="G309" s="8">
        <v>500003</v>
      </c>
      <c r="H309" s="8" t="s">
        <v>602</v>
      </c>
      <c r="I309" s="5" t="s">
        <v>603</v>
      </c>
      <c r="J309" s="5">
        <v>0.27810000000000001</v>
      </c>
      <c r="K309" s="16">
        <v>1200</v>
      </c>
      <c r="L309" s="10"/>
      <c r="M309" s="20">
        <f t="shared" si="4"/>
        <v>333.72</v>
      </c>
    </row>
    <row r="310" spans="2:13" x14ac:dyDescent="0.25">
      <c r="B310" s="18" t="s">
        <v>751</v>
      </c>
      <c r="C310" s="18">
        <v>8</v>
      </c>
      <c r="D310" s="27">
        <v>46142</v>
      </c>
      <c r="E310" s="8" t="s">
        <v>8</v>
      </c>
      <c r="F310" s="6" t="s">
        <v>707</v>
      </c>
      <c r="G310" s="8">
        <v>600285</v>
      </c>
      <c r="H310" s="8" t="s">
        <v>215</v>
      </c>
      <c r="I310" s="5" t="s">
        <v>169</v>
      </c>
      <c r="J310" s="5">
        <v>0.22270000000000001</v>
      </c>
      <c r="K310" s="16">
        <v>3500</v>
      </c>
      <c r="L310" s="10"/>
      <c r="M310" s="20">
        <f t="shared" si="4"/>
        <v>779.45</v>
      </c>
    </row>
    <row r="311" spans="2:13" x14ac:dyDescent="0.25">
      <c r="B311" s="18" t="s">
        <v>778</v>
      </c>
      <c r="C311" s="18">
        <v>1</v>
      </c>
      <c r="D311" s="27">
        <v>46142</v>
      </c>
      <c r="E311" s="8" t="s">
        <v>8</v>
      </c>
      <c r="F311" s="6" t="s">
        <v>770</v>
      </c>
      <c r="G311" s="8">
        <v>100361</v>
      </c>
      <c r="H311" s="8" t="s">
        <v>771</v>
      </c>
      <c r="I311" s="5" t="s">
        <v>772</v>
      </c>
      <c r="J311" s="5">
        <v>0.21590000000000001</v>
      </c>
      <c r="K311" s="16">
        <v>4000</v>
      </c>
      <c r="L311" s="10"/>
      <c r="M311" s="20">
        <f t="shared" si="4"/>
        <v>863.6</v>
      </c>
    </row>
    <row r="312" spans="2:13" x14ac:dyDescent="0.25">
      <c r="B312" s="18" t="s">
        <v>842</v>
      </c>
      <c r="C312" s="18">
        <v>1</v>
      </c>
      <c r="D312" s="27">
        <v>46142</v>
      </c>
      <c r="E312" s="8" t="s">
        <v>8</v>
      </c>
      <c r="F312" s="6" t="s">
        <v>811</v>
      </c>
      <c r="G312" s="8">
        <v>400644</v>
      </c>
      <c r="H312" s="8" t="s">
        <v>50</v>
      </c>
      <c r="I312" s="5" t="s">
        <v>52</v>
      </c>
      <c r="J312" s="5">
        <v>0.19</v>
      </c>
      <c r="K312" s="16">
        <v>2500</v>
      </c>
      <c r="L312" s="10"/>
      <c r="M312" s="20">
        <f t="shared" si="4"/>
        <v>475</v>
      </c>
    </row>
    <row r="313" spans="2:13" x14ac:dyDescent="0.25">
      <c r="B313" s="18" t="s">
        <v>843</v>
      </c>
      <c r="C313" s="18">
        <v>1</v>
      </c>
      <c r="D313" s="27">
        <v>46142</v>
      </c>
      <c r="E313" s="8" t="s">
        <v>8</v>
      </c>
      <c r="F313" s="6" t="s">
        <v>790</v>
      </c>
      <c r="G313" s="8">
        <v>100002</v>
      </c>
      <c r="H313" s="8" t="s">
        <v>243</v>
      </c>
      <c r="I313" s="5" t="s">
        <v>179</v>
      </c>
      <c r="J313" s="5">
        <v>0.18659999999999999</v>
      </c>
      <c r="K313" s="16">
        <v>500</v>
      </c>
      <c r="L313" s="10"/>
      <c r="M313" s="20">
        <f t="shared" si="4"/>
        <v>93.3</v>
      </c>
    </row>
    <row r="314" spans="2:13" x14ac:dyDescent="0.25">
      <c r="B314" s="18" t="s">
        <v>844</v>
      </c>
      <c r="C314" s="18">
        <v>1</v>
      </c>
      <c r="D314" s="27">
        <v>46142</v>
      </c>
      <c r="E314" s="8" t="s">
        <v>8</v>
      </c>
      <c r="F314" s="6" t="s">
        <v>794</v>
      </c>
      <c r="G314" s="8">
        <v>100055</v>
      </c>
      <c r="H314" s="8" t="s">
        <v>708</v>
      </c>
      <c r="I314" s="5" t="s">
        <v>709</v>
      </c>
      <c r="J314" s="5">
        <v>0.18410000000000001</v>
      </c>
      <c r="K314" s="16">
        <v>6000</v>
      </c>
      <c r="L314" s="10" t="s">
        <v>795</v>
      </c>
      <c r="M314" s="20">
        <f t="shared" si="4"/>
        <v>1104.6000000000001</v>
      </c>
    </row>
    <row r="315" spans="2:13" x14ac:dyDescent="0.25">
      <c r="B315" s="49" t="s">
        <v>872</v>
      </c>
      <c r="C315" s="49">
        <v>1</v>
      </c>
      <c r="D315" s="44">
        <v>46142</v>
      </c>
      <c r="E315" s="46" t="s">
        <v>8</v>
      </c>
      <c r="F315" s="1" t="s">
        <v>852</v>
      </c>
      <c r="G315" s="46">
        <v>900009</v>
      </c>
      <c r="H315" s="46" t="s">
        <v>858</v>
      </c>
      <c r="I315" s="47" t="s">
        <v>853</v>
      </c>
      <c r="J315" s="47">
        <v>0.26900000000000002</v>
      </c>
      <c r="K315" s="48">
        <f>2000-1000</f>
        <v>1000</v>
      </c>
      <c r="L315" s="19" t="s">
        <v>958</v>
      </c>
      <c r="M315" s="20">
        <f t="shared" si="4"/>
        <v>269</v>
      </c>
    </row>
    <row r="316" spans="2:13" x14ac:dyDescent="0.25">
      <c r="B316" s="18" t="s">
        <v>873</v>
      </c>
      <c r="C316" s="18">
        <v>1</v>
      </c>
      <c r="D316" s="27">
        <v>46142</v>
      </c>
      <c r="E316" s="8" t="s">
        <v>8</v>
      </c>
      <c r="F316" s="6" t="s">
        <v>854</v>
      </c>
      <c r="G316" s="8">
        <v>600003</v>
      </c>
      <c r="H316" s="8" t="s">
        <v>859</v>
      </c>
      <c r="I316" s="5" t="s">
        <v>875</v>
      </c>
      <c r="J316" s="5">
        <v>0.41149999999999998</v>
      </c>
      <c r="K316" s="16">
        <v>10000</v>
      </c>
      <c r="L316" s="10" t="s">
        <v>874</v>
      </c>
      <c r="M316" s="20">
        <f t="shared" si="4"/>
        <v>4115</v>
      </c>
    </row>
    <row r="317" spans="2:13" x14ac:dyDescent="0.25">
      <c r="B317" s="18" t="s">
        <v>880</v>
      </c>
      <c r="C317" s="18">
        <v>1</v>
      </c>
      <c r="D317" s="27">
        <v>46142</v>
      </c>
      <c r="E317" s="8" t="s">
        <v>8</v>
      </c>
      <c r="F317" s="6" t="s">
        <v>861</v>
      </c>
      <c r="G317" s="8">
        <v>100018</v>
      </c>
      <c r="H317" s="5" t="s">
        <v>43</v>
      </c>
      <c r="I317" s="8" t="s">
        <v>46</v>
      </c>
      <c r="J317" s="5">
        <v>0.21540000000000001</v>
      </c>
      <c r="K317" s="16">
        <v>2000</v>
      </c>
      <c r="L317" s="10"/>
      <c r="M317" s="20">
        <f t="shared" si="4"/>
        <v>430.8</v>
      </c>
    </row>
    <row r="318" spans="2:13" x14ac:dyDescent="0.25">
      <c r="B318" s="18" t="s">
        <v>880</v>
      </c>
      <c r="C318" s="18">
        <v>2</v>
      </c>
      <c r="D318" s="27">
        <v>46142</v>
      </c>
      <c r="E318" s="8" t="s">
        <v>8</v>
      </c>
      <c r="F318" s="6" t="s">
        <v>861</v>
      </c>
      <c r="G318" s="8">
        <v>200057</v>
      </c>
      <c r="H318" s="5" t="s">
        <v>266</v>
      </c>
      <c r="I318" s="8" t="s">
        <v>267</v>
      </c>
      <c r="J318" s="5">
        <v>0.28179999999999999</v>
      </c>
      <c r="K318" s="16">
        <v>1000</v>
      </c>
      <c r="L318" s="10"/>
      <c r="M318" s="20">
        <f t="shared" si="4"/>
        <v>281.8</v>
      </c>
    </row>
    <row r="319" spans="2:13" x14ac:dyDescent="0.25">
      <c r="B319" s="18" t="s">
        <v>880</v>
      </c>
      <c r="C319" s="18">
        <v>3</v>
      </c>
      <c r="D319" s="27">
        <v>46142</v>
      </c>
      <c r="E319" s="8" t="s">
        <v>8</v>
      </c>
      <c r="F319" s="6" t="s">
        <v>861</v>
      </c>
      <c r="G319" s="8">
        <v>200112</v>
      </c>
      <c r="H319" s="8" t="s">
        <v>879</v>
      </c>
      <c r="I319" s="5" t="s">
        <v>862</v>
      </c>
      <c r="J319" s="5">
        <v>0.5111</v>
      </c>
      <c r="K319" s="16">
        <v>1000</v>
      </c>
      <c r="L319" s="10"/>
      <c r="M319" s="20">
        <f t="shared" si="4"/>
        <v>511.1</v>
      </c>
    </row>
    <row r="320" spans="2:13" x14ac:dyDescent="0.25">
      <c r="B320" s="18" t="s">
        <v>881</v>
      </c>
      <c r="C320" s="18">
        <v>2</v>
      </c>
      <c r="D320" s="27">
        <v>46142</v>
      </c>
      <c r="E320" s="8" t="s">
        <v>8</v>
      </c>
      <c r="F320" s="6" t="s">
        <v>869</v>
      </c>
      <c r="G320" s="8">
        <v>401586</v>
      </c>
      <c r="H320" s="8" t="s">
        <v>575</v>
      </c>
      <c r="I320" s="5" t="s">
        <v>576</v>
      </c>
      <c r="J320" s="5">
        <v>0.58460000000000001</v>
      </c>
      <c r="K320" s="16">
        <v>625</v>
      </c>
      <c r="L320" s="10"/>
      <c r="M320" s="20">
        <f t="shared" si="4"/>
        <v>365.375</v>
      </c>
    </row>
    <row r="321" spans="2:13" x14ac:dyDescent="0.25">
      <c r="B321" s="18" t="s">
        <v>882</v>
      </c>
      <c r="C321" s="18">
        <v>1</v>
      </c>
      <c r="D321" s="27">
        <v>46142</v>
      </c>
      <c r="E321" s="8" t="s">
        <v>8</v>
      </c>
      <c r="F321" s="6" t="s">
        <v>863</v>
      </c>
      <c r="G321" s="8">
        <v>700413</v>
      </c>
      <c r="H321" s="8" t="s">
        <v>868</v>
      </c>
      <c r="I321" s="5" t="s">
        <v>864</v>
      </c>
      <c r="J321" s="5">
        <v>0.22189999999999999</v>
      </c>
      <c r="K321" s="16">
        <v>3000</v>
      </c>
      <c r="L321" s="10" t="s">
        <v>865</v>
      </c>
      <c r="M321" s="20">
        <f t="shared" si="4"/>
        <v>665.69999999999993</v>
      </c>
    </row>
    <row r="322" spans="2:13" x14ac:dyDescent="0.25">
      <c r="B322" s="18"/>
      <c r="C322" s="18"/>
      <c r="D322" s="27"/>
      <c r="E322" s="8" t="s">
        <v>8</v>
      </c>
      <c r="F322" s="6" t="s">
        <v>863</v>
      </c>
      <c r="G322" s="8" t="s">
        <v>867</v>
      </c>
      <c r="H322" s="8"/>
      <c r="I322" s="5" t="s">
        <v>866</v>
      </c>
      <c r="J322" s="5">
        <v>750</v>
      </c>
      <c r="K322" s="16">
        <v>1</v>
      </c>
      <c r="L322" s="8"/>
      <c r="M322" s="20">
        <f t="shared" si="4"/>
        <v>750</v>
      </c>
    </row>
    <row r="323" spans="2:13" x14ac:dyDescent="0.25">
      <c r="B323" s="18" t="s">
        <v>923</v>
      </c>
      <c r="C323" s="18">
        <v>2</v>
      </c>
      <c r="D323" s="27">
        <v>46142</v>
      </c>
      <c r="E323" s="8" t="s">
        <v>8</v>
      </c>
      <c r="F323" s="6" t="s">
        <v>791</v>
      </c>
      <c r="G323" s="8">
        <v>200042</v>
      </c>
      <c r="H323" s="8" t="s">
        <v>820</v>
      </c>
      <c r="I323" s="5" t="s">
        <v>792</v>
      </c>
      <c r="J323" s="5">
        <v>0.55940000000000001</v>
      </c>
      <c r="K323" s="16">
        <v>2000</v>
      </c>
      <c r="L323" s="8"/>
      <c r="M323" s="20">
        <f t="shared" si="4"/>
        <v>1118.8</v>
      </c>
    </row>
    <row r="324" spans="2:13" x14ac:dyDescent="0.25">
      <c r="B324" s="18" t="s">
        <v>923</v>
      </c>
      <c r="C324" s="18">
        <v>3</v>
      </c>
      <c r="D324" s="27">
        <v>46142</v>
      </c>
      <c r="E324" s="8" t="s">
        <v>8</v>
      </c>
      <c r="F324" s="6" t="s">
        <v>791</v>
      </c>
      <c r="G324" s="8">
        <v>201337</v>
      </c>
      <c r="H324" s="8" t="s">
        <v>821</v>
      </c>
      <c r="I324" s="5" t="s">
        <v>793</v>
      </c>
      <c r="J324" s="5">
        <v>0.20480000000000001</v>
      </c>
      <c r="K324" s="16">
        <v>1500</v>
      </c>
      <c r="L324" s="8"/>
      <c r="M324" s="20">
        <f t="shared" si="4"/>
        <v>307.2</v>
      </c>
    </row>
    <row r="325" spans="2:13" x14ac:dyDescent="0.25">
      <c r="B325" s="18" t="s">
        <v>924</v>
      </c>
      <c r="C325" s="18">
        <v>1</v>
      </c>
      <c r="D325" s="27">
        <v>46142</v>
      </c>
      <c r="E325" s="8" t="s">
        <v>8</v>
      </c>
      <c r="F325" s="6" t="s">
        <v>848</v>
      </c>
      <c r="G325" s="8">
        <v>200538</v>
      </c>
      <c r="H325" s="8" t="s">
        <v>849</v>
      </c>
      <c r="I325" s="5" t="s">
        <v>850</v>
      </c>
      <c r="J325" s="5">
        <v>0.25309999999999999</v>
      </c>
      <c r="K325" s="16">
        <v>3000</v>
      </c>
      <c r="L325" s="8"/>
      <c r="M325" s="20">
        <f t="shared" si="4"/>
        <v>759.3</v>
      </c>
    </row>
    <row r="326" spans="2:13" x14ac:dyDescent="0.25">
      <c r="B326" s="18" t="s">
        <v>925</v>
      </c>
      <c r="C326" s="18">
        <v>1</v>
      </c>
      <c r="D326" s="27">
        <v>46142</v>
      </c>
      <c r="E326" s="8" t="s">
        <v>8</v>
      </c>
      <c r="F326" s="6" t="s">
        <v>883</v>
      </c>
      <c r="G326" s="8">
        <v>400941</v>
      </c>
      <c r="H326" s="8" t="s">
        <v>888</v>
      </c>
      <c r="I326" s="5" t="s">
        <v>884</v>
      </c>
      <c r="J326" s="5">
        <v>0.27579999999999999</v>
      </c>
      <c r="K326" s="16">
        <v>2000</v>
      </c>
      <c r="L326" s="8"/>
      <c r="M326" s="20">
        <f t="shared" si="4"/>
        <v>551.6</v>
      </c>
    </row>
    <row r="327" spans="2:13" x14ac:dyDescent="0.25">
      <c r="B327" s="18" t="s">
        <v>926</v>
      </c>
      <c r="C327" s="18">
        <v>1</v>
      </c>
      <c r="D327" s="27">
        <v>46142</v>
      </c>
      <c r="E327" s="8" t="s">
        <v>8</v>
      </c>
      <c r="F327" s="6" t="s">
        <v>885</v>
      </c>
      <c r="G327" s="8">
        <v>200058</v>
      </c>
      <c r="H327" s="8" t="s">
        <v>86</v>
      </c>
      <c r="I327" s="5" t="s">
        <v>87</v>
      </c>
      <c r="J327" s="5">
        <v>0.1615</v>
      </c>
      <c r="K327" s="16">
        <v>5000</v>
      </c>
      <c r="L327" s="8"/>
      <c r="M327" s="20">
        <f t="shared" si="4"/>
        <v>807.5</v>
      </c>
    </row>
    <row r="328" spans="2:13" x14ac:dyDescent="0.25">
      <c r="B328" s="18" t="s">
        <v>926</v>
      </c>
      <c r="C328" s="18">
        <v>2</v>
      </c>
      <c r="D328" s="27">
        <v>46142</v>
      </c>
      <c r="E328" s="8" t="s">
        <v>8</v>
      </c>
      <c r="F328" s="6" t="s">
        <v>885</v>
      </c>
      <c r="G328" s="8">
        <v>200319</v>
      </c>
      <c r="H328" s="8" t="s">
        <v>889</v>
      </c>
      <c r="I328" s="5" t="s">
        <v>886</v>
      </c>
      <c r="J328" s="5">
        <v>0.308</v>
      </c>
      <c r="K328" s="16">
        <v>135</v>
      </c>
      <c r="L328" s="8"/>
      <c r="M328" s="20">
        <f t="shared" si="4"/>
        <v>41.58</v>
      </c>
    </row>
    <row r="329" spans="2:13" x14ac:dyDescent="0.25">
      <c r="B329" s="18" t="s">
        <v>926</v>
      </c>
      <c r="C329" s="18">
        <v>3</v>
      </c>
      <c r="D329" s="27">
        <v>46142</v>
      </c>
      <c r="E329" s="8" t="s">
        <v>8</v>
      </c>
      <c r="F329" s="6" t="s">
        <v>885</v>
      </c>
      <c r="G329" s="8">
        <v>700017</v>
      </c>
      <c r="H329" s="8" t="s">
        <v>233</v>
      </c>
      <c r="I329" s="5" t="s">
        <v>234</v>
      </c>
      <c r="J329" s="5">
        <v>0.1923</v>
      </c>
      <c r="K329" s="16">
        <v>5000</v>
      </c>
      <c r="L329" s="8"/>
      <c r="M329" s="20">
        <f t="shared" si="4"/>
        <v>961.5</v>
      </c>
    </row>
    <row r="330" spans="2:13" x14ac:dyDescent="0.25">
      <c r="B330" s="18" t="s">
        <v>927</v>
      </c>
      <c r="C330" s="18">
        <v>1</v>
      </c>
      <c r="D330" s="27">
        <v>46142</v>
      </c>
      <c r="E330" s="8" t="s">
        <v>8</v>
      </c>
      <c r="F330" s="6" t="s">
        <v>890</v>
      </c>
      <c r="G330" s="8">
        <v>400769</v>
      </c>
      <c r="H330" s="8" t="s">
        <v>307</v>
      </c>
      <c r="I330" s="5" t="s">
        <v>302</v>
      </c>
      <c r="J330" s="5">
        <v>0.125</v>
      </c>
      <c r="K330" s="25">
        <v>1600</v>
      </c>
      <c r="L330" s="10"/>
      <c r="M330" s="20">
        <f t="shared" si="4"/>
        <v>200</v>
      </c>
    </row>
    <row r="331" spans="2:13" x14ac:dyDescent="0.25">
      <c r="B331" s="18" t="s">
        <v>928</v>
      </c>
      <c r="C331" s="18">
        <v>1</v>
      </c>
      <c r="D331" s="27">
        <v>46142</v>
      </c>
      <c r="E331" s="8" t="s">
        <v>8</v>
      </c>
      <c r="F331" s="6" t="s">
        <v>902</v>
      </c>
      <c r="G331" s="8">
        <v>100387</v>
      </c>
      <c r="H331" s="8" t="s">
        <v>909</v>
      </c>
      <c r="I331" s="5" t="s">
        <v>903</v>
      </c>
      <c r="J331" s="5">
        <v>0.46250000000000002</v>
      </c>
      <c r="K331" s="16">
        <v>2000</v>
      </c>
      <c r="L331" s="10" t="s">
        <v>904</v>
      </c>
      <c r="M331" s="20">
        <f t="shared" si="4"/>
        <v>925</v>
      </c>
    </row>
    <row r="332" spans="2:13" x14ac:dyDescent="0.25">
      <c r="B332" s="18" t="s">
        <v>932</v>
      </c>
      <c r="C332" s="18">
        <v>1</v>
      </c>
      <c r="D332" s="27">
        <v>46142</v>
      </c>
      <c r="E332" s="8" t="s">
        <v>8</v>
      </c>
      <c r="F332" s="6" t="s">
        <v>833</v>
      </c>
      <c r="G332" s="8">
        <v>401747</v>
      </c>
      <c r="H332" s="8" t="s">
        <v>835</v>
      </c>
      <c r="I332" s="5" t="s">
        <v>834</v>
      </c>
      <c r="J332" s="5">
        <v>0.18</v>
      </c>
      <c r="K332" s="16">
        <v>600</v>
      </c>
      <c r="L332" s="8"/>
      <c r="M332" s="20">
        <f t="shared" si="4"/>
        <v>108</v>
      </c>
    </row>
    <row r="333" spans="2:13" x14ac:dyDescent="0.25">
      <c r="B333" s="18" t="s">
        <v>933</v>
      </c>
      <c r="C333" s="18">
        <v>1</v>
      </c>
      <c r="D333" s="27">
        <v>46142</v>
      </c>
      <c r="E333" s="8" t="s">
        <v>8</v>
      </c>
      <c r="F333" s="6" t="s">
        <v>891</v>
      </c>
      <c r="G333" s="8">
        <v>700027</v>
      </c>
      <c r="H333" s="8" t="s">
        <v>625</v>
      </c>
      <c r="I333" s="5" t="s">
        <v>626</v>
      </c>
      <c r="J333" s="5">
        <v>0.2041</v>
      </c>
      <c r="K333" s="16">
        <v>200</v>
      </c>
      <c r="L333" s="10"/>
      <c r="M333" s="20">
        <f t="shared" si="4"/>
        <v>40.82</v>
      </c>
    </row>
    <row r="334" spans="2:13" x14ac:dyDescent="0.25">
      <c r="B334" s="18" t="s">
        <v>934</v>
      </c>
      <c r="C334" s="18">
        <v>1</v>
      </c>
      <c r="D334" s="27">
        <v>46142</v>
      </c>
      <c r="E334" s="8" t="s">
        <v>8</v>
      </c>
      <c r="F334" s="6" t="s">
        <v>892</v>
      </c>
      <c r="G334" s="8">
        <v>201196</v>
      </c>
      <c r="H334" s="8" t="s">
        <v>895</v>
      </c>
      <c r="I334" s="5" t="s">
        <v>896</v>
      </c>
      <c r="J334" s="5">
        <v>0.22489999999999999</v>
      </c>
      <c r="K334" s="16">
        <v>8810</v>
      </c>
      <c r="L334" s="8"/>
      <c r="M334" s="20">
        <f t="shared" si="4"/>
        <v>1981.3689999999999</v>
      </c>
    </row>
    <row r="335" spans="2:13" x14ac:dyDescent="0.25">
      <c r="B335" s="18" t="s">
        <v>935</v>
      </c>
      <c r="C335" s="18">
        <v>1</v>
      </c>
      <c r="D335" s="27">
        <v>46142</v>
      </c>
      <c r="E335" s="8" t="s">
        <v>8</v>
      </c>
      <c r="F335" s="6" t="s">
        <v>897</v>
      </c>
      <c r="G335" s="8">
        <v>401673</v>
      </c>
      <c r="H335" s="8" t="s">
        <v>899</v>
      </c>
      <c r="I335" s="5" t="s">
        <v>898</v>
      </c>
      <c r="J335" s="5">
        <v>0.28000000000000003</v>
      </c>
      <c r="K335" s="16">
        <v>1500</v>
      </c>
      <c r="L335" s="8"/>
      <c r="M335" s="20">
        <f t="shared" si="4"/>
        <v>420.00000000000006</v>
      </c>
    </row>
    <row r="336" spans="2:13" x14ac:dyDescent="0.25">
      <c r="B336" s="18" t="s">
        <v>936</v>
      </c>
      <c r="C336" s="18">
        <v>2</v>
      </c>
      <c r="D336" s="27">
        <v>46142</v>
      </c>
      <c r="E336" s="8" t="s">
        <v>8</v>
      </c>
      <c r="F336" s="6" t="s">
        <v>900</v>
      </c>
      <c r="G336" s="8">
        <v>100319</v>
      </c>
      <c r="H336" s="8" t="s">
        <v>908</v>
      </c>
      <c r="I336" s="5" t="s">
        <v>901</v>
      </c>
      <c r="J336" s="5">
        <v>0.35489999999999999</v>
      </c>
      <c r="K336" s="16">
        <v>800</v>
      </c>
      <c r="L336" s="8"/>
      <c r="M336" s="20">
        <f t="shared" si="4"/>
        <v>283.92</v>
      </c>
    </row>
    <row r="337" spans="2:13" x14ac:dyDescent="0.25">
      <c r="B337" s="18" t="s">
        <v>999</v>
      </c>
      <c r="C337" s="18">
        <v>2</v>
      </c>
      <c r="D337" s="27">
        <v>46142</v>
      </c>
      <c r="E337" s="8" t="s">
        <v>8</v>
      </c>
      <c r="F337" s="6" t="s">
        <v>917</v>
      </c>
      <c r="G337" s="8">
        <v>201265</v>
      </c>
      <c r="H337" s="8" t="s">
        <v>929</v>
      </c>
      <c r="I337" s="5" t="s">
        <v>918</v>
      </c>
      <c r="J337" s="5">
        <v>0.35899999999999999</v>
      </c>
      <c r="K337" s="16">
        <v>200</v>
      </c>
      <c r="L337" s="8"/>
      <c r="M337" s="20">
        <f t="shared" si="4"/>
        <v>71.8</v>
      </c>
    </row>
    <row r="338" spans="2:13" x14ac:dyDescent="0.25">
      <c r="B338" s="18" t="s">
        <v>1001</v>
      </c>
      <c r="C338" s="18">
        <v>1</v>
      </c>
      <c r="D338" s="27">
        <v>46142</v>
      </c>
      <c r="E338" s="8" t="s">
        <v>8</v>
      </c>
      <c r="F338" s="6" t="s">
        <v>911</v>
      </c>
      <c r="G338" s="8">
        <v>401537</v>
      </c>
      <c r="H338" s="8" t="s">
        <v>912</v>
      </c>
      <c r="I338" s="5" t="s">
        <v>913</v>
      </c>
      <c r="J338" s="5">
        <v>0.32419999999999999</v>
      </c>
      <c r="K338" s="16">
        <v>1000</v>
      </c>
      <c r="L338" s="10" t="s">
        <v>914</v>
      </c>
      <c r="M338" s="20">
        <f t="shared" si="4"/>
        <v>324.2</v>
      </c>
    </row>
    <row r="339" spans="2:13" x14ac:dyDescent="0.25">
      <c r="B339" s="18" t="s">
        <v>1003</v>
      </c>
      <c r="C339" s="18">
        <v>2</v>
      </c>
      <c r="D339" s="27">
        <v>46142</v>
      </c>
      <c r="E339" s="8" t="s">
        <v>8</v>
      </c>
      <c r="F339" s="6" t="s">
        <v>937</v>
      </c>
      <c r="G339" s="8">
        <v>200950</v>
      </c>
      <c r="H339" s="8" t="s">
        <v>565</v>
      </c>
      <c r="I339" s="5" t="s">
        <v>566</v>
      </c>
      <c r="J339" s="5">
        <v>0.7077</v>
      </c>
      <c r="K339" s="16">
        <v>300</v>
      </c>
      <c r="L339" s="10"/>
      <c r="M339" s="20">
        <f t="shared" si="4"/>
        <v>212.31</v>
      </c>
    </row>
    <row r="340" spans="2:13" x14ac:dyDescent="0.25">
      <c r="B340" s="18" t="s">
        <v>1004</v>
      </c>
      <c r="C340" s="18">
        <v>1</v>
      </c>
      <c r="D340" s="27">
        <v>46142</v>
      </c>
      <c r="E340" s="8" t="s">
        <v>8</v>
      </c>
      <c r="F340" s="6" t="s">
        <v>944</v>
      </c>
      <c r="G340" s="8">
        <v>100379</v>
      </c>
      <c r="H340" s="8" t="s">
        <v>945</v>
      </c>
      <c r="I340" s="5" t="s">
        <v>946</v>
      </c>
      <c r="J340" s="5">
        <v>0.28460000000000002</v>
      </c>
      <c r="K340" s="16">
        <v>700</v>
      </c>
      <c r="L340" s="10"/>
      <c r="M340" s="20">
        <f t="shared" si="4"/>
        <v>199.22000000000003</v>
      </c>
    </row>
    <row r="341" spans="2:13" x14ac:dyDescent="0.25">
      <c r="B341" s="18" t="s">
        <v>1005</v>
      </c>
      <c r="C341" s="18">
        <v>1</v>
      </c>
      <c r="D341" s="27">
        <v>46142</v>
      </c>
      <c r="E341" s="8" t="s">
        <v>8</v>
      </c>
      <c r="F341" s="6" t="s">
        <v>955</v>
      </c>
      <c r="G341" s="8">
        <v>200293</v>
      </c>
      <c r="H341" s="8" t="s">
        <v>429</v>
      </c>
      <c r="I341" s="5" t="s">
        <v>430</v>
      </c>
      <c r="J341" s="5">
        <v>0.34449999999999997</v>
      </c>
      <c r="K341" s="16">
        <v>2000</v>
      </c>
      <c r="L341" s="10"/>
      <c r="M341" s="20">
        <f t="shared" si="4"/>
        <v>689</v>
      </c>
    </row>
    <row r="342" spans="2:13" x14ac:dyDescent="0.25">
      <c r="B342" s="18" t="s">
        <v>1007</v>
      </c>
      <c r="C342" s="18">
        <v>1</v>
      </c>
      <c r="D342" s="27">
        <v>46142</v>
      </c>
      <c r="E342" s="8" t="s">
        <v>8</v>
      </c>
      <c r="F342" s="6" t="s">
        <v>959</v>
      </c>
      <c r="G342" s="8">
        <v>100666</v>
      </c>
      <c r="H342" s="8" t="s">
        <v>774</v>
      </c>
      <c r="I342" s="5" t="s">
        <v>767</v>
      </c>
      <c r="J342" s="5">
        <v>0.29099999999999998</v>
      </c>
      <c r="K342" s="16">
        <v>2100</v>
      </c>
      <c r="L342" s="10"/>
      <c r="M342" s="20">
        <f t="shared" si="4"/>
        <v>611.09999999999991</v>
      </c>
    </row>
    <row r="343" spans="2:13" x14ac:dyDescent="0.25">
      <c r="B343" s="18" t="s">
        <v>1008</v>
      </c>
      <c r="C343" s="18">
        <v>1</v>
      </c>
      <c r="D343" s="27">
        <v>46142</v>
      </c>
      <c r="E343" s="8" t="s">
        <v>8</v>
      </c>
      <c r="F343" s="6" t="s">
        <v>962</v>
      </c>
      <c r="G343" s="8" t="s">
        <v>963</v>
      </c>
      <c r="H343" s="8" t="s">
        <v>970</v>
      </c>
      <c r="I343" s="5" t="s">
        <v>964</v>
      </c>
      <c r="J343" s="5">
        <v>0.22</v>
      </c>
      <c r="K343" s="16">
        <v>1500</v>
      </c>
      <c r="L343" s="10"/>
      <c r="M343" s="20">
        <f t="shared" si="4"/>
        <v>330</v>
      </c>
    </row>
    <row r="344" spans="2:13" x14ac:dyDescent="0.25">
      <c r="B344" s="18" t="s">
        <v>1011</v>
      </c>
      <c r="C344" s="18">
        <v>1</v>
      </c>
      <c r="D344" s="27">
        <v>46142</v>
      </c>
      <c r="E344" s="8" t="s">
        <v>8</v>
      </c>
      <c r="F344" s="6" t="s">
        <v>972</v>
      </c>
      <c r="G344" s="8">
        <v>400355</v>
      </c>
      <c r="H344" s="5" t="s">
        <v>34</v>
      </c>
      <c r="I344" s="18" t="s">
        <v>33</v>
      </c>
      <c r="J344" s="5">
        <v>0.27250000000000002</v>
      </c>
      <c r="K344" s="16">
        <v>500</v>
      </c>
      <c r="L344" s="10"/>
      <c r="M344" s="20">
        <f t="shared" si="4"/>
        <v>136.25</v>
      </c>
    </row>
    <row r="345" spans="2:13" x14ac:dyDescent="0.25">
      <c r="B345" s="18" t="s">
        <v>1018</v>
      </c>
      <c r="C345" s="18">
        <v>1</v>
      </c>
      <c r="D345" s="27">
        <v>46142</v>
      </c>
      <c r="E345" s="8" t="s">
        <v>8</v>
      </c>
      <c r="F345" s="6" t="s">
        <v>983</v>
      </c>
      <c r="G345" s="8">
        <v>300190</v>
      </c>
      <c r="H345" s="8" t="s">
        <v>988</v>
      </c>
      <c r="I345" s="5" t="s">
        <v>989</v>
      </c>
      <c r="J345" s="5">
        <v>0.38429999999999997</v>
      </c>
      <c r="K345" s="16">
        <v>200</v>
      </c>
      <c r="L345" s="10"/>
      <c r="M345" s="20">
        <f t="shared" si="4"/>
        <v>76.86</v>
      </c>
    </row>
    <row r="346" spans="2:13" x14ac:dyDescent="0.25">
      <c r="B346" s="18"/>
      <c r="C346" s="45"/>
      <c r="D346" s="27"/>
      <c r="E346" s="8"/>
      <c r="F346" s="6"/>
      <c r="G346" s="8"/>
      <c r="H346" s="8"/>
      <c r="I346" s="5"/>
      <c r="J346" s="5"/>
      <c r="K346" s="16"/>
      <c r="L346" s="10"/>
      <c r="M346" s="20">
        <f t="shared" si="4"/>
        <v>0</v>
      </c>
    </row>
    <row r="347" spans="2:13" x14ac:dyDescent="0.25">
      <c r="B347" s="18"/>
      <c r="C347" s="45"/>
      <c r="D347" s="27"/>
      <c r="E347" s="8"/>
      <c r="F347" s="6"/>
      <c r="G347" s="8"/>
      <c r="H347" s="8"/>
      <c r="I347" s="5"/>
      <c r="J347" s="5"/>
      <c r="K347" s="16"/>
      <c r="L347" s="10"/>
      <c r="M347" s="20">
        <f t="shared" si="4"/>
        <v>0</v>
      </c>
    </row>
    <row r="348" spans="2:13" x14ac:dyDescent="0.25">
      <c r="B348" s="18"/>
      <c r="C348" s="45"/>
      <c r="D348" s="27"/>
      <c r="E348" s="8"/>
      <c r="F348" s="6"/>
      <c r="G348" s="8"/>
      <c r="H348" s="8"/>
      <c r="I348" s="5"/>
      <c r="J348" s="5"/>
      <c r="K348" s="16"/>
      <c r="L348" s="10"/>
      <c r="M348" s="20">
        <f t="shared" si="4"/>
        <v>0</v>
      </c>
    </row>
    <row r="349" spans="2:13" x14ac:dyDescent="0.25">
      <c r="B349" s="108" t="s">
        <v>839</v>
      </c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</row>
    <row r="350" spans="2:13" x14ac:dyDescent="0.25">
      <c r="B350" s="18" t="s">
        <v>840</v>
      </c>
      <c r="C350" s="18">
        <v>1</v>
      </c>
      <c r="D350" s="27">
        <v>46156</v>
      </c>
      <c r="E350" s="8" t="s">
        <v>8</v>
      </c>
      <c r="F350" s="6" t="s">
        <v>823</v>
      </c>
      <c r="G350" s="8">
        <v>200380</v>
      </c>
      <c r="H350" s="8" t="s">
        <v>127</v>
      </c>
      <c r="I350" s="97" t="s">
        <v>530</v>
      </c>
      <c r="J350" s="5">
        <v>0.21</v>
      </c>
      <c r="K350" s="16">
        <v>25802</v>
      </c>
      <c r="L350" s="10"/>
      <c r="M350" s="20">
        <f t="shared" si="4"/>
        <v>5418.42</v>
      </c>
    </row>
    <row r="351" spans="2:13" x14ac:dyDescent="0.25">
      <c r="B351" s="18" t="s">
        <v>998</v>
      </c>
      <c r="C351" s="18">
        <v>1</v>
      </c>
      <c r="D351" s="27">
        <v>46156</v>
      </c>
      <c r="E351" s="8" t="s">
        <v>8</v>
      </c>
      <c r="F351" s="6" t="s">
        <v>905</v>
      </c>
      <c r="G351" s="8">
        <v>800017</v>
      </c>
      <c r="H351" s="8" t="s">
        <v>910</v>
      </c>
      <c r="I351" s="5" t="s">
        <v>906</v>
      </c>
      <c r="J351" s="5">
        <v>0.28749999999999998</v>
      </c>
      <c r="K351" s="16">
        <v>3000</v>
      </c>
      <c r="L351" s="10"/>
      <c r="M351" s="20">
        <f t="shared" si="4"/>
        <v>862.49999999999989</v>
      </c>
    </row>
    <row r="352" spans="2:13" x14ac:dyDescent="0.25">
      <c r="B352" s="18" t="s">
        <v>998</v>
      </c>
      <c r="C352" s="18">
        <v>2</v>
      </c>
      <c r="D352" s="27">
        <v>46156</v>
      </c>
      <c r="E352" s="8" t="s">
        <v>8</v>
      </c>
      <c r="F352" s="6" t="s">
        <v>905</v>
      </c>
      <c r="G352" s="8">
        <v>800106</v>
      </c>
      <c r="H352" s="8" t="s">
        <v>102</v>
      </c>
      <c r="I352" s="5" t="s">
        <v>907</v>
      </c>
      <c r="J352" s="5">
        <v>0.27689999999999998</v>
      </c>
      <c r="K352" s="16">
        <v>1500</v>
      </c>
      <c r="L352" s="10"/>
      <c r="M352" s="20">
        <f t="shared" si="4"/>
        <v>415.34999999999997</v>
      </c>
    </row>
    <row r="353" spans="2:13" x14ac:dyDescent="0.25">
      <c r="B353" s="18" t="s">
        <v>1000</v>
      </c>
      <c r="C353" s="18">
        <v>1</v>
      </c>
      <c r="D353" s="27">
        <v>46156</v>
      </c>
      <c r="E353" s="8" t="s">
        <v>8</v>
      </c>
      <c r="F353" s="6" t="s">
        <v>915</v>
      </c>
      <c r="G353" s="8">
        <v>100036</v>
      </c>
      <c r="H353" s="8" t="s">
        <v>130</v>
      </c>
      <c r="I353" s="5" t="s">
        <v>123</v>
      </c>
      <c r="J353" s="5">
        <v>0.31159999999999999</v>
      </c>
      <c r="K353" s="16">
        <v>3000</v>
      </c>
      <c r="L353" s="10"/>
      <c r="M353" s="20">
        <f t="shared" si="4"/>
        <v>934.8</v>
      </c>
    </row>
    <row r="354" spans="2:13" x14ac:dyDescent="0.25">
      <c r="B354" s="18" t="s">
        <v>1000</v>
      </c>
      <c r="C354" s="18">
        <v>2</v>
      </c>
      <c r="D354" s="27">
        <v>46156</v>
      </c>
      <c r="E354" s="8" t="s">
        <v>8</v>
      </c>
      <c r="F354" s="6" t="s">
        <v>915</v>
      </c>
      <c r="G354" s="8">
        <v>101523</v>
      </c>
      <c r="H354" s="8" t="s">
        <v>89</v>
      </c>
      <c r="I354" s="5" t="s">
        <v>69</v>
      </c>
      <c r="J354" s="5">
        <v>0.89710000000000001</v>
      </c>
      <c r="K354" s="16">
        <v>2100</v>
      </c>
      <c r="L354" s="10"/>
      <c r="M354" s="20">
        <f t="shared" si="4"/>
        <v>1883.91</v>
      </c>
    </row>
    <row r="355" spans="2:13" x14ac:dyDescent="0.25">
      <c r="B355" s="18" t="s">
        <v>1000</v>
      </c>
      <c r="C355" s="18">
        <v>3</v>
      </c>
      <c r="D355" s="27">
        <v>46156</v>
      </c>
      <c r="E355" s="8" t="s">
        <v>8</v>
      </c>
      <c r="F355" s="6" t="s">
        <v>915</v>
      </c>
      <c r="G355" s="8">
        <v>200060</v>
      </c>
      <c r="H355" s="8" t="s">
        <v>294</v>
      </c>
      <c r="I355" s="5" t="s">
        <v>293</v>
      </c>
      <c r="J355" s="5">
        <v>0.24110000000000001</v>
      </c>
      <c r="K355" s="16">
        <v>3000</v>
      </c>
      <c r="L355" s="10"/>
      <c r="M355" s="20">
        <f t="shared" si="4"/>
        <v>723.30000000000007</v>
      </c>
    </row>
    <row r="356" spans="2:13" x14ac:dyDescent="0.25">
      <c r="B356" s="18" t="s">
        <v>1000</v>
      </c>
      <c r="C356" s="18">
        <v>4</v>
      </c>
      <c r="D356" s="27">
        <v>46156</v>
      </c>
      <c r="E356" s="8" t="s">
        <v>8</v>
      </c>
      <c r="F356" s="6" t="s">
        <v>915</v>
      </c>
      <c r="G356" s="8">
        <v>200112</v>
      </c>
      <c r="H356" s="8" t="s">
        <v>879</v>
      </c>
      <c r="I356" s="5" t="s">
        <v>862</v>
      </c>
      <c r="J356" s="5">
        <v>0.5111</v>
      </c>
      <c r="K356" s="16">
        <v>1000</v>
      </c>
      <c r="L356" s="10"/>
      <c r="M356" s="20">
        <f t="shared" si="4"/>
        <v>511.1</v>
      </c>
    </row>
    <row r="357" spans="2:13" x14ac:dyDescent="0.25">
      <c r="B357" s="18" t="s">
        <v>1000</v>
      </c>
      <c r="C357" s="18">
        <v>5</v>
      </c>
      <c r="D357" s="27">
        <v>46156</v>
      </c>
      <c r="E357" s="8" t="s">
        <v>8</v>
      </c>
      <c r="F357" s="6" t="s">
        <v>915</v>
      </c>
      <c r="G357" s="8">
        <v>300030</v>
      </c>
      <c r="H357" s="8" t="s">
        <v>922</v>
      </c>
      <c r="I357" s="5" t="s">
        <v>916</v>
      </c>
      <c r="J357" s="5">
        <v>0.37290000000000001</v>
      </c>
      <c r="K357" s="16">
        <v>1000</v>
      </c>
      <c r="L357" s="10"/>
      <c r="M357" s="20">
        <f t="shared" si="4"/>
        <v>372.90000000000003</v>
      </c>
    </row>
    <row r="358" spans="2:13" x14ac:dyDescent="0.25">
      <c r="B358" s="18" t="s">
        <v>1000</v>
      </c>
      <c r="C358" s="18">
        <v>6</v>
      </c>
      <c r="D358" s="27">
        <v>46156</v>
      </c>
      <c r="E358" s="8" t="s">
        <v>8</v>
      </c>
      <c r="F358" s="6" t="s">
        <v>915</v>
      </c>
      <c r="G358" s="8">
        <v>300115</v>
      </c>
      <c r="H358" s="5" t="s">
        <v>607</v>
      </c>
      <c r="I358" s="8" t="s">
        <v>561</v>
      </c>
      <c r="J358" s="5">
        <v>1.0794999999999999</v>
      </c>
      <c r="K358" s="16">
        <v>100</v>
      </c>
      <c r="L358" s="10"/>
      <c r="M358" s="20">
        <f t="shared" si="4"/>
        <v>107.94999999999999</v>
      </c>
    </row>
    <row r="359" spans="2:13" x14ac:dyDescent="0.25">
      <c r="B359" s="18" t="s">
        <v>1000</v>
      </c>
      <c r="C359" s="18">
        <v>7</v>
      </c>
      <c r="D359" s="27">
        <v>46156</v>
      </c>
      <c r="E359" s="8" t="s">
        <v>8</v>
      </c>
      <c r="F359" s="6" t="s">
        <v>915</v>
      </c>
      <c r="G359" s="8">
        <v>400049</v>
      </c>
      <c r="H359" s="8" t="s">
        <v>44</v>
      </c>
      <c r="I359" s="5" t="s">
        <v>47</v>
      </c>
      <c r="J359" s="5">
        <v>0.2077</v>
      </c>
      <c r="K359" s="16">
        <v>1000</v>
      </c>
      <c r="L359" s="10"/>
      <c r="M359" s="20">
        <f t="shared" si="4"/>
        <v>207.7</v>
      </c>
    </row>
    <row r="360" spans="2:13" x14ac:dyDescent="0.25">
      <c r="B360" s="18" t="s">
        <v>1000</v>
      </c>
      <c r="C360" s="18">
        <v>8</v>
      </c>
      <c r="D360" s="27">
        <v>46156</v>
      </c>
      <c r="E360" s="8" t="s">
        <v>8</v>
      </c>
      <c r="F360" s="6" t="s">
        <v>915</v>
      </c>
      <c r="G360" s="8">
        <v>800106</v>
      </c>
      <c r="H360" s="8" t="s">
        <v>102</v>
      </c>
      <c r="I360" s="5" t="s">
        <v>103</v>
      </c>
      <c r="J360" s="5">
        <v>0.27689999999999998</v>
      </c>
      <c r="K360" s="16">
        <v>2000</v>
      </c>
      <c r="L360" s="10"/>
      <c r="M360" s="20">
        <f t="shared" si="4"/>
        <v>553.79999999999995</v>
      </c>
    </row>
    <row r="361" spans="2:13" x14ac:dyDescent="0.25">
      <c r="B361" s="18" t="s">
        <v>1000</v>
      </c>
      <c r="C361" s="18">
        <v>9</v>
      </c>
      <c r="D361" s="27">
        <v>46156</v>
      </c>
      <c r="E361" s="8" t="s">
        <v>8</v>
      </c>
      <c r="F361" s="6" t="s">
        <v>915</v>
      </c>
      <c r="G361" s="8">
        <v>901309</v>
      </c>
      <c r="H361" s="8" t="s">
        <v>488</v>
      </c>
      <c r="I361" s="5" t="s">
        <v>489</v>
      </c>
      <c r="J361" s="5">
        <v>0.28189999999999998</v>
      </c>
      <c r="K361" s="16">
        <v>10000</v>
      </c>
      <c r="L361" s="10"/>
      <c r="M361" s="20">
        <f t="shared" si="4"/>
        <v>2819</v>
      </c>
    </row>
    <row r="362" spans="2:13" x14ac:dyDescent="0.25">
      <c r="B362" s="18" t="s">
        <v>1002</v>
      </c>
      <c r="C362" s="18">
        <v>1</v>
      </c>
      <c r="D362" s="27">
        <v>46156</v>
      </c>
      <c r="E362" s="8" t="s">
        <v>8</v>
      </c>
      <c r="F362" s="6" t="s">
        <v>921</v>
      </c>
      <c r="G362" s="8">
        <v>200673</v>
      </c>
      <c r="H362" s="8" t="s">
        <v>656</v>
      </c>
      <c r="I362" s="5" t="s">
        <v>657</v>
      </c>
      <c r="J362" s="5">
        <v>0.22309999999999999</v>
      </c>
      <c r="K362" s="16">
        <v>15000</v>
      </c>
      <c r="L362" s="10"/>
      <c r="M362" s="20">
        <f t="shared" si="4"/>
        <v>3346.5</v>
      </c>
    </row>
    <row r="363" spans="2:13" x14ac:dyDescent="0.25">
      <c r="B363" s="18" t="s">
        <v>1003</v>
      </c>
      <c r="C363" s="18">
        <v>1</v>
      </c>
      <c r="D363" s="27">
        <v>46156</v>
      </c>
      <c r="E363" s="8" t="s">
        <v>8</v>
      </c>
      <c r="F363" s="6" t="s">
        <v>967</v>
      </c>
      <c r="G363" s="8">
        <v>101537</v>
      </c>
      <c r="H363" s="8" t="s">
        <v>971</v>
      </c>
      <c r="I363" s="5" t="s">
        <v>968</v>
      </c>
      <c r="J363" s="5">
        <v>0.55630000000000002</v>
      </c>
      <c r="K363" s="16">
        <v>1000</v>
      </c>
      <c r="L363" s="10"/>
      <c r="M363" s="20">
        <f t="shared" si="4"/>
        <v>556.30000000000007</v>
      </c>
    </row>
    <row r="364" spans="2:13" x14ac:dyDescent="0.25">
      <c r="B364" s="45"/>
      <c r="C364" s="18">
        <v>2</v>
      </c>
      <c r="D364" s="27"/>
      <c r="E364" s="8" t="s">
        <v>8</v>
      </c>
      <c r="F364" s="6" t="s">
        <v>967</v>
      </c>
      <c r="G364" s="8" t="s">
        <v>943</v>
      </c>
      <c r="H364" s="102" t="s">
        <v>316</v>
      </c>
      <c r="I364" s="5" t="s">
        <v>969</v>
      </c>
      <c r="J364" s="101">
        <v>750</v>
      </c>
      <c r="K364" s="16">
        <v>1</v>
      </c>
      <c r="L364" s="10"/>
      <c r="M364" s="20">
        <f t="shared" si="4"/>
        <v>750</v>
      </c>
    </row>
    <row r="365" spans="2:13" x14ac:dyDescent="0.25">
      <c r="B365" s="18" t="s">
        <v>1006</v>
      </c>
      <c r="C365" s="18">
        <v>1</v>
      </c>
      <c r="D365" s="27">
        <v>46156</v>
      </c>
      <c r="E365" s="8" t="s">
        <v>8</v>
      </c>
      <c r="F365" s="6" t="s">
        <v>956</v>
      </c>
      <c r="G365" s="8">
        <v>201353</v>
      </c>
      <c r="H365" s="8" t="s">
        <v>214</v>
      </c>
      <c r="I365" s="5" t="s">
        <v>168</v>
      </c>
      <c r="J365" s="5">
        <v>0.52280000000000004</v>
      </c>
      <c r="K365" s="16">
        <v>500</v>
      </c>
      <c r="L365" s="10"/>
      <c r="M365" s="20">
        <f t="shared" si="4"/>
        <v>261.40000000000003</v>
      </c>
    </row>
    <row r="366" spans="2:13" x14ac:dyDescent="0.25">
      <c r="B366" s="18" t="s">
        <v>1006</v>
      </c>
      <c r="C366" s="18">
        <v>2</v>
      </c>
      <c r="D366" s="27">
        <v>46156</v>
      </c>
      <c r="E366" s="8" t="s">
        <v>8</v>
      </c>
      <c r="F366" s="6" t="s">
        <v>956</v>
      </c>
      <c r="G366" s="8">
        <v>400939</v>
      </c>
      <c r="H366" s="8" t="s">
        <v>226</v>
      </c>
      <c r="I366" s="5" t="s">
        <v>193</v>
      </c>
      <c r="J366" s="5">
        <v>0.79649999999999999</v>
      </c>
      <c r="K366" s="16">
        <v>300</v>
      </c>
      <c r="L366" s="10"/>
      <c r="M366" s="20">
        <f t="shared" si="4"/>
        <v>238.95</v>
      </c>
    </row>
    <row r="367" spans="2:13" x14ac:dyDescent="0.25">
      <c r="B367" s="18" t="s">
        <v>1006</v>
      </c>
      <c r="C367" s="18">
        <v>3</v>
      </c>
      <c r="D367" s="27">
        <v>46156</v>
      </c>
      <c r="E367" s="8" t="s">
        <v>8</v>
      </c>
      <c r="F367" s="6" t="s">
        <v>956</v>
      </c>
      <c r="G367" s="8">
        <v>500043</v>
      </c>
      <c r="H367" s="8" t="s">
        <v>227</v>
      </c>
      <c r="I367" s="5" t="s">
        <v>224</v>
      </c>
      <c r="J367" s="5">
        <v>0.2792</v>
      </c>
      <c r="K367" s="16">
        <v>1000</v>
      </c>
      <c r="L367" s="10"/>
      <c r="M367" s="20">
        <f t="shared" si="4"/>
        <v>279.2</v>
      </c>
    </row>
    <row r="368" spans="2:13" x14ac:dyDescent="0.25">
      <c r="B368" s="18" t="s">
        <v>1009</v>
      </c>
      <c r="C368" s="18">
        <v>1</v>
      </c>
      <c r="D368" s="27">
        <v>46156</v>
      </c>
      <c r="E368" s="8" t="s">
        <v>8</v>
      </c>
      <c r="F368" s="6" t="s">
        <v>965</v>
      </c>
      <c r="G368" s="8">
        <v>400049</v>
      </c>
      <c r="H368" s="8" t="s">
        <v>44</v>
      </c>
      <c r="I368" s="5" t="s">
        <v>47</v>
      </c>
      <c r="J368" s="5">
        <v>0.2077</v>
      </c>
      <c r="K368" s="16">
        <v>5000</v>
      </c>
      <c r="L368" s="10"/>
      <c r="M368" s="20">
        <f t="shared" si="4"/>
        <v>1038.5</v>
      </c>
    </row>
    <row r="369" spans="2:13" x14ac:dyDescent="0.25">
      <c r="B369" s="18" t="s">
        <v>1010</v>
      </c>
      <c r="C369" s="18">
        <v>1</v>
      </c>
      <c r="D369" s="27">
        <v>46156</v>
      </c>
      <c r="E369" s="8" t="s">
        <v>8</v>
      </c>
      <c r="F369" s="6" t="s">
        <v>966</v>
      </c>
      <c r="G369" s="8">
        <v>700355</v>
      </c>
      <c r="H369" s="5" t="s">
        <v>72</v>
      </c>
      <c r="I369" s="8" t="s">
        <v>71</v>
      </c>
      <c r="J369" s="5">
        <v>0.1923</v>
      </c>
      <c r="K369" s="16">
        <v>4320</v>
      </c>
      <c r="L369" s="10"/>
      <c r="M369" s="20">
        <f t="shared" si="4"/>
        <v>830.73599999999999</v>
      </c>
    </row>
    <row r="370" spans="2:13" x14ac:dyDescent="0.25">
      <c r="B370" s="18" t="s">
        <v>1019</v>
      </c>
      <c r="C370" s="18">
        <v>1</v>
      </c>
      <c r="D370" s="27">
        <v>46156</v>
      </c>
      <c r="E370" s="8" t="s">
        <v>8</v>
      </c>
      <c r="F370" s="6" t="s">
        <v>973</v>
      </c>
      <c r="G370" s="8">
        <v>200154</v>
      </c>
      <c r="H370" s="8" t="s">
        <v>974</v>
      </c>
      <c r="I370" s="5" t="s">
        <v>975</v>
      </c>
      <c r="J370" s="5">
        <v>0.3231</v>
      </c>
      <c r="K370" s="16">
        <v>2000</v>
      </c>
      <c r="L370" s="10"/>
      <c r="M370" s="20">
        <f t="shared" si="4"/>
        <v>646.20000000000005</v>
      </c>
    </row>
    <row r="371" spans="2:13" x14ac:dyDescent="0.25">
      <c r="B371" s="18" t="s">
        <v>1030</v>
      </c>
      <c r="C371" s="18">
        <v>2</v>
      </c>
      <c r="D371" s="27">
        <v>46156</v>
      </c>
      <c r="E371" s="8" t="s">
        <v>8</v>
      </c>
      <c r="F371" s="6" t="s">
        <v>961</v>
      </c>
      <c r="G371" s="8">
        <v>600088</v>
      </c>
      <c r="H371" s="8" t="s">
        <v>298</v>
      </c>
      <c r="I371" s="5" t="s">
        <v>296</v>
      </c>
      <c r="J371" s="5">
        <v>0.57999999999999996</v>
      </c>
      <c r="K371" s="16">
        <v>300</v>
      </c>
      <c r="L371" s="10"/>
      <c r="M371" s="20">
        <f t="shared" si="4"/>
        <v>174</v>
      </c>
    </row>
    <row r="372" spans="2:13" x14ac:dyDescent="0.25">
      <c r="B372" s="18" t="s">
        <v>1032</v>
      </c>
      <c r="C372" s="18">
        <v>1</v>
      </c>
      <c r="D372" s="27">
        <v>46156</v>
      </c>
      <c r="E372" s="8" t="s">
        <v>8</v>
      </c>
      <c r="F372" s="6" t="s">
        <v>980</v>
      </c>
      <c r="G372" s="8">
        <v>200058</v>
      </c>
      <c r="H372" s="8" t="s">
        <v>86</v>
      </c>
      <c r="I372" s="5" t="s">
        <v>87</v>
      </c>
      <c r="J372" s="5">
        <v>0.1615</v>
      </c>
      <c r="K372" s="16">
        <v>7500</v>
      </c>
      <c r="L372" s="10"/>
      <c r="M372" s="20">
        <f t="shared" si="4"/>
        <v>1211.25</v>
      </c>
    </row>
    <row r="373" spans="2:13" x14ac:dyDescent="0.25">
      <c r="B373" s="18" t="s">
        <v>1032</v>
      </c>
      <c r="C373" s="18">
        <v>2</v>
      </c>
      <c r="D373" s="27">
        <v>46156</v>
      </c>
      <c r="E373" s="8" t="s">
        <v>8</v>
      </c>
      <c r="F373" s="6" t="s">
        <v>980</v>
      </c>
      <c r="G373" s="8">
        <v>300002</v>
      </c>
      <c r="H373" s="8" t="s">
        <v>981</v>
      </c>
      <c r="I373" s="5" t="s">
        <v>982</v>
      </c>
      <c r="J373" s="5">
        <v>0.52780000000000005</v>
      </c>
      <c r="K373" s="16">
        <v>900</v>
      </c>
      <c r="L373" s="10"/>
      <c r="M373" s="20">
        <f t="shared" si="4"/>
        <v>475.02000000000004</v>
      </c>
    </row>
    <row r="374" spans="2:13" x14ac:dyDescent="0.25">
      <c r="B374" s="18" t="s">
        <v>1032</v>
      </c>
      <c r="C374" s="18">
        <v>3</v>
      </c>
      <c r="D374" s="27">
        <v>46156</v>
      </c>
      <c r="E374" s="8" t="s">
        <v>8</v>
      </c>
      <c r="F374" s="6" t="s">
        <v>980</v>
      </c>
      <c r="G374" s="8">
        <v>400508</v>
      </c>
      <c r="H374" s="5" t="s">
        <v>48</v>
      </c>
      <c r="I374" s="8" t="s">
        <v>79</v>
      </c>
      <c r="J374" s="5">
        <v>0.43080000000000002</v>
      </c>
      <c r="K374" s="16">
        <v>2000</v>
      </c>
      <c r="L374" s="10"/>
      <c r="M374" s="20">
        <f t="shared" si="4"/>
        <v>861.6</v>
      </c>
    </row>
    <row r="375" spans="2:13" x14ac:dyDescent="0.25">
      <c r="B375" s="18" t="s">
        <v>1032</v>
      </c>
      <c r="C375" s="18">
        <v>4</v>
      </c>
      <c r="D375" s="27">
        <v>46156</v>
      </c>
      <c r="E375" s="8" t="s">
        <v>8</v>
      </c>
      <c r="F375" s="6" t="s">
        <v>980</v>
      </c>
      <c r="G375" s="8">
        <v>600288</v>
      </c>
      <c r="H375" s="5" t="s">
        <v>90</v>
      </c>
      <c r="I375" s="8" t="s">
        <v>68</v>
      </c>
      <c r="J375" s="5">
        <v>0.43049999999999999</v>
      </c>
      <c r="K375" s="16">
        <v>1000</v>
      </c>
      <c r="L375" s="10"/>
      <c r="M375" s="20">
        <f t="shared" si="4"/>
        <v>430.5</v>
      </c>
    </row>
    <row r="376" spans="2:13" x14ac:dyDescent="0.25">
      <c r="B376" s="18" t="s">
        <v>1040</v>
      </c>
      <c r="C376" s="18">
        <v>1</v>
      </c>
      <c r="D376" s="27">
        <v>46156</v>
      </c>
      <c r="E376" s="8" t="s">
        <v>8</v>
      </c>
      <c r="F376" s="6" t="s">
        <v>994</v>
      </c>
      <c r="G376" s="8">
        <v>200201</v>
      </c>
      <c r="H376" s="8" t="s">
        <v>96</v>
      </c>
      <c r="I376" s="5" t="s">
        <v>97</v>
      </c>
      <c r="J376" s="5">
        <v>0.22969999999999999</v>
      </c>
      <c r="K376" s="16">
        <v>3000</v>
      </c>
      <c r="L376" s="10"/>
      <c r="M376" s="20">
        <f t="shared" si="4"/>
        <v>689.09999999999991</v>
      </c>
    </row>
    <row r="377" spans="2:13" x14ac:dyDescent="0.25">
      <c r="B377" s="18" t="s">
        <v>1042</v>
      </c>
      <c r="C377" s="18">
        <v>1</v>
      </c>
      <c r="D377" s="27">
        <v>46156</v>
      </c>
      <c r="E377" s="8" t="s">
        <v>8</v>
      </c>
      <c r="F377" s="6" t="s">
        <v>1013</v>
      </c>
      <c r="G377" s="8">
        <v>200235</v>
      </c>
      <c r="H377" s="8" t="s">
        <v>1017</v>
      </c>
      <c r="I377" s="5" t="s">
        <v>1014</v>
      </c>
      <c r="J377" s="5">
        <v>0.56200000000000006</v>
      </c>
      <c r="K377" s="16">
        <v>240</v>
      </c>
      <c r="L377" s="10"/>
      <c r="M377" s="20">
        <f t="shared" si="4"/>
        <v>134.88000000000002</v>
      </c>
    </row>
    <row r="378" spans="2:13" x14ac:dyDescent="0.25">
      <c r="B378" s="18" t="s">
        <v>1051</v>
      </c>
      <c r="C378" s="18">
        <v>1</v>
      </c>
      <c r="D378" s="27">
        <v>46156</v>
      </c>
      <c r="E378" s="8" t="s">
        <v>8</v>
      </c>
      <c r="F378" s="6" t="s">
        <v>1020</v>
      </c>
      <c r="G378" s="8">
        <v>100025</v>
      </c>
      <c r="H378" s="8" t="s">
        <v>23</v>
      </c>
      <c r="I378" s="5" t="s">
        <v>17</v>
      </c>
      <c r="J378" s="5">
        <v>0.215</v>
      </c>
      <c r="K378" s="16">
        <v>2000</v>
      </c>
      <c r="L378" s="10"/>
      <c r="M378" s="20">
        <f t="shared" si="4"/>
        <v>430</v>
      </c>
    </row>
    <row r="379" spans="2:13" x14ac:dyDescent="0.25">
      <c r="B379" s="18" t="s">
        <v>1051</v>
      </c>
      <c r="C379" s="18">
        <v>3</v>
      </c>
      <c r="D379" s="27">
        <v>46156</v>
      </c>
      <c r="E379" s="8" t="s">
        <v>8</v>
      </c>
      <c r="F379" s="6" t="s">
        <v>1020</v>
      </c>
      <c r="G379" s="8">
        <v>400017</v>
      </c>
      <c r="H379" s="8" t="s">
        <v>118</v>
      </c>
      <c r="I379" s="5" t="s">
        <v>112</v>
      </c>
      <c r="J379" s="5">
        <v>0.15609999999999999</v>
      </c>
      <c r="K379" s="16">
        <v>4000</v>
      </c>
      <c r="L379" s="10"/>
      <c r="M379" s="20">
        <f t="shared" si="4"/>
        <v>624.4</v>
      </c>
    </row>
    <row r="380" spans="2:13" x14ac:dyDescent="0.25">
      <c r="B380" s="18" t="s">
        <v>1051</v>
      </c>
      <c r="C380" s="18">
        <v>4</v>
      </c>
      <c r="D380" s="27">
        <v>46156</v>
      </c>
      <c r="E380" s="8" t="s">
        <v>8</v>
      </c>
      <c r="F380" s="6" t="s">
        <v>1020</v>
      </c>
      <c r="G380" s="8">
        <v>400114</v>
      </c>
      <c r="H380" s="8" t="s">
        <v>491</v>
      </c>
      <c r="I380" s="5" t="s">
        <v>490</v>
      </c>
      <c r="J380" s="5">
        <v>0.218</v>
      </c>
      <c r="K380" s="16">
        <v>2500</v>
      </c>
      <c r="L380" s="10"/>
      <c r="M380" s="20">
        <f t="shared" si="4"/>
        <v>545</v>
      </c>
    </row>
    <row r="381" spans="2:13" x14ac:dyDescent="0.25">
      <c r="B381" s="18" t="s">
        <v>1051</v>
      </c>
      <c r="C381" s="18">
        <v>5</v>
      </c>
      <c r="D381" s="27">
        <v>46156</v>
      </c>
      <c r="E381" s="8" t="s">
        <v>8</v>
      </c>
      <c r="F381" s="6" t="s">
        <v>1020</v>
      </c>
      <c r="G381" s="8">
        <v>500089</v>
      </c>
      <c r="H381" s="8" t="s">
        <v>148</v>
      </c>
      <c r="I381" s="5" t="s">
        <v>137</v>
      </c>
      <c r="J381" s="5">
        <v>0.51719999999999999</v>
      </c>
      <c r="K381" s="16">
        <v>500</v>
      </c>
      <c r="L381" s="10"/>
      <c r="M381" s="20">
        <f t="shared" si="4"/>
        <v>258.60000000000002</v>
      </c>
    </row>
    <row r="382" spans="2:13" x14ac:dyDescent="0.25">
      <c r="B382" s="18"/>
      <c r="C382" s="45"/>
      <c r="D382" s="27"/>
      <c r="E382" s="8"/>
      <c r="F382" s="6"/>
      <c r="G382" s="8"/>
      <c r="H382" s="8"/>
      <c r="I382" s="5"/>
      <c r="J382" s="5"/>
      <c r="K382" s="16"/>
      <c r="L382" s="10"/>
      <c r="M382" s="20">
        <f t="shared" si="4"/>
        <v>0</v>
      </c>
    </row>
    <row r="383" spans="2:13" x14ac:dyDescent="0.25">
      <c r="B383" s="18"/>
      <c r="C383" s="45"/>
      <c r="D383" s="27"/>
      <c r="E383" s="8"/>
      <c r="F383" s="6"/>
      <c r="G383" s="8"/>
      <c r="H383" s="8"/>
      <c r="I383" s="5"/>
      <c r="J383" s="5"/>
      <c r="K383" s="16"/>
      <c r="L383" s="10"/>
      <c r="M383" s="20">
        <f t="shared" si="4"/>
        <v>0</v>
      </c>
    </row>
    <row r="384" spans="2:13" x14ac:dyDescent="0.25">
      <c r="B384" s="18"/>
      <c r="C384" s="45"/>
      <c r="D384" s="27"/>
      <c r="E384" s="8"/>
      <c r="F384" s="6"/>
      <c r="G384" s="8"/>
      <c r="H384" s="8"/>
      <c r="I384" s="5"/>
      <c r="J384" s="5"/>
      <c r="K384" s="16"/>
      <c r="L384" s="10"/>
      <c r="M384" s="20">
        <f t="shared" si="4"/>
        <v>0</v>
      </c>
    </row>
    <row r="385" spans="2:13" x14ac:dyDescent="0.25">
      <c r="B385" s="108" t="s">
        <v>812</v>
      </c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</row>
    <row r="386" spans="2:13" x14ac:dyDescent="0.25">
      <c r="B386" s="18" t="s">
        <v>813</v>
      </c>
      <c r="C386" s="18">
        <v>1</v>
      </c>
      <c r="D386" s="27">
        <v>46163</v>
      </c>
      <c r="E386" s="8" t="s">
        <v>8</v>
      </c>
      <c r="F386" s="6" t="s">
        <v>796</v>
      </c>
      <c r="G386" s="8">
        <v>100341</v>
      </c>
      <c r="H386" s="8" t="s">
        <v>807</v>
      </c>
      <c r="I386" s="5" t="s">
        <v>808</v>
      </c>
      <c r="J386" s="5">
        <v>0.43280000000000002</v>
      </c>
      <c r="K386" s="16">
        <v>750</v>
      </c>
      <c r="L386" s="10"/>
      <c r="M386" s="20">
        <f t="shared" si="4"/>
        <v>324.60000000000002</v>
      </c>
    </row>
    <row r="387" spans="2:13" x14ac:dyDescent="0.25">
      <c r="B387" s="18" t="s">
        <v>837</v>
      </c>
      <c r="C387" s="18">
        <v>1</v>
      </c>
      <c r="D387" s="27">
        <v>46163</v>
      </c>
      <c r="E387" s="8" t="s">
        <v>8</v>
      </c>
      <c r="F387" s="6" t="s">
        <v>806</v>
      </c>
      <c r="G387" s="8">
        <v>200673</v>
      </c>
      <c r="H387" s="8" t="s">
        <v>656</v>
      </c>
      <c r="I387" s="5" t="s">
        <v>657</v>
      </c>
      <c r="J387" s="5">
        <v>0.22309999999999999</v>
      </c>
      <c r="K387" s="16">
        <v>15000</v>
      </c>
      <c r="L387" s="10"/>
      <c r="M387" s="20">
        <f t="shared" si="4"/>
        <v>3346.5</v>
      </c>
    </row>
    <row r="388" spans="2:13" x14ac:dyDescent="0.25">
      <c r="B388" s="18" t="s">
        <v>870</v>
      </c>
      <c r="C388" s="18">
        <v>1</v>
      </c>
      <c r="D388" s="27">
        <v>46163</v>
      </c>
      <c r="E388" s="8" t="s">
        <v>8</v>
      </c>
      <c r="F388" s="6" t="s">
        <v>754</v>
      </c>
      <c r="G388" s="8">
        <v>201061</v>
      </c>
      <c r="H388" s="8" t="s">
        <v>755</v>
      </c>
      <c r="I388" s="5" t="s">
        <v>756</v>
      </c>
      <c r="J388" s="5">
        <v>0.29449999999999998</v>
      </c>
      <c r="K388" s="16">
        <v>60000</v>
      </c>
      <c r="L388" s="10"/>
      <c r="M388" s="20">
        <f t="shared" si="4"/>
        <v>17670</v>
      </c>
    </row>
    <row r="389" spans="2:13" x14ac:dyDescent="0.25">
      <c r="B389" s="18" t="s">
        <v>1031</v>
      </c>
      <c r="C389" s="18">
        <v>1</v>
      </c>
      <c r="D389" s="27">
        <v>46163</v>
      </c>
      <c r="E389" s="8" t="s">
        <v>8</v>
      </c>
      <c r="F389" s="6" t="s">
        <v>977</v>
      </c>
      <c r="G389" s="8">
        <v>100200</v>
      </c>
      <c r="H389" s="8" t="s">
        <v>979</v>
      </c>
      <c r="I389" s="5" t="s">
        <v>978</v>
      </c>
      <c r="J389" s="5">
        <v>0.16969999999999999</v>
      </c>
      <c r="K389" s="16">
        <v>10000</v>
      </c>
      <c r="L389" s="10"/>
      <c r="M389" s="20">
        <f t="shared" si="4"/>
        <v>1697</v>
      </c>
    </row>
    <row r="390" spans="2:13" x14ac:dyDescent="0.25">
      <c r="B390" s="18" t="s">
        <v>1031</v>
      </c>
      <c r="C390" s="18">
        <v>6</v>
      </c>
      <c r="D390" s="27">
        <v>46163</v>
      </c>
      <c r="E390" s="8" t="s">
        <v>8</v>
      </c>
      <c r="F390" s="6" t="s">
        <v>977</v>
      </c>
      <c r="G390" s="8">
        <v>700027</v>
      </c>
      <c r="H390" s="8" t="s">
        <v>625</v>
      </c>
      <c r="I390" s="5" t="s">
        <v>626</v>
      </c>
      <c r="J390" s="5">
        <v>0.2041</v>
      </c>
      <c r="K390" s="16">
        <v>1500</v>
      </c>
      <c r="L390" s="10"/>
      <c r="M390" s="20">
        <f t="shared" si="4"/>
        <v>306.14999999999998</v>
      </c>
    </row>
    <row r="391" spans="2:13" x14ac:dyDescent="0.25">
      <c r="B391" s="18" t="s">
        <v>1038</v>
      </c>
      <c r="C391" s="18">
        <v>1</v>
      </c>
      <c r="D391" s="27">
        <v>46163</v>
      </c>
      <c r="E391" s="8" t="s">
        <v>8</v>
      </c>
      <c r="F391" s="6" t="s">
        <v>938</v>
      </c>
      <c r="G391" s="8">
        <v>400001</v>
      </c>
      <c r="H391" s="8" t="s">
        <v>83</v>
      </c>
      <c r="I391" s="5" t="s">
        <v>721</v>
      </c>
      <c r="J391" s="5">
        <v>0.75380000000000003</v>
      </c>
      <c r="K391" s="16">
        <v>1000</v>
      </c>
      <c r="L391" s="10" t="s">
        <v>948</v>
      </c>
      <c r="M391" s="20">
        <f t="shared" si="4"/>
        <v>753.80000000000007</v>
      </c>
    </row>
    <row r="392" spans="2:13" x14ac:dyDescent="0.25">
      <c r="B392" s="18" t="s">
        <v>1038</v>
      </c>
      <c r="C392" s="18">
        <v>3</v>
      </c>
      <c r="D392" s="27">
        <v>46163</v>
      </c>
      <c r="E392" s="8" t="s">
        <v>8</v>
      </c>
      <c r="F392" s="6" t="s">
        <v>938</v>
      </c>
      <c r="G392" s="8">
        <v>400357</v>
      </c>
      <c r="H392" s="8" t="s">
        <v>947</v>
      </c>
      <c r="I392" s="5" t="s">
        <v>939</v>
      </c>
      <c r="J392" s="5">
        <v>0.21</v>
      </c>
      <c r="K392" s="16">
        <v>300</v>
      </c>
      <c r="L392" s="8"/>
      <c r="M392" s="20">
        <f t="shared" si="4"/>
        <v>63</v>
      </c>
    </row>
    <row r="393" spans="2:13" x14ac:dyDescent="0.25">
      <c r="B393" s="45"/>
      <c r="C393" s="45">
        <v>4</v>
      </c>
      <c r="D393" s="45"/>
      <c r="E393" s="8" t="s">
        <v>8</v>
      </c>
      <c r="F393" s="6" t="s">
        <v>938</v>
      </c>
      <c r="G393" s="8" t="s">
        <v>943</v>
      </c>
      <c r="H393" s="102" t="s">
        <v>942</v>
      </c>
      <c r="I393" s="5" t="s">
        <v>940</v>
      </c>
      <c r="J393" s="101">
        <v>600</v>
      </c>
      <c r="K393" s="16">
        <v>1</v>
      </c>
      <c r="L393" s="10" t="s">
        <v>941</v>
      </c>
      <c r="M393" s="20">
        <f t="shared" si="4"/>
        <v>600</v>
      </c>
    </row>
    <row r="394" spans="2:13" x14ac:dyDescent="0.25">
      <c r="B394" s="18" t="s">
        <v>1039</v>
      </c>
      <c r="C394" s="18">
        <v>1</v>
      </c>
      <c r="D394" s="27">
        <v>46163</v>
      </c>
      <c r="E394" s="8" t="s">
        <v>8</v>
      </c>
      <c r="F394" s="6" t="s">
        <v>984</v>
      </c>
      <c r="G394" s="8">
        <v>101344</v>
      </c>
      <c r="H394" s="8" t="s">
        <v>985</v>
      </c>
      <c r="I394" s="5" t="s">
        <v>986</v>
      </c>
      <c r="J394" s="5">
        <v>0.28050000000000003</v>
      </c>
      <c r="K394" s="16">
        <v>1200</v>
      </c>
      <c r="L394" s="10"/>
      <c r="M394" s="20">
        <f t="shared" si="4"/>
        <v>336.6</v>
      </c>
    </row>
    <row r="395" spans="2:13" x14ac:dyDescent="0.25">
      <c r="B395" s="18" t="s">
        <v>1041</v>
      </c>
      <c r="C395" s="18">
        <v>1</v>
      </c>
      <c r="D395" s="27">
        <v>46163</v>
      </c>
      <c r="E395" s="8" t="s">
        <v>8</v>
      </c>
      <c r="F395" s="6" t="s">
        <v>1012</v>
      </c>
      <c r="G395" s="8">
        <v>700043</v>
      </c>
      <c r="H395" s="8" t="s">
        <v>22</v>
      </c>
      <c r="I395" s="5" t="s">
        <v>21</v>
      </c>
      <c r="J395" s="5">
        <v>0.2</v>
      </c>
      <c r="K395" s="16">
        <v>2000</v>
      </c>
      <c r="L395" s="10"/>
      <c r="M395" s="20">
        <f t="shared" si="4"/>
        <v>400</v>
      </c>
    </row>
    <row r="396" spans="2:13" x14ac:dyDescent="0.25">
      <c r="B396" s="18" t="s">
        <v>1043</v>
      </c>
      <c r="C396" s="18">
        <v>1</v>
      </c>
      <c r="D396" s="27">
        <v>46163</v>
      </c>
      <c r="E396" s="8" t="s">
        <v>8</v>
      </c>
      <c r="F396" s="6" t="s">
        <v>1016</v>
      </c>
      <c r="G396" s="8">
        <v>100307</v>
      </c>
      <c r="H396" s="8" t="s">
        <v>18</v>
      </c>
      <c r="I396" s="5" t="s">
        <v>374</v>
      </c>
      <c r="J396" s="5">
        <v>0.26019999999999999</v>
      </c>
      <c r="K396" s="16">
        <v>2016</v>
      </c>
      <c r="L396" s="50" t="s">
        <v>14</v>
      </c>
      <c r="M396" s="20">
        <f t="shared" si="4"/>
        <v>524.56319999999994</v>
      </c>
    </row>
    <row r="397" spans="2:13" x14ac:dyDescent="0.25">
      <c r="B397" s="18" t="s">
        <v>1076</v>
      </c>
      <c r="C397" s="18">
        <v>1</v>
      </c>
      <c r="D397" s="27">
        <v>46163</v>
      </c>
      <c r="E397" s="8" t="s">
        <v>8</v>
      </c>
      <c r="F397" s="6" t="s">
        <v>1046</v>
      </c>
      <c r="G397" s="8">
        <v>200236</v>
      </c>
      <c r="H397" s="8" t="s">
        <v>1048</v>
      </c>
      <c r="I397" s="5" t="s">
        <v>1047</v>
      </c>
      <c r="J397" s="5">
        <v>0.24579999999999999</v>
      </c>
      <c r="K397" s="16">
        <v>400</v>
      </c>
      <c r="L397" s="10"/>
      <c r="M397" s="20" t="e">
        <f>#REF!*#REF!</f>
        <v>#REF!</v>
      </c>
    </row>
    <row r="398" spans="2:13" x14ac:dyDescent="0.25">
      <c r="B398" s="18" t="s">
        <v>1077</v>
      </c>
      <c r="C398" s="18">
        <v>1</v>
      </c>
      <c r="D398" s="27">
        <v>46163</v>
      </c>
      <c r="E398" s="8" t="s">
        <v>8</v>
      </c>
      <c r="F398" s="6" t="s">
        <v>1036</v>
      </c>
      <c r="G398" s="8">
        <v>100025</v>
      </c>
      <c r="H398" s="8" t="s">
        <v>23</v>
      </c>
      <c r="I398" s="5" t="s">
        <v>17</v>
      </c>
      <c r="J398" s="5">
        <v>0.215</v>
      </c>
      <c r="K398" s="16">
        <v>300</v>
      </c>
      <c r="L398" s="10"/>
    </row>
    <row r="399" spans="2:13" x14ac:dyDescent="0.25">
      <c r="B399" s="18" t="s">
        <v>1077</v>
      </c>
      <c r="C399" s="18">
        <v>2</v>
      </c>
      <c r="D399" s="27">
        <v>46163</v>
      </c>
      <c r="E399" s="8" t="s">
        <v>8</v>
      </c>
      <c r="F399" s="6" t="s">
        <v>1036</v>
      </c>
      <c r="G399" s="8">
        <v>200037</v>
      </c>
      <c r="H399" s="8" t="s">
        <v>59</v>
      </c>
      <c r="I399" s="5" t="s">
        <v>57</v>
      </c>
      <c r="J399" s="5">
        <v>0.60660000000000003</v>
      </c>
      <c r="K399" s="16">
        <v>1500</v>
      </c>
      <c r="L399" s="10"/>
    </row>
    <row r="400" spans="2:13" x14ac:dyDescent="0.25">
      <c r="B400" s="18"/>
      <c r="C400" s="18"/>
      <c r="D400" s="27"/>
      <c r="E400" s="8"/>
      <c r="F400" s="6"/>
      <c r="G400" s="8"/>
      <c r="H400" s="8"/>
      <c r="I400" s="5"/>
      <c r="J400" s="5"/>
      <c r="K400" s="16"/>
      <c r="L400" s="10"/>
    </row>
    <row r="401" spans="2:13" x14ac:dyDescent="0.25">
      <c r="B401" s="18"/>
      <c r="C401" s="18"/>
      <c r="D401" s="27"/>
      <c r="E401" s="8"/>
      <c r="F401" s="6"/>
      <c r="G401" s="8"/>
      <c r="H401" s="8"/>
      <c r="I401" s="5"/>
      <c r="J401" s="5"/>
      <c r="K401" s="16"/>
      <c r="L401" s="10"/>
      <c r="M401" s="20">
        <f t="shared" si="4"/>
        <v>0</v>
      </c>
    </row>
    <row r="402" spans="2:13" x14ac:dyDescent="0.25">
      <c r="B402" s="108" t="s">
        <v>1044</v>
      </c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</row>
    <row r="403" spans="2:13" x14ac:dyDescent="0.25">
      <c r="B403" s="18" t="s">
        <v>1045</v>
      </c>
      <c r="C403" s="18">
        <v>1</v>
      </c>
      <c r="D403" s="27">
        <v>46191</v>
      </c>
      <c r="E403" s="8" t="s">
        <v>8</v>
      </c>
      <c r="F403" s="6" t="s">
        <v>1023</v>
      </c>
      <c r="G403" s="8">
        <v>300003</v>
      </c>
      <c r="H403" s="8" t="s">
        <v>1021</v>
      </c>
      <c r="I403" s="5" t="s">
        <v>1022</v>
      </c>
      <c r="J403" s="5">
        <v>0.21410000000000001</v>
      </c>
      <c r="K403" s="16">
        <v>7500</v>
      </c>
      <c r="L403" s="10"/>
      <c r="M403" s="20">
        <f t="shared" si="4"/>
        <v>1605.75</v>
      </c>
    </row>
    <row r="404" spans="2:13" x14ac:dyDescent="0.25">
      <c r="B404" s="18" t="s">
        <v>1051</v>
      </c>
      <c r="C404" s="18">
        <v>2</v>
      </c>
      <c r="D404" s="27">
        <v>46191</v>
      </c>
      <c r="E404" s="8" t="s">
        <v>8</v>
      </c>
      <c r="F404" s="6" t="s">
        <v>1020</v>
      </c>
      <c r="G404" s="8">
        <v>300003</v>
      </c>
      <c r="H404" s="8" t="s">
        <v>1021</v>
      </c>
      <c r="I404" s="5" t="s">
        <v>1022</v>
      </c>
      <c r="J404" s="5">
        <v>0.21410000000000001</v>
      </c>
      <c r="K404" s="16">
        <v>7500</v>
      </c>
      <c r="L404" s="10"/>
      <c r="M404" s="20">
        <f t="shared" si="4"/>
        <v>1605.75</v>
      </c>
    </row>
    <row r="405" spans="2:13" x14ac:dyDescent="0.25">
      <c r="B405" s="18"/>
      <c r="C405" s="18"/>
      <c r="D405" s="27"/>
      <c r="E405" s="8"/>
      <c r="F405" s="6"/>
      <c r="G405" s="8"/>
      <c r="H405" s="8"/>
      <c r="I405" s="5"/>
      <c r="J405" s="5"/>
      <c r="K405" s="16"/>
      <c r="L405" s="10"/>
      <c r="M405" s="20">
        <f t="shared" si="4"/>
        <v>0</v>
      </c>
    </row>
    <row r="406" spans="2:13" x14ac:dyDescent="0.25">
      <c r="B406" s="18"/>
      <c r="C406" s="18"/>
      <c r="D406" s="27"/>
      <c r="E406" s="8"/>
      <c r="F406" s="6"/>
      <c r="G406" s="8"/>
      <c r="H406" s="8"/>
      <c r="I406" s="5"/>
      <c r="J406" s="5"/>
      <c r="K406" s="16"/>
      <c r="L406" s="10"/>
      <c r="M406" s="20">
        <f t="shared" si="4"/>
        <v>0</v>
      </c>
    </row>
    <row r="407" spans="2:13" x14ac:dyDescent="0.25">
      <c r="B407" s="108" t="s">
        <v>37</v>
      </c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</row>
    <row r="408" spans="2:13" x14ac:dyDescent="0.25">
      <c r="B408" s="12"/>
      <c r="C408" s="18">
        <v>5</v>
      </c>
      <c r="D408" s="12"/>
      <c r="E408" s="8" t="s">
        <v>8</v>
      </c>
      <c r="F408" s="6" t="s">
        <v>20</v>
      </c>
      <c r="G408" s="7">
        <v>300555</v>
      </c>
      <c r="H408" s="8" t="s">
        <v>681</v>
      </c>
      <c r="I408" s="8" t="s">
        <v>682</v>
      </c>
      <c r="J408" s="5">
        <v>0.3846</v>
      </c>
      <c r="K408" s="16">
        <v>4000</v>
      </c>
      <c r="L408" s="50" t="s">
        <v>690</v>
      </c>
      <c r="M408" s="20">
        <f t="shared" si="4"/>
        <v>1538.4</v>
      </c>
    </row>
    <row r="409" spans="2:13" x14ac:dyDescent="0.25">
      <c r="B409" s="45"/>
      <c r="C409" s="45"/>
      <c r="D409" s="45"/>
      <c r="E409" s="54"/>
      <c r="F409" s="54"/>
      <c r="G409" s="8"/>
      <c r="H409" s="8"/>
      <c r="I409" s="5"/>
      <c r="J409" s="5"/>
      <c r="K409" s="16"/>
      <c r="L409" s="8"/>
      <c r="M409" s="20">
        <f t="shared" ref="M409:M452" si="5">J409*K409</f>
        <v>0</v>
      </c>
    </row>
    <row r="410" spans="2:13" x14ac:dyDescent="0.25">
      <c r="B410" s="87"/>
      <c r="C410" s="18">
        <v>1</v>
      </c>
      <c r="D410" s="88"/>
      <c r="E410" s="8" t="s">
        <v>8</v>
      </c>
      <c r="F410" s="6" t="s">
        <v>987</v>
      </c>
      <c r="G410" s="8">
        <v>400983</v>
      </c>
      <c r="H410" s="8" t="s">
        <v>728</v>
      </c>
      <c r="I410" s="5" t="s">
        <v>724</v>
      </c>
      <c r="J410" s="5">
        <v>0.41360000000000002</v>
      </c>
      <c r="K410" s="16">
        <v>4000</v>
      </c>
      <c r="L410" s="8"/>
      <c r="M410" s="20">
        <f t="shared" si="5"/>
        <v>1654.4</v>
      </c>
    </row>
    <row r="411" spans="2:13" x14ac:dyDescent="0.25">
      <c r="B411" s="45"/>
      <c r="C411" s="45"/>
      <c r="D411" s="45"/>
      <c r="E411" s="54"/>
      <c r="F411" s="54"/>
      <c r="G411" s="8"/>
      <c r="H411" s="8"/>
      <c r="I411" s="5"/>
      <c r="J411" s="5"/>
      <c r="K411" s="16"/>
      <c r="L411" s="8"/>
      <c r="M411" s="20">
        <f t="shared" si="5"/>
        <v>0</v>
      </c>
    </row>
    <row r="412" spans="2:13" x14ac:dyDescent="0.25">
      <c r="B412" s="87"/>
      <c r="C412" s="18">
        <v>1</v>
      </c>
      <c r="D412" s="88"/>
      <c r="E412" s="8" t="s">
        <v>8</v>
      </c>
      <c r="F412" s="6" t="s">
        <v>990</v>
      </c>
      <c r="G412" s="8">
        <v>700062</v>
      </c>
      <c r="H412" s="8" t="s">
        <v>993</v>
      </c>
      <c r="I412" s="5" t="s">
        <v>991</v>
      </c>
      <c r="J412" s="5">
        <v>0.25519999999999998</v>
      </c>
      <c r="K412" s="16">
        <v>500</v>
      </c>
      <c r="L412" s="8"/>
      <c r="M412" s="20">
        <f t="shared" si="5"/>
        <v>127.6</v>
      </c>
    </row>
    <row r="413" spans="2:13" x14ac:dyDescent="0.25">
      <c r="B413" s="18"/>
      <c r="C413" s="18">
        <v>2</v>
      </c>
      <c r="D413" s="27"/>
      <c r="E413" s="8" t="s">
        <v>8</v>
      </c>
      <c r="F413" s="6" t="s">
        <v>990</v>
      </c>
      <c r="G413" s="8" t="s">
        <v>867</v>
      </c>
      <c r="H413" s="8"/>
      <c r="I413" s="5" t="s">
        <v>992</v>
      </c>
      <c r="J413" s="101">
        <v>600</v>
      </c>
      <c r="K413" s="16">
        <v>1</v>
      </c>
      <c r="L413" s="8"/>
      <c r="M413" s="20">
        <f t="shared" si="5"/>
        <v>600</v>
      </c>
    </row>
    <row r="414" spans="2:13" x14ac:dyDescent="0.25">
      <c r="B414" s="45"/>
      <c r="C414" s="45"/>
      <c r="D414" s="45"/>
      <c r="E414" s="54"/>
      <c r="F414" s="54"/>
      <c r="G414" s="8"/>
      <c r="H414" s="8"/>
      <c r="I414" s="5"/>
      <c r="J414" s="5"/>
      <c r="K414" s="16"/>
      <c r="L414" s="8"/>
      <c r="M414" s="20">
        <f t="shared" si="5"/>
        <v>0</v>
      </c>
    </row>
    <row r="415" spans="2:13" x14ac:dyDescent="0.25">
      <c r="B415" s="87"/>
      <c r="C415" s="18">
        <v>1</v>
      </c>
      <c r="D415" s="88"/>
      <c r="E415" s="8" t="s">
        <v>8</v>
      </c>
      <c r="F415" s="6" t="s">
        <v>995</v>
      </c>
      <c r="G415" s="8">
        <v>600272</v>
      </c>
      <c r="H415" s="8" t="s">
        <v>1015</v>
      </c>
      <c r="I415" s="5" t="s">
        <v>996</v>
      </c>
      <c r="J415" s="5">
        <v>0.21609999999999999</v>
      </c>
      <c r="K415" s="16">
        <v>200</v>
      </c>
      <c r="L415" s="8"/>
      <c r="M415" s="20">
        <f t="shared" si="5"/>
        <v>43.22</v>
      </c>
    </row>
    <row r="416" spans="2:13" x14ac:dyDescent="0.25">
      <c r="B416" s="45"/>
      <c r="C416" s="45"/>
      <c r="D416" s="45"/>
      <c r="E416" s="54"/>
      <c r="F416" s="54"/>
      <c r="G416" s="8"/>
      <c r="H416" s="8"/>
      <c r="I416" s="5"/>
      <c r="J416" s="5"/>
      <c r="K416" s="16"/>
      <c r="L416" s="8"/>
      <c r="M416" s="20">
        <f t="shared" si="5"/>
        <v>0</v>
      </c>
    </row>
    <row r="417" spans="2:13" x14ac:dyDescent="0.25">
      <c r="B417" s="87"/>
      <c r="C417" s="18">
        <v>1</v>
      </c>
      <c r="D417" s="88"/>
      <c r="E417" s="8" t="s">
        <v>8</v>
      </c>
      <c r="F417" s="6" t="s">
        <v>1024</v>
      </c>
      <c r="G417" s="8">
        <v>700280</v>
      </c>
      <c r="H417" s="8" t="s">
        <v>1034</v>
      </c>
      <c r="I417" s="5" t="s">
        <v>1025</v>
      </c>
      <c r="J417" s="5">
        <v>0.4</v>
      </c>
      <c r="K417" s="16">
        <v>1000</v>
      </c>
      <c r="L417" s="8"/>
      <c r="M417" s="20">
        <f t="shared" si="5"/>
        <v>400</v>
      </c>
    </row>
    <row r="418" spans="2:13" x14ac:dyDescent="0.25">
      <c r="B418" s="45"/>
      <c r="C418" s="45">
        <v>2</v>
      </c>
      <c r="D418" s="45"/>
      <c r="E418" s="8" t="s">
        <v>8</v>
      </c>
      <c r="F418" s="6" t="s">
        <v>1024</v>
      </c>
      <c r="G418" s="8" t="s">
        <v>1026</v>
      </c>
      <c r="H418" s="8"/>
      <c r="I418" s="5" t="s">
        <v>1027</v>
      </c>
      <c r="J418" s="101">
        <v>750</v>
      </c>
      <c r="K418" s="16">
        <v>1</v>
      </c>
      <c r="L418" s="8"/>
      <c r="M418" s="20">
        <f t="shared" si="5"/>
        <v>750</v>
      </c>
    </row>
    <row r="419" spans="2:13" x14ac:dyDescent="0.25">
      <c r="B419" s="45"/>
      <c r="C419" s="45"/>
      <c r="D419" s="45"/>
      <c r="E419" s="54"/>
      <c r="F419" s="54"/>
      <c r="G419" s="8"/>
      <c r="H419" s="8"/>
      <c r="I419" s="5"/>
      <c r="J419" s="5"/>
      <c r="K419" s="16"/>
      <c r="L419" s="8"/>
      <c r="M419" s="20">
        <f t="shared" si="5"/>
        <v>0</v>
      </c>
    </row>
    <row r="420" spans="2:13" x14ac:dyDescent="0.25">
      <c r="B420" s="87"/>
      <c r="C420" s="18">
        <v>1</v>
      </c>
      <c r="D420" s="88"/>
      <c r="E420" s="8" t="s">
        <v>8</v>
      </c>
      <c r="F420" s="6" t="s">
        <v>1028</v>
      </c>
      <c r="G420" s="8">
        <v>200091</v>
      </c>
      <c r="H420" s="8" t="s">
        <v>1033</v>
      </c>
      <c r="I420" s="5" t="s">
        <v>1029</v>
      </c>
      <c r="J420" s="5">
        <v>1.03</v>
      </c>
      <c r="K420" s="16">
        <v>1000</v>
      </c>
      <c r="L420" s="8"/>
      <c r="M420" s="20">
        <f t="shared" si="5"/>
        <v>1030</v>
      </c>
    </row>
    <row r="421" spans="2:13" x14ac:dyDescent="0.25">
      <c r="B421" s="45"/>
      <c r="C421" s="45"/>
      <c r="D421" s="45"/>
      <c r="E421" s="54"/>
      <c r="F421" s="54"/>
      <c r="G421" s="8"/>
      <c r="H421" s="8"/>
      <c r="I421" s="5"/>
      <c r="J421" s="5"/>
      <c r="K421" s="16"/>
      <c r="L421" s="8"/>
      <c r="M421" s="20">
        <f t="shared" si="5"/>
        <v>0</v>
      </c>
    </row>
    <row r="422" spans="2:13" x14ac:dyDescent="0.25">
      <c r="B422" s="87"/>
      <c r="C422" s="18">
        <v>1</v>
      </c>
      <c r="D422" s="88"/>
      <c r="E422" s="8" t="s">
        <v>8</v>
      </c>
      <c r="F422" s="6" t="s">
        <v>1035</v>
      </c>
      <c r="G422" s="8">
        <v>100387</v>
      </c>
      <c r="H422" s="8" t="s">
        <v>909</v>
      </c>
      <c r="I422" s="5" t="s">
        <v>903</v>
      </c>
      <c r="J422" s="5">
        <v>0.46250000000000002</v>
      </c>
      <c r="K422" s="16">
        <v>3000</v>
      </c>
      <c r="L422" s="8"/>
      <c r="M422" s="20">
        <f t="shared" si="5"/>
        <v>1387.5</v>
      </c>
    </row>
    <row r="423" spans="2:13" x14ac:dyDescent="0.25">
      <c r="B423" s="45"/>
      <c r="C423" s="45"/>
      <c r="D423" s="45"/>
      <c r="E423" s="54"/>
      <c r="F423" s="54"/>
      <c r="G423" s="8"/>
      <c r="H423" s="8"/>
      <c r="I423" s="5"/>
      <c r="J423" s="5"/>
      <c r="K423" s="16"/>
      <c r="L423" s="8"/>
      <c r="M423" s="20">
        <f t="shared" si="5"/>
        <v>0</v>
      </c>
    </row>
    <row r="424" spans="2:13" x14ac:dyDescent="0.25">
      <c r="B424" s="87"/>
      <c r="C424" s="18">
        <v>1</v>
      </c>
      <c r="D424" s="88"/>
      <c r="E424" s="8" t="s">
        <v>8</v>
      </c>
      <c r="F424" s="6" t="s">
        <v>1037</v>
      </c>
      <c r="G424" s="8">
        <v>401616</v>
      </c>
      <c r="H424" s="8" t="s">
        <v>106</v>
      </c>
      <c r="I424" s="5" t="s">
        <v>107</v>
      </c>
      <c r="J424" s="5">
        <v>0.27689999999999998</v>
      </c>
      <c r="K424" s="16">
        <v>2000</v>
      </c>
      <c r="L424" s="8"/>
      <c r="M424" s="20">
        <f t="shared" si="5"/>
        <v>553.79999999999995</v>
      </c>
    </row>
    <row r="425" spans="2:13" x14ac:dyDescent="0.25">
      <c r="B425" s="45"/>
      <c r="C425" s="45"/>
      <c r="D425" s="45"/>
      <c r="E425" s="54"/>
      <c r="F425" s="54"/>
      <c r="G425" s="8"/>
      <c r="H425" s="8"/>
      <c r="I425" s="5"/>
      <c r="J425" s="5"/>
      <c r="K425" s="16"/>
      <c r="L425" s="8"/>
      <c r="M425" s="20">
        <f t="shared" si="5"/>
        <v>0</v>
      </c>
    </row>
    <row r="426" spans="2:13" x14ac:dyDescent="0.25">
      <c r="B426" s="87"/>
      <c r="C426" s="18">
        <v>1</v>
      </c>
      <c r="D426" s="88"/>
      <c r="E426" s="8" t="s">
        <v>8</v>
      </c>
      <c r="F426" s="6" t="s">
        <v>1049</v>
      </c>
      <c r="G426" s="8">
        <v>300468</v>
      </c>
      <c r="H426" s="8" t="s">
        <v>1057</v>
      </c>
      <c r="I426" s="5" t="s">
        <v>1050</v>
      </c>
      <c r="J426" s="5">
        <v>0.6774</v>
      </c>
      <c r="K426" s="16">
        <v>250</v>
      </c>
      <c r="L426" s="8"/>
      <c r="M426" s="20">
        <f t="shared" si="5"/>
        <v>169.35</v>
      </c>
    </row>
    <row r="427" spans="2:13" x14ac:dyDescent="0.25">
      <c r="B427" s="45"/>
      <c r="C427" s="45"/>
      <c r="D427" s="45"/>
      <c r="E427" s="54"/>
      <c r="F427" s="54"/>
      <c r="G427" s="8"/>
      <c r="H427" s="8"/>
      <c r="I427" s="5"/>
      <c r="J427" s="5"/>
      <c r="K427" s="16"/>
      <c r="L427" s="8"/>
    </row>
    <row r="428" spans="2:13" x14ac:dyDescent="0.25">
      <c r="B428" s="87"/>
      <c r="C428" s="18">
        <v>1</v>
      </c>
      <c r="D428" s="88"/>
      <c r="E428" s="8" t="s">
        <v>8</v>
      </c>
      <c r="F428" s="6" t="s">
        <v>1052</v>
      </c>
      <c r="G428" s="8">
        <v>200057</v>
      </c>
      <c r="H428" s="8" t="s">
        <v>266</v>
      </c>
      <c r="I428" s="5" t="s">
        <v>267</v>
      </c>
      <c r="J428" s="5">
        <v>0.28179999999999999</v>
      </c>
      <c r="K428" s="16">
        <v>2000</v>
      </c>
      <c r="L428" s="8"/>
      <c r="M428" s="20">
        <f t="shared" si="5"/>
        <v>563.6</v>
      </c>
    </row>
    <row r="429" spans="2:13" x14ac:dyDescent="0.25">
      <c r="B429" s="87"/>
      <c r="C429" s="18">
        <v>2</v>
      </c>
      <c r="D429" s="88"/>
      <c r="E429" s="8" t="s">
        <v>8</v>
      </c>
      <c r="F429" s="6" t="s">
        <v>1052</v>
      </c>
      <c r="G429" s="8">
        <v>200319</v>
      </c>
      <c r="H429" s="8" t="s">
        <v>889</v>
      </c>
      <c r="I429" s="5" t="s">
        <v>886</v>
      </c>
      <c r="J429" s="5">
        <v>0.308</v>
      </c>
      <c r="K429" s="16">
        <v>540</v>
      </c>
      <c r="L429" s="8"/>
      <c r="M429" s="20">
        <f t="shared" si="5"/>
        <v>166.32</v>
      </c>
    </row>
    <row r="430" spans="2:13" x14ac:dyDescent="0.25">
      <c r="B430" s="87"/>
      <c r="C430" s="18">
        <v>3</v>
      </c>
      <c r="D430" s="88"/>
      <c r="E430" s="8" t="s">
        <v>8</v>
      </c>
      <c r="F430" s="6" t="s">
        <v>1052</v>
      </c>
      <c r="G430" s="8">
        <v>400285</v>
      </c>
      <c r="H430" s="8" t="s">
        <v>1053</v>
      </c>
      <c r="I430" s="5" t="s">
        <v>1054</v>
      </c>
      <c r="J430" s="5">
        <v>0.191</v>
      </c>
      <c r="K430" s="16">
        <v>2500</v>
      </c>
      <c r="L430" s="8"/>
      <c r="M430" s="20">
        <f t="shared" si="5"/>
        <v>477.5</v>
      </c>
    </row>
    <row r="431" spans="2:13" x14ac:dyDescent="0.25">
      <c r="B431" s="87"/>
      <c r="C431" s="18">
        <v>4</v>
      </c>
      <c r="D431" s="88"/>
      <c r="E431" s="8" t="s">
        <v>8</v>
      </c>
      <c r="F431" s="6" t="s">
        <v>1052</v>
      </c>
      <c r="G431" s="8">
        <v>400871</v>
      </c>
      <c r="H431" s="8" t="s">
        <v>1055</v>
      </c>
      <c r="I431" s="5" t="s">
        <v>1056</v>
      </c>
      <c r="J431" s="5">
        <v>0.17080000000000001</v>
      </c>
      <c r="K431" s="16">
        <v>1000</v>
      </c>
      <c r="L431" s="8"/>
      <c r="M431" s="20">
        <f t="shared" si="5"/>
        <v>170.8</v>
      </c>
    </row>
    <row r="432" spans="2:13" x14ac:dyDescent="0.25">
      <c r="B432" s="45"/>
      <c r="C432" s="45"/>
      <c r="D432" s="45"/>
      <c r="E432" s="54"/>
      <c r="F432" s="54"/>
      <c r="G432" s="8"/>
      <c r="H432" s="8"/>
      <c r="I432" s="5"/>
      <c r="J432" s="5"/>
      <c r="K432" s="16"/>
      <c r="L432" s="8"/>
      <c r="M432" s="20">
        <f t="shared" si="5"/>
        <v>0</v>
      </c>
    </row>
    <row r="433" spans="2:13" x14ac:dyDescent="0.25">
      <c r="B433" s="87"/>
      <c r="C433" s="18">
        <v>1</v>
      </c>
      <c r="D433" s="88"/>
      <c r="E433" s="8" t="s">
        <v>8</v>
      </c>
      <c r="F433" s="6" t="s">
        <v>1058</v>
      </c>
      <c r="G433" s="8">
        <v>300681</v>
      </c>
      <c r="H433" s="8" t="s">
        <v>389</v>
      </c>
      <c r="I433" s="5" t="s">
        <v>390</v>
      </c>
      <c r="J433" s="5">
        <v>0.2157</v>
      </c>
      <c r="K433" s="16">
        <v>500</v>
      </c>
      <c r="L433" s="8"/>
      <c r="M433" s="20">
        <f t="shared" si="5"/>
        <v>107.85</v>
      </c>
    </row>
    <row r="434" spans="2:13" x14ac:dyDescent="0.25">
      <c r="B434" s="45"/>
      <c r="C434" s="45"/>
      <c r="D434" s="45"/>
      <c r="E434" s="54"/>
      <c r="F434" s="54"/>
      <c r="G434" s="8"/>
      <c r="H434" s="8"/>
      <c r="I434" s="5"/>
      <c r="J434" s="5"/>
      <c r="K434" s="16"/>
      <c r="L434" s="8"/>
      <c r="M434" s="20">
        <f t="shared" si="5"/>
        <v>0</v>
      </c>
    </row>
    <row r="435" spans="2:13" x14ac:dyDescent="0.25">
      <c r="B435" s="87"/>
      <c r="C435" s="18">
        <v>1</v>
      </c>
      <c r="D435" s="88"/>
      <c r="E435" s="8" t="s">
        <v>8</v>
      </c>
      <c r="F435" s="6" t="s">
        <v>1067</v>
      </c>
      <c r="G435" s="8">
        <v>400202</v>
      </c>
      <c r="H435" s="8" t="s">
        <v>1075</v>
      </c>
      <c r="I435" s="5" t="s">
        <v>1068</v>
      </c>
      <c r="J435" s="5">
        <v>0.15</v>
      </c>
      <c r="K435" s="16">
        <v>500</v>
      </c>
      <c r="L435" s="8"/>
      <c r="M435" s="20">
        <f t="shared" si="5"/>
        <v>75</v>
      </c>
    </row>
    <row r="436" spans="2:13" x14ac:dyDescent="0.25">
      <c r="B436" s="45"/>
      <c r="C436" s="45"/>
      <c r="D436" s="45"/>
      <c r="E436" s="54"/>
      <c r="F436" s="54"/>
      <c r="G436" s="8"/>
      <c r="H436" s="8"/>
      <c r="I436" s="5"/>
      <c r="J436" s="5"/>
      <c r="K436" s="16"/>
      <c r="L436" s="8"/>
      <c r="M436" s="20">
        <f t="shared" si="5"/>
        <v>0</v>
      </c>
    </row>
    <row r="437" spans="2:13" x14ac:dyDescent="0.25">
      <c r="B437" s="87"/>
      <c r="C437" s="18">
        <v>1</v>
      </c>
      <c r="D437" s="88"/>
      <c r="E437" s="8" t="s">
        <v>8</v>
      </c>
      <c r="F437" s="6" t="s">
        <v>1069</v>
      </c>
      <c r="G437" s="8">
        <v>100013</v>
      </c>
      <c r="H437" s="8" t="s">
        <v>1074</v>
      </c>
      <c r="I437" s="5" t="s">
        <v>1070</v>
      </c>
      <c r="J437" s="5">
        <v>0.31180000000000002</v>
      </c>
      <c r="K437" s="16">
        <v>1000</v>
      </c>
      <c r="L437" s="8"/>
      <c r="M437" s="20">
        <f t="shared" si="5"/>
        <v>311.8</v>
      </c>
    </row>
    <row r="438" spans="2:13" x14ac:dyDescent="0.25">
      <c r="B438" s="45"/>
      <c r="C438" s="45"/>
      <c r="D438" s="45"/>
      <c r="E438" s="54"/>
      <c r="F438" s="54"/>
      <c r="G438" s="8"/>
      <c r="H438" s="8"/>
      <c r="I438" s="5"/>
      <c r="J438" s="5"/>
      <c r="K438" s="16"/>
      <c r="L438" s="8"/>
      <c r="M438" s="20">
        <f t="shared" si="5"/>
        <v>0</v>
      </c>
    </row>
    <row r="439" spans="2:13" x14ac:dyDescent="0.25">
      <c r="B439" s="87"/>
      <c r="C439" s="18">
        <v>1</v>
      </c>
      <c r="D439" s="88"/>
      <c r="E439" s="8" t="s">
        <v>8</v>
      </c>
      <c r="F439" s="6" t="s">
        <v>1071</v>
      </c>
      <c r="G439" s="8">
        <v>700026</v>
      </c>
      <c r="H439" s="86"/>
      <c r="I439" s="5" t="s">
        <v>1072</v>
      </c>
      <c r="J439" s="5">
        <v>0.25659999999999999</v>
      </c>
      <c r="K439" s="16">
        <v>3500</v>
      </c>
      <c r="L439" s="8"/>
      <c r="M439" s="20">
        <f t="shared" si="5"/>
        <v>898.1</v>
      </c>
    </row>
    <row r="440" spans="2:13" x14ac:dyDescent="0.25">
      <c r="B440" s="45"/>
      <c r="C440" s="45">
        <v>2</v>
      </c>
      <c r="D440" s="45"/>
      <c r="E440" s="8" t="s">
        <v>8</v>
      </c>
      <c r="F440" s="6" t="s">
        <v>1071</v>
      </c>
      <c r="G440" s="8" t="s">
        <v>1026</v>
      </c>
      <c r="H440" s="8"/>
      <c r="I440" s="5" t="s">
        <v>1073</v>
      </c>
      <c r="J440" s="101">
        <v>750</v>
      </c>
      <c r="K440" s="16">
        <v>1</v>
      </c>
      <c r="L440" s="8"/>
      <c r="M440" s="20">
        <f t="shared" si="5"/>
        <v>750</v>
      </c>
    </row>
    <row r="441" spans="2:13" x14ac:dyDescent="0.25">
      <c r="B441" s="45"/>
      <c r="C441" s="45"/>
      <c r="D441" s="45"/>
      <c r="E441" s="54"/>
      <c r="F441" s="54"/>
      <c r="G441" s="8"/>
      <c r="H441" s="8"/>
      <c r="I441" s="5"/>
      <c r="J441" s="5"/>
      <c r="K441" s="16"/>
      <c r="L441" s="8"/>
      <c r="M441" s="20">
        <f t="shared" si="5"/>
        <v>0</v>
      </c>
    </row>
    <row r="442" spans="2:13" x14ac:dyDescent="0.25">
      <c r="B442" s="45"/>
      <c r="C442" s="45"/>
      <c r="D442" s="45"/>
      <c r="E442" s="54"/>
      <c r="F442" s="54"/>
      <c r="G442" s="8"/>
      <c r="H442" s="8"/>
      <c r="I442" s="5"/>
      <c r="J442" s="5"/>
      <c r="K442" s="16"/>
      <c r="L442" s="8"/>
      <c r="M442" s="20">
        <f t="shared" si="5"/>
        <v>0</v>
      </c>
    </row>
    <row r="443" spans="2:13" x14ac:dyDescent="0.25">
      <c r="B443" s="45"/>
      <c r="C443" s="45"/>
      <c r="D443" s="45"/>
      <c r="E443" s="54"/>
      <c r="F443" s="54"/>
      <c r="G443" s="8"/>
      <c r="H443" s="8"/>
      <c r="I443" s="5"/>
      <c r="J443" s="5"/>
      <c r="K443" s="16"/>
      <c r="L443" s="8"/>
      <c r="M443" s="20">
        <f t="shared" si="5"/>
        <v>0</v>
      </c>
    </row>
    <row r="444" spans="2:13" x14ac:dyDescent="0.25">
      <c r="B444" s="45"/>
      <c r="C444" s="45"/>
      <c r="D444" s="45"/>
      <c r="E444" s="54"/>
      <c r="F444" s="54"/>
      <c r="G444" s="8"/>
      <c r="H444" s="8"/>
      <c r="I444" s="5"/>
      <c r="J444" s="5"/>
      <c r="K444" s="16"/>
      <c r="L444" s="8"/>
      <c r="M444" s="20">
        <f t="shared" si="5"/>
        <v>0</v>
      </c>
    </row>
    <row r="445" spans="2:13" x14ac:dyDescent="0.25">
      <c r="B445" s="45"/>
      <c r="C445" s="45"/>
      <c r="D445" s="45"/>
      <c r="E445" s="54"/>
      <c r="F445" s="54"/>
      <c r="G445" s="8"/>
      <c r="H445" s="8"/>
      <c r="I445" s="5"/>
      <c r="J445" s="5"/>
      <c r="K445" s="16"/>
      <c r="L445" s="8"/>
      <c r="M445" s="20">
        <f t="shared" si="5"/>
        <v>0</v>
      </c>
    </row>
    <row r="446" spans="2:13" x14ac:dyDescent="0.25">
      <c r="B446" s="45"/>
      <c r="C446" s="45"/>
      <c r="D446" s="45"/>
      <c r="E446" s="54"/>
      <c r="F446" s="54"/>
      <c r="G446" s="8"/>
      <c r="H446" s="8"/>
      <c r="I446" s="5"/>
      <c r="J446" s="5"/>
      <c r="K446" s="16"/>
      <c r="L446" s="8"/>
      <c r="M446" s="20">
        <f t="shared" si="5"/>
        <v>0</v>
      </c>
    </row>
    <row r="447" spans="2:13" x14ac:dyDescent="0.25">
      <c r="B447" s="45"/>
      <c r="C447" s="45"/>
      <c r="D447" s="45"/>
      <c r="E447" s="54"/>
      <c r="F447" s="54"/>
      <c r="G447" s="8"/>
      <c r="H447" s="8"/>
      <c r="I447" s="5"/>
      <c r="J447" s="5"/>
      <c r="K447" s="16"/>
      <c r="L447" s="8"/>
      <c r="M447" s="20">
        <f t="shared" si="5"/>
        <v>0</v>
      </c>
    </row>
    <row r="448" spans="2:13" x14ac:dyDescent="0.25">
      <c r="B448" s="45"/>
      <c r="C448" s="45"/>
      <c r="D448" s="45"/>
      <c r="E448" s="54"/>
      <c r="F448" s="54"/>
      <c r="G448" s="8"/>
      <c r="H448" s="8"/>
      <c r="I448" s="5"/>
      <c r="J448" s="5"/>
      <c r="K448" s="16"/>
      <c r="L448" s="8"/>
      <c r="M448" s="20">
        <f t="shared" si="5"/>
        <v>0</v>
      </c>
    </row>
    <row r="449" spans="2:13" x14ac:dyDescent="0.25">
      <c r="B449" s="45"/>
      <c r="C449" s="45"/>
      <c r="D449" s="45"/>
      <c r="E449" s="54"/>
      <c r="F449" s="54"/>
      <c r="G449" s="8"/>
      <c r="H449" s="8"/>
      <c r="I449" s="5"/>
      <c r="J449" s="5"/>
      <c r="K449" s="16"/>
      <c r="L449" s="8"/>
      <c r="M449" s="20">
        <f t="shared" si="5"/>
        <v>0</v>
      </c>
    </row>
    <row r="450" spans="2:13" x14ac:dyDescent="0.25">
      <c r="B450" s="45"/>
      <c r="C450" s="45"/>
      <c r="D450" s="45"/>
      <c r="E450" s="54"/>
      <c r="F450" s="54"/>
      <c r="G450" s="8"/>
      <c r="H450" s="8"/>
      <c r="I450" s="5"/>
      <c r="J450" s="5"/>
      <c r="K450" s="16"/>
      <c r="L450" s="8"/>
      <c r="M450" s="20">
        <f t="shared" si="5"/>
        <v>0</v>
      </c>
    </row>
    <row r="451" spans="2:13" x14ac:dyDescent="0.25">
      <c r="B451" s="45"/>
      <c r="C451" s="45"/>
      <c r="D451" s="45"/>
      <c r="E451" s="54"/>
      <c r="F451" s="54"/>
      <c r="G451" s="8"/>
      <c r="H451" s="8"/>
      <c r="I451" s="5"/>
      <c r="J451" s="5"/>
      <c r="K451" s="16"/>
      <c r="L451" s="8"/>
      <c r="M451" s="20">
        <f t="shared" si="5"/>
        <v>0</v>
      </c>
    </row>
    <row r="452" spans="2:13" x14ac:dyDescent="0.25">
      <c r="B452" s="45"/>
      <c r="C452" s="45"/>
      <c r="D452" s="45"/>
      <c r="E452" s="54"/>
      <c r="F452" s="54"/>
      <c r="G452" s="8"/>
      <c r="H452" s="8"/>
      <c r="I452" s="5"/>
      <c r="J452" s="5"/>
      <c r="K452" s="16"/>
      <c r="L452" s="8"/>
      <c r="M452" s="20">
        <f t="shared" si="5"/>
        <v>0</v>
      </c>
    </row>
    <row r="453" spans="2:13" x14ac:dyDescent="0.25">
      <c r="B453" s="45"/>
      <c r="C453" s="45"/>
      <c r="D453" s="45"/>
      <c r="E453" s="54"/>
      <c r="F453" s="54"/>
      <c r="G453" s="8"/>
      <c r="H453" s="8"/>
      <c r="I453" s="5"/>
      <c r="J453" s="5"/>
      <c r="K453" s="16"/>
      <c r="L453" s="8"/>
    </row>
    <row r="454" spans="2:13" x14ac:dyDescent="0.25">
      <c r="B454" s="45"/>
      <c r="C454" s="45"/>
      <c r="D454" s="45"/>
      <c r="E454" s="54"/>
      <c r="F454" s="54"/>
      <c r="G454" s="8"/>
      <c r="H454" s="8"/>
      <c r="I454" s="5"/>
      <c r="J454" s="5"/>
      <c r="K454" s="16"/>
      <c r="L454" s="8"/>
    </row>
    <row r="455" spans="2:13" x14ac:dyDescent="0.25">
      <c r="B455" s="45"/>
      <c r="C455" s="45"/>
      <c r="D455" s="45"/>
      <c r="E455" s="54"/>
      <c r="F455" s="54"/>
      <c r="G455" s="8"/>
      <c r="H455" s="8"/>
      <c r="I455" s="5"/>
      <c r="J455" s="5"/>
      <c r="K455" s="16"/>
      <c r="L455" s="8"/>
    </row>
    <row r="456" spans="2:13" x14ac:dyDescent="0.25">
      <c r="B456" s="45"/>
      <c r="C456" s="45"/>
      <c r="D456" s="45"/>
      <c r="E456" s="54"/>
      <c r="F456" s="54"/>
      <c r="G456" s="8"/>
      <c r="H456" s="8"/>
      <c r="I456" s="5"/>
      <c r="J456" s="5"/>
      <c r="K456" s="16"/>
      <c r="L456" s="8"/>
    </row>
    <row r="457" spans="2:13" x14ac:dyDescent="0.25">
      <c r="B457" s="45"/>
      <c r="C457" s="45"/>
      <c r="D457" s="45"/>
      <c r="E457" s="54"/>
      <c r="F457" s="54"/>
      <c r="G457" s="8"/>
      <c r="H457" s="8"/>
      <c r="I457" s="5"/>
      <c r="J457" s="5"/>
      <c r="K457" s="16"/>
      <c r="L457" s="8"/>
    </row>
    <row r="458" spans="2:13" x14ac:dyDescent="0.25">
      <c r="B458" s="45"/>
      <c r="C458" s="45"/>
      <c r="D458" s="45"/>
      <c r="E458" s="54"/>
      <c r="F458" s="54"/>
      <c r="G458" s="8"/>
      <c r="H458" s="8"/>
      <c r="I458" s="5"/>
      <c r="J458" s="5"/>
      <c r="K458" s="16"/>
      <c r="L458" s="8"/>
    </row>
    <row r="459" spans="2:13" x14ac:dyDescent="0.25">
      <c r="B459" s="45"/>
      <c r="C459" s="45"/>
      <c r="D459" s="45"/>
      <c r="E459" s="54"/>
      <c r="F459" s="54"/>
      <c r="G459" s="8"/>
      <c r="H459" s="8"/>
      <c r="I459" s="5"/>
      <c r="J459" s="5"/>
      <c r="K459" s="16"/>
      <c r="L459" s="8"/>
    </row>
    <row r="460" spans="2:13" x14ac:dyDescent="0.25">
      <c r="B460" s="45"/>
      <c r="C460" s="45"/>
      <c r="D460" s="45"/>
      <c r="E460" s="54"/>
      <c r="F460" s="54"/>
      <c r="G460" s="8"/>
      <c r="H460" s="8"/>
      <c r="I460" s="5"/>
      <c r="J460" s="5"/>
      <c r="K460" s="16"/>
      <c r="L460" s="8"/>
    </row>
    <row r="461" spans="2:13" x14ac:dyDescent="0.25">
      <c r="B461" s="45"/>
      <c r="C461" s="45"/>
      <c r="D461" s="45"/>
      <c r="E461" s="54"/>
      <c r="F461" s="54"/>
      <c r="G461" s="8"/>
      <c r="H461" s="8"/>
      <c r="I461" s="5"/>
      <c r="J461" s="5"/>
      <c r="K461" s="16"/>
      <c r="L461" s="8"/>
    </row>
    <row r="462" spans="2:13" x14ac:dyDescent="0.25">
      <c r="B462" s="45"/>
      <c r="C462" s="45"/>
      <c r="D462" s="45"/>
      <c r="E462" s="54"/>
      <c r="F462" s="54"/>
      <c r="G462" s="8"/>
      <c r="H462" s="8"/>
      <c r="I462" s="5"/>
      <c r="J462" s="5"/>
      <c r="K462" s="16"/>
      <c r="L462" s="8"/>
    </row>
    <row r="463" spans="2:13" x14ac:dyDescent="0.25">
      <c r="B463" s="45"/>
      <c r="C463" s="45"/>
      <c r="D463" s="45"/>
      <c r="E463" s="54"/>
      <c r="F463" s="54"/>
      <c r="G463" s="8"/>
      <c r="H463" s="8"/>
      <c r="I463" s="5"/>
      <c r="J463" s="5"/>
      <c r="K463" s="16"/>
      <c r="L463" s="8"/>
    </row>
    <row r="464" spans="2:13" x14ac:dyDescent="0.25">
      <c r="B464" s="45"/>
      <c r="C464" s="45"/>
      <c r="D464" s="45"/>
      <c r="E464" s="54"/>
      <c r="F464" s="54"/>
      <c r="G464" s="8"/>
      <c r="H464" s="8"/>
      <c r="I464" s="5"/>
      <c r="J464" s="5"/>
      <c r="K464" s="16"/>
      <c r="L464" s="8"/>
    </row>
    <row r="465" spans="2:12" x14ac:dyDescent="0.25">
      <c r="B465" s="45"/>
      <c r="C465" s="45"/>
      <c r="D465" s="45"/>
      <c r="E465" s="54"/>
      <c r="F465" s="54"/>
      <c r="G465" s="8"/>
      <c r="H465" s="8"/>
      <c r="I465" s="5"/>
      <c r="J465" s="5"/>
      <c r="K465" s="16"/>
      <c r="L465" s="8"/>
    </row>
    <row r="466" spans="2:12" x14ac:dyDescent="0.25">
      <c r="B466" s="45"/>
      <c r="C466" s="45"/>
      <c r="D466" s="45"/>
      <c r="E466" s="54"/>
      <c r="F466" s="54"/>
      <c r="G466" s="8"/>
      <c r="H466" s="8"/>
      <c r="I466" s="5"/>
      <c r="J466" s="5"/>
      <c r="K466" s="16"/>
      <c r="L466" s="8"/>
    </row>
    <row r="467" spans="2:12" x14ac:dyDescent="0.25">
      <c r="B467" s="45"/>
      <c r="C467" s="45"/>
      <c r="D467" s="45"/>
      <c r="E467" s="54"/>
      <c r="F467" s="54"/>
      <c r="G467" s="8"/>
      <c r="H467" s="8"/>
      <c r="I467" s="5"/>
      <c r="J467" s="5"/>
      <c r="K467" s="16"/>
      <c r="L467" s="8"/>
    </row>
    <row r="468" spans="2:12" x14ac:dyDescent="0.25">
      <c r="B468" s="45"/>
      <c r="C468" s="45"/>
      <c r="D468" s="45"/>
      <c r="E468" s="54"/>
      <c r="F468" s="54"/>
      <c r="G468" s="8"/>
      <c r="H468" s="8"/>
      <c r="I468" s="5"/>
      <c r="J468" s="5"/>
      <c r="K468" s="16"/>
      <c r="L468" s="8"/>
    </row>
    <row r="469" spans="2:12" x14ac:dyDescent="0.25">
      <c r="B469" s="45"/>
      <c r="C469" s="45"/>
      <c r="D469" s="45"/>
      <c r="E469" s="54"/>
      <c r="F469" s="54"/>
      <c r="G469" s="8"/>
      <c r="H469" s="8"/>
      <c r="I469" s="5"/>
      <c r="J469" s="5"/>
      <c r="K469" s="16"/>
      <c r="L469" s="8"/>
    </row>
    <row r="470" spans="2:12" x14ac:dyDescent="0.25">
      <c r="B470" s="45"/>
      <c r="C470" s="45"/>
      <c r="D470" s="45"/>
      <c r="E470" s="54"/>
      <c r="F470" s="54"/>
      <c r="G470" s="8"/>
      <c r="H470" s="8"/>
      <c r="I470" s="5"/>
      <c r="J470" s="5"/>
      <c r="K470" s="16"/>
      <c r="L470" s="8"/>
    </row>
    <row r="471" spans="2:12" x14ac:dyDescent="0.25">
      <c r="B471" s="45"/>
      <c r="C471" s="45"/>
      <c r="D471" s="45"/>
      <c r="E471" s="54"/>
      <c r="F471" s="54"/>
      <c r="G471" s="8"/>
      <c r="H471" s="8"/>
      <c r="I471" s="5"/>
      <c r="J471" s="5"/>
      <c r="K471" s="16"/>
      <c r="L471" s="8"/>
    </row>
    <row r="472" spans="2:12" x14ac:dyDescent="0.25">
      <c r="B472" s="45"/>
      <c r="C472" s="45"/>
      <c r="D472" s="45"/>
      <c r="E472" s="54"/>
      <c r="F472" s="54"/>
      <c r="G472" s="8"/>
      <c r="H472" s="8"/>
      <c r="I472" s="5"/>
      <c r="J472" s="5"/>
      <c r="K472" s="16"/>
      <c r="L472" s="8"/>
    </row>
    <row r="473" spans="2:12" x14ac:dyDescent="0.25">
      <c r="B473" s="45"/>
      <c r="C473" s="45"/>
      <c r="D473" s="45"/>
      <c r="E473" s="54"/>
      <c r="F473" s="54"/>
      <c r="G473" s="8"/>
      <c r="H473" s="8"/>
      <c r="I473" s="5"/>
      <c r="J473" s="5"/>
      <c r="K473" s="16"/>
      <c r="L473" s="8"/>
    </row>
    <row r="474" spans="2:12" x14ac:dyDescent="0.25">
      <c r="B474" s="45"/>
      <c r="C474" s="45"/>
      <c r="D474" s="45"/>
      <c r="E474" s="54"/>
      <c r="F474" s="54"/>
      <c r="G474" s="8"/>
      <c r="H474" s="8"/>
      <c r="I474" s="5"/>
      <c r="J474" s="5"/>
      <c r="K474" s="16"/>
      <c r="L474" s="8"/>
    </row>
    <row r="475" spans="2:12" x14ac:dyDescent="0.25">
      <c r="B475" s="45"/>
      <c r="C475" s="45"/>
      <c r="D475" s="45"/>
      <c r="E475" s="54"/>
      <c r="F475" s="54"/>
      <c r="G475" s="8"/>
      <c r="H475" s="8"/>
      <c r="I475" s="5"/>
      <c r="J475" s="5"/>
      <c r="K475" s="16"/>
      <c r="L475" s="8"/>
    </row>
    <row r="476" spans="2:12" x14ac:dyDescent="0.25">
      <c r="B476" s="45"/>
      <c r="C476" s="45"/>
      <c r="D476" s="45"/>
      <c r="E476" s="54"/>
      <c r="F476" s="54"/>
      <c r="G476" s="8"/>
      <c r="H476" s="8"/>
      <c r="I476" s="5"/>
      <c r="J476" s="5"/>
      <c r="K476" s="16"/>
      <c r="L476" s="8"/>
    </row>
    <row r="477" spans="2:12" x14ac:dyDescent="0.25">
      <c r="B477" s="45"/>
      <c r="C477" s="45"/>
      <c r="D477" s="45"/>
      <c r="E477" s="54"/>
      <c r="F477" s="54"/>
      <c r="G477" s="8"/>
      <c r="H477" s="8"/>
      <c r="I477" s="5"/>
      <c r="J477" s="5"/>
      <c r="K477" s="16"/>
      <c r="L477" s="8"/>
    </row>
    <row r="478" spans="2:12" x14ac:dyDescent="0.25">
      <c r="B478" s="45"/>
      <c r="C478" s="45"/>
      <c r="D478" s="45"/>
      <c r="E478" s="54"/>
      <c r="F478" s="54"/>
      <c r="G478" s="8"/>
      <c r="H478" s="8"/>
      <c r="I478" s="5"/>
      <c r="J478" s="5"/>
      <c r="K478" s="16"/>
      <c r="L478" s="8"/>
    </row>
    <row r="479" spans="2:12" x14ac:dyDescent="0.25">
      <c r="B479" s="45"/>
      <c r="C479" s="45"/>
      <c r="D479" s="45"/>
      <c r="E479" s="54"/>
      <c r="F479" s="54"/>
      <c r="G479" s="8"/>
      <c r="H479" s="8"/>
      <c r="I479" s="5"/>
      <c r="J479" s="5"/>
      <c r="K479" s="16"/>
      <c r="L479" s="8"/>
    </row>
    <row r="480" spans="2:12" x14ac:dyDescent="0.25">
      <c r="B480" s="45"/>
      <c r="C480" s="45"/>
      <c r="D480" s="45"/>
      <c r="E480" s="54"/>
      <c r="F480" s="54"/>
      <c r="G480" s="8"/>
      <c r="H480" s="8"/>
      <c r="I480" s="5"/>
      <c r="J480" s="5"/>
      <c r="K480" s="16"/>
      <c r="L480" s="8"/>
    </row>
    <row r="481" spans="2:12" x14ac:dyDescent="0.25">
      <c r="B481" s="45"/>
      <c r="C481" s="45"/>
      <c r="D481" s="45"/>
      <c r="E481" s="54"/>
      <c r="F481" s="54"/>
      <c r="G481" s="8"/>
      <c r="H481" s="8"/>
      <c r="I481" s="5"/>
      <c r="J481" s="5"/>
      <c r="K481" s="16"/>
      <c r="L481" s="8"/>
    </row>
    <row r="482" spans="2:12" x14ac:dyDescent="0.25">
      <c r="B482" s="45"/>
      <c r="C482" s="45"/>
      <c r="D482" s="45"/>
      <c r="E482" s="54"/>
      <c r="F482" s="54"/>
      <c r="G482" s="8"/>
      <c r="H482" s="8"/>
      <c r="I482" s="5"/>
      <c r="J482" s="5"/>
      <c r="K482" s="16"/>
      <c r="L482" s="8"/>
    </row>
    <row r="483" spans="2:12" x14ac:dyDescent="0.25">
      <c r="B483" s="45"/>
      <c r="C483" s="45"/>
      <c r="D483" s="45"/>
      <c r="E483" s="54"/>
      <c r="F483" s="54"/>
      <c r="G483" s="8"/>
      <c r="H483" s="8"/>
      <c r="I483" s="5"/>
      <c r="J483" s="5"/>
      <c r="K483" s="16"/>
      <c r="L483" s="8"/>
    </row>
    <row r="484" spans="2:12" x14ac:dyDescent="0.25">
      <c r="B484" s="45"/>
      <c r="C484" s="45"/>
      <c r="D484" s="45"/>
      <c r="E484" s="54"/>
      <c r="F484" s="54"/>
      <c r="G484" s="8"/>
      <c r="H484" s="8"/>
      <c r="I484" s="5"/>
      <c r="J484" s="5"/>
      <c r="K484" s="16"/>
      <c r="L484" s="8"/>
    </row>
    <row r="485" spans="2:12" x14ac:dyDescent="0.25">
      <c r="B485" s="45"/>
      <c r="C485" s="45"/>
      <c r="D485" s="45"/>
      <c r="E485" s="54"/>
      <c r="F485" s="54"/>
      <c r="G485" s="8"/>
      <c r="H485" s="8"/>
      <c r="I485" s="5"/>
      <c r="J485" s="5"/>
      <c r="K485" s="16"/>
      <c r="L485" s="8"/>
    </row>
    <row r="486" spans="2:12" x14ac:dyDescent="0.25">
      <c r="B486" s="45"/>
      <c r="C486" s="45"/>
      <c r="D486" s="45"/>
      <c r="E486" s="54"/>
      <c r="F486" s="54"/>
      <c r="G486" s="8"/>
      <c r="H486" s="8"/>
      <c r="I486" s="5"/>
      <c r="J486" s="5"/>
      <c r="K486" s="16"/>
      <c r="L486" s="8"/>
    </row>
    <row r="487" spans="2:12" x14ac:dyDescent="0.25">
      <c r="B487" s="45"/>
      <c r="C487" s="45"/>
      <c r="D487" s="45"/>
      <c r="E487" s="54"/>
      <c r="F487" s="54"/>
      <c r="G487" s="8"/>
      <c r="H487" s="8"/>
      <c r="I487" s="5"/>
      <c r="J487" s="5"/>
      <c r="K487" s="16"/>
      <c r="L487" s="8"/>
    </row>
    <row r="488" spans="2:12" x14ac:dyDescent="0.25">
      <c r="B488" s="45"/>
      <c r="C488" s="45"/>
      <c r="D488" s="45"/>
      <c r="E488" s="54"/>
      <c r="F488" s="54"/>
      <c r="G488" s="8"/>
      <c r="H488" s="8"/>
      <c r="I488" s="5"/>
      <c r="J488" s="5"/>
      <c r="K488" s="16"/>
      <c r="L488" s="8"/>
    </row>
    <row r="489" spans="2:12" x14ac:dyDescent="0.25">
      <c r="B489" s="45"/>
      <c r="C489" s="45"/>
      <c r="D489" s="45"/>
      <c r="E489" s="54"/>
      <c r="F489" s="54"/>
      <c r="G489" s="8"/>
      <c r="H489" s="8"/>
      <c r="I489" s="5"/>
      <c r="J489" s="5"/>
      <c r="K489" s="16"/>
      <c r="L489" s="8"/>
    </row>
    <row r="490" spans="2:12" x14ac:dyDescent="0.25">
      <c r="B490" s="45"/>
      <c r="C490" s="45"/>
      <c r="D490" s="45"/>
      <c r="E490" s="54"/>
      <c r="F490" s="54"/>
      <c r="G490" s="8"/>
      <c r="H490" s="8"/>
      <c r="I490" s="5"/>
      <c r="J490" s="5"/>
      <c r="K490" s="16"/>
      <c r="L490" s="8"/>
    </row>
    <row r="491" spans="2:12" x14ac:dyDescent="0.25">
      <c r="B491" s="45"/>
      <c r="C491" s="45"/>
      <c r="D491" s="45"/>
      <c r="E491" s="54"/>
      <c r="F491" s="54"/>
      <c r="G491" s="8"/>
      <c r="H491" s="8"/>
      <c r="I491" s="5"/>
      <c r="J491" s="5"/>
      <c r="K491" s="16"/>
      <c r="L491" s="8"/>
    </row>
    <row r="492" spans="2:12" x14ac:dyDescent="0.25">
      <c r="B492" s="45"/>
      <c r="C492" s="45"/>
      <c r="D492" s="45"/>
      <c r="E492" s="54"/>
      <c r="F492" s="54"/>
      <c r="G492" s="8"/>
      <c r="H492" s="8"/>
      <c r="I492" s="5"/>
      <c r="J492" s="5"/>
      <c r="K492" s="16"/>
      <c r="L492" s="8"/>
    </row>
    <row r="493" spans="2:12" x14ac:dyDescent="0.25">
      <c r="B493" s="45"/>
      <c r="C493" s="45"/>
      <c r="D493" s="45"/>
      <c r="E493" s="54"/>
      <c r="F493" s="54"/>
      <c r="G493" s="8"/>
      <c r="H493" s="8"/>
      <c r="I493" s="5"/>
      <c r="J493" s="5"/>
      <c r="K493" s="16"/>
      <c r="L493" s="8"/>
    </row>
    <row r="494" spans="2:12" x14ac:dyDescent="0.25">
      <c r="B494" s="45"/>
      <c r="C494" s="45"/>
      <c r="D494" s="45"/>
      <c r="E494" s="54"/>
      <c r="F494" s="54"/>
      <c r="G494" s="8"/>
      <c r="H494" s="8"/>
      <c r="I494" s="5"/>
      <c r="J494" s="5"/>
      <c r="K494" s="16"/>
      <c r="L494" s="8"/>
    </row>
    <row r="495" spans="2:12" x14ac:dyDescent="0.25">
      <c r="B495" s="45"/>
      <c r="C495" s="45"/>
      <c r="D495" s="45"/>
      <c r="E495" s="54"/>
      <c r="F495" s="54"/>
      <c r="G495" s="8"/>
      <c r="H495" s="8"/>
      <c r="I495" s="5"/>
      <c r="J495" s="5"/>
      <c r="K495" s="16"/>
      <c r="L495" s="8"/>
    </row>
    <row r="496" spans="2:12" x14ac:dyDescent="0.25">
      <c r="B496" s="45"/>
      <c r="C496" s="45"/>
      <c r="D496" s="45"/>
      <c r="E496" s="54"/>
      <c r="F496" s="54"/>
      <c r="G496" s="8"/>
      <c r="H496" s="8"/>
      <c r="I496" s="5"/>
      <c r="J496" s="5"/>
      <c r="K496" s="16"/>
      <c r="L496" s="8"/>
    </row>
    <row r="497" spans="2:12" x14ac:dyDescent="0.25">
      <c r="B497" s="45"/>
      <c r="C497" s="45"/>
      <c r="D497" s="45"/>
      <c r="E497" s="54"/>
      <c r="F497" s="54"/>
      <c r="G497" s="8"/>
      <c r="H497" s="8"/>
      <c r="I497" s="5"/>
      <c r="J497" s="5"/>
      <c r="K497" s="16"/>
      <c r="L497" s="8"/>
    </row>
    <row r="498" spans="2:12" x14ac:dyDescent="0.25">
      <c r="B498" s="45"/>
      <c r="C498" s="45"/>
      <c r="D498" s="45"/>
      <c r="E498" s="54"/>
      <c r="F498" s="54"/>
      <c r="G498" s="8"/>
      <c r="H498" s="8"/>
      <c r="I498" s="5"/>
      <c r="J498" s="5"/>
      <c r="K498" s="16"/>
      <c r="L498" s="8"/>
    </row>
    <row r="499" spans="2:12" x14ac:dyDescent="0.25">
      <c r="B499" s="45"/>
      <c r="C499" s="45"/>
      <c r="D499" s="45"/>
      <c r="E499" s="54"/>
      <c r="F499" s="54"/>
      <c r="G499" s="8"/>
      <c r="H499" s="8"/>
      <c r="I499" s="5"/>
      <c r="J499" s="5"/>
      <c r="K499" s="16"/>
      <c r="L499" s="8"/>
    </row>
    <row r="500" spans="2:12" x14ac:dyDescent="0.25">
      <c r="B500" s="45"/>
      <c r="C500" s="45"/>
      <c r="D500" s="45"/>
      <c r="E500" s="54"/>
      <c r="F500" s="54"/>
      <c r="G500" s="8"/>
      <c r="H500" s="8"/>
      <c r="I500" s="5"/>
      <c r="J500" s="5"/>
      <c r="K500" s="16"/>
      <c r="L500" s="8"/>
    </row>
    <row r="501" spans="2:12" x14ac:dyDescent="0.25">
      <c r="B501" s="45"/>
      <c r="C501" s="45"/>
      <c r="D501" s="45"/>
      <c r="E501" s="54"/>
      <c r="F501" s="54"/>
      <c r="G501" s="8"/>
      <c r="H501" s="8"/>
      <c r="I501" s="5"/>
      <c r="J501" s="5"/>
      <c r="K501" s="16"/>
      <c r="L501" s="8"/>
    </row>
    <row r="502" spans="2:12" x14ac:dyDescent="0.25">
      <c r="B502" s="45"/>
      <c r="C502" s="45"/>
      <c r="D502" s="45"/>
      <c r="E502" s="54"/>
      <c r="F502" s="54"/>
      <c r="G502" s="8"/>
      <c r="H502" s="8"/>
      <c r="I502" s="5"/>
      <c r="J502" s="5"/>
      <c r="K502" s="16"/>
      <c r="L502" s="8"/>
    </row>
    <row r="503" spans="2:12" x14ac:dyDescent="0.25">
      <c r="B503" s="45"/>
      <c r="C503" s="45"/>
      <c r="D503" s="45"/>
      <c r="E503" s="54"/>
      <c r="F503" s="54"/>
      <c r="G503" s="8"/>
      <c r="H503" s="8"/>
      <c r="I503" s="5"/>
      <c r="J503" s="5"/>
      <c r="K503" s="16"/>
      <c r="L503" s="8"/>
    </row>
    <row r="504" spans="2:12" x14ac:dyDescent="0.25">
      <c r="B504" s="45"/>
      <c r="C504" s="45"/>
      <c r="D504" s="45"/>
      <c r="E504" s="54"/>
      <c r="F504" s="54"/>
      <c r="G504" s="8"/>
      <c r="H504" s="8"/>
      <c r="I504" s="5"/>
      <c r="J504" s="5"/>
      <c r="K504" s="16"/>
      <c r="L504" s="8"/>
    </row>
    <row r="505" spans="2:12" x14ac:dyDescent="0.25">
      <c r="B505" s="45"/>
      <c r="C505" s="45"/>
      <c r="D505" s="45"/>
      <c r="E505" s="54"/>
      <c r="F505" s="54"/>
      <c r="G505" s="8"/>
      <c r="H505" s="8"/>
      <c r="I505" s="5"/>
      <c r="J505" s="5"/>
      <c r="K505" s="16"/>
      <c r="L505" s="8"/>
    </row>
    <row r="506" spans="2:12" x14ac:dyDescent="0.25">
      <c r="B506" s="45"/>
      <c r="C506" s="45"/>
      <c r="D506" s="45"/>
      <c r="E506" s="54"/>
      <c r="F506" s="54"/>
      <c r="G506" s="8"/>
      <c r="H506" s="8"/>
      <c r="I506" s="5"/>
      <c r="J506" s="5"/>
      <c r="K506" s="16"/>
      <c r="L506" s="8"/>
    </row>
    <row r="507" spans="2:12" x14ac:dyDescent="0.25">
      <c r="B507" s="45"/>
      <c r="C507" s="45"/>
      <c r="D507" s="45"/>
      <c r="E507" s="54"/>
      <c r="F507" s="54"/>
      <c r="G507" s="8"/>
      <c r="H507" s="8"/>
      <c r="I507" s="5"/>
      <c r="J507" s="5"/>
      <c r="K507" s="16"/>
      <c r="L507" s="8"/>
    </row>
    <row r="508" spans="2:12" x14ac:dyDescent="0.25">
      <c r="B508" s="45"/>
      <c r="C508" s="45"/>
      <c r="D508" s="45"/>
      <c r="E508" s="54"/>
      <c r="F508" s="54"/>
      <c r="G508" s="8"/>
      <c r="H508" s="8"/>
      <c r="I508" s="5"/>
      <c r="J508" s="5"/>
      <c r="K508" s="16"/>
      <c r="L508" s="8"/>
    </row>
    <row r="509" spans="2:12" x14ac:dyDescent="0.25">
      <c r="B509" s="45"/>
      <c r="C509" s="45"/>
      <c r="D509" s="45"/>
      <c r="E509" s="54"/>
      <c r="F509" s="54"/>
      <c r="G509" s="8"/>
      <c r="H509" s="8"/>
      <c r="I509" s="5"/>
      <c r="J509" s="5"/>
      <c r="K509" s="16"/>
      <c r="L509" s="8"/>
    </row>
    <row r="510" spans="2:12" x14ac:dyDescent="0.25">
      <c r="B510" s="45"/>
      <c r="C510" s="45"/>
      <c r="D510" s="45"/>
      <c r="E510" s="54"/>
      <c r="F510" s="54"/>
      <c r="G510" s="8"/>
      <c r="H510" s="8"/>
      <c r="I510" s="5"/>
      <c r="J510" s="5"/>
      <c r="K510" s="16"/>
      <c r="L510" s="8"/>
    </row>
    <row r="511" spans="2:12" x14ac:dyDescent="0.25">
      <c r="B511" s="45"/>
      <c r="C511" s="45"/>
      <c r="D511" s="45"/>
      <c r="E511" s="54"/>
      <c r="F511" s="54"/>
      <c r="G511" s="8"/>
      <c r="H511" s="8"/>
      <c r="I511" s="5"/>
      <c r="J511" s="5"/>
      <c r="K511" s="16"/>
      <c r="L511" s="8"/>
    </row>
    <row r="512" spans="2:12" x14ac:dyDescent="0.25">
      <c r="B512" s="45"/>
      <c r="C512" s="45"/>
      <c r="D512" s="45"/>
      <c r="E512" s="54"/>
      <c r="F512" s="54"/>
      <c r="G512" s="8"/>
      <c r="H512" s="8"/>
      <c r="I512" s="5"/>
      <c r="J512" s="5"/>
      <c r="K512" s="16"/>
      <c r="L512" s="8"/>
    </row>
    <row r="513" spans="2:12" x14ac:dyDescent="0.25">
      <c r="B513" s="45"/>
      <c r="C513" s="45"/>
      <c r="D513" s="45"/>
      <c r="E513" s="54"/>
      <c r="F513" s="54"/>
      <c r="G513" s="8"/>
      <c r="H513" s="8"/>
      <c r="I513" s="5"/>
      <c r="J513" s="5"/>
      <c r="K513" s="16"/>
      <c r="L513" s="8"/>
    </row>
    <row r="514" spans="2:12" x14ac:dyDescent="0.25">
      <c r="B514" s="45"/>
      <c r="C514" s="45"/>
      <c r="D514" s="45"/>
      <c r="E514" s="54"/>
      <c r="F514" s="54"/>
      <c r="G514" s="8"/>
      <c r="H514" s="8"/>
      <c r="I514" s="5"/>
      <c r="J514" s="5"/>
      <c r="K514" s="16"/>
      <c r="L514" s="8"/>
    </row>
    <row r="515" spans="2:12" x14ac:dyDescent="0.25">
      <c r="B515" s="45"/>
      <c r="C515" s="45"/>
      <c r="D515" s="45"/>
      <c r="E515" s="54"/>
      <c r="F515" s="54"/>
      <c r="G515" s="8"/>
      <c r="H515" s="8"/>
      <c r="I515" s="5"/>
      <c r="J515" s="5"/>
      <c r="K515" s="16"/>
      <c r="L515" s="8"/>
    </row>
    <row r="516" spans="2:12" x14ac:dyDescent="0.25">
      <c r="B516" s="45"/>
      <c r="C516" s="45"/>
      <c r="D516" s="45"/>
      <c r="E516" s="54"/>
      <c r="F516" s="54"/>
      <c r="G516" s="8"/>
      <c r="H516" s="8"/>
      <c r="I516" s="5"/>
      <c r="J516" s="5"/>
      <c r="K516" s="16"/>
      <c r="L516" s="8"/>
    </row>
    <row r="517" spans="2:12" x14ac:dyDescent="0.25">
      <c r="B517" s="45"/>
      <c r="C517" s="45"/>
      <c r="D517" s="45"/>
      <c r="E517" s="54"/>
      <c r="F517" s="54"/>
      <c r="G517" s="8"/>
      <c r="H517" s="8"/>
      <c r="I517" s="5"/>
      <c r="J517" s="5"/>
      <c r="K517" s="16"/>
      <c r="L517" s="8"/>
    </row>
    <row r="518" spans="2:12" x14ac:dyDescent="0.25">
      <c r="B518" s="45"/>
      <c r="C518" s="45"/>
      <c r="D518" s="45"/>
      <c r="E518" s="54"/>
      <c r="F518" s="54"/>
      <c r="G518" s="8"/>
      <c r="H518" s="8"/>
      <c r="I518" s="5"/>
      <c r="J518" s="5"/>
      <c r="K518" s="16"/>
      <c r="L518" s="8"/>
    </row>
    <row r="519" spans="2:12" x14ac:dyDescent="0.25">
      <c r="B519" s="45"/>
      <c r="C519" s="45"/>
      <c r="D519" s="45"/>
      <c r="E519" s="54"/>
      <c r="F519" s="54"/>
      <c r="G519" s="8"/>
      <c r="H519" s="8"/>
      <c r="I519" s="5"/>
      <c r="J519" s="5"/>
      <c r="K519" s="16"/>
      <c r="L519" s="8"/>
    </row>
    <row r="520" spans="2:12" x14ac:dyDescent="0.25">
      <c r="B520" s="45"/>
      <c r="C520" s="45"/>
      <c r="D520" s="45"/>
      <c r="E520" s="54"/>
      <c r="F520" s="54"/>
      <c r="G520" s="8"/>
      <c r="H520" s="8"/>
      <c r="I520" s="5"/>
      <c r="J520" s="5"/>
      <c r="K520" s="16"/>
      <c r="L520" s="8"/>
    </row>
    <row r="521" spans="2:12" x14ac:dyDescent="0.25">
      <c r="B521" s="45"/>
      <c r="C521" s="45"/>
      <c r="D521" s="45"/>
      <c r="E521" s="54"/>
      <c r="F521" s="54"/>
      <c r="G521" s="8"/>
      <c r="H521" s="8"/>
      <c r="I521" s="5"/>
      <c r="J521" s="5"/>
      <c r="K521" s="16"/>
      <c r="L521" s="8"/>
    </row>
    <row r="522" spans="2:12" x14ac:dyDescent="0.25">
      <c r="B522" s="45"/>
      <c r="C522" s="45"/>
      <c r="D522" s="45"/>
      <c r="E522" s="54"/>
      <c r="F522" s="54"/>
      <c r="G522" s="8"/>
      <c r="H522" s="8"/>
      <c r="I522" s="5"/>
      <c r="J522" s="5"/>
      <c r="K522" s="16"/>
      <c r="L522" s="8"/>
    </row>
    <row r="523" spans="2:12" x14ac:dyDescent="0.25">
      <c r="B523" s="45"/>
      <c r="C523" s="45"/>
      <c r="D523" s="45"/>
      <c r="E523" s="54"/>
      <c r="F523" s="54"/>
      <c r="G523" s="8"/>
      <c r="H523" s="8"/>
      <c r="I523" s="5"/>
      <c r="J523" s="5"/>
      <c r="K523" s="16"/>
      <c r="L523" s="8"/>
    </row>
    <row r="524" spans="2:12" x14ac:dyDescent="0.25">
      <c r="B524" s="45"/>
      <c r="C524" s="45"/>
      <c r="D524" s="45"/>
      <c r="E524" s="54"/>
      <c r="F524" s="54"/>
      <c r="G524" s="8"/>
      <c r="H524" s="8"/>
      <c r="I524" s="5"/>
      <c r="J524" s="5"/>
      <c r="K524" s="16"/>
      <c r="L524" s="8"/>
    </row>
    <row r="525" spans="2:12" x14ac:dyDescent="0.25">
      <c r="B525" s="45"/>
      <c r="C525" s="45"/>
      <c r="D525" s="45"/>
      <c r="E525" s="54"/>
      <c r="F525" s="54"/>
      <c r="G525" s="8"/>
      <c r="H525" s="8"/>
      <c r="I525" s="5"/>
      <c r="J525" s="5"/>
      <c r="K525" s="16"/>
      <c r="L525" s="8"/>
    </row>
    <row r="526" spans="2:12" x14ac:dyDescent="0.25">
      <c r="B526" s="45"/>
      <c r="C526" s="45"/>
      <c r="D526" s="45"/>
      <c r="E526" s="54"/>
      <c r="F526" s="54"/>
      <c r="G526" s="8"/>
      <c r="H526" s="8"/>
      <c r="I526" s="5"/>
      <c r="J526" s="5"/>
      <c r="K526" s="16"/>
      <c r="L526" s="8"/>
    </row>
    <row r="527" spans="2:12" x14ac:dyDescent="0.25">
      <c r="B527" s="45"/>
      <c r="C527" s="45"/>
      <c r="D527" s="45"/>
      <c r="E527" s="54"/>
      <c r="F527" s="54"/>
      <c r="G527" s="8"/>
      <c r="H527" s="8"/>
      <c r="I527" s="5"/>
      <c r="J527" s="5"/>
      <c r="K527" s="16"/>
      <c r="L527" s="8"/>
    </row>
    <row r="528" spans="2:12" x14ac:dyDescent="0.25">
      <c r="B528" s="45"/>
      <c r="C528" s="45"/>
      <c r="D528" s="45"/>
      <c r="E528" s="54"/>
      <c r="F528" s="54"/>
      <c r="G528" s="8"/>
      <c r="H528" s="8"/>
      <c r="I528" s="5"/>
      <c r="J528" s="5"/>
      <c r="K528" s="16"/>
      <c r="L528" s="8"/>
    </row>
    <row r="529" spans="2:12" x14ac:dyDescent="0.25">
      <c r="B529" s="45"/>
      <c r="C529" s="45"/>
      <c r="D529" s="45"/>
      <c r="E529" s="54"/>
      <c r="F529" s="54"/>
      <c r="G529" s="8"/>
      <c r="H529" s="8"/>
      <c r="I529" s="5"/>
      <c r="J529" s="5"/>
      <c r="K529" s="16"/>
      <c r="L529" s="8"/>
    </row>
    <row r="530" spans="2:12" x14ac:dyDescent="0.25">
      <c r="B530" s="45"/>
      <c r="C530" s="45"/>
      <c r="D530" s="45"/>
      <c r="E530" s="54"/>
      <c r="F530" s="54"/>
      <c r="G530" s="8"/>
      <c r="H530" s="8"/>
      <c r="I530" s="5"/>
      <c r="J530" s="5"/>
      <c r="K530" s="16"/>
      <c r="L530" s="8"/>
    </row>
    <row r="531" spans="2:12" x14ac:dyDescent="0.25">
      <c r="B531" s="45"/>
      <c r="C531" s="45"/>
      <c r="D531" s="45"/>
      <c r="E531" s="54"/>
      <c r="F531" s="54"/>
      <c r="G531" s="8"/>
      <c r="H531" s="8"/>
      <c r="I531" s="5"/>
      <c r="J531" s="5"/>
      <c r="K531" s="16"/>
      <c r="L531" s="8"/>
    </row>
    <row r="532" spans="2:12" x14ac:dyDescent="0.25">
      <c r="B532" s="45"/>
      <c r="C532" s="45"/>
      <c r="D532" s="45"/>
      <c r="E532" s="54"/>
      <c r="F532" s="54"/>
      <c r="G532" s="8"/>
      <c r="H532" s="8"/>
      <c r="I532" s="5"/>
      <c r="J532" s="5"/>
      <c r="K532" s="16"/>
      <c r="L532" s="8"/>
    </row>
    <row r="533" spans="2:12" x14ac:dyDescent="0.25">
      <c r="B533" s="45"/>
      <c r="C533" s="45"/>
      <c r="D533" s="45"/>
      <c r="E533" s="54"/>
      <c r="F533" s="54"/>
      <c r="G533" s="8"/>
      <c r="H533" s="8"/>
      <c r="I533" s="5"/>
      <c r="J533" s="5"/>
      <c r="K533" s="16"/>
      <c r="L533" s="8"/>
    </row>
    <row r="534" spans="2:12" x14ac:dyDescent="0.25">
      <c r="B534" s="45"/>
      <c r="C534" s="45"/>
      <c r="D534" s="45"/>
      <c r="E534" s="54"/>
      <c r="F534" s="54"/>
      <c r="G534" s="8"/>
      <c r="H534" s="8"/>
      <c r="I534" s="5"/>
      <c r="J534" s="5"/>
      <c r="K534" s="16"/>
      <c r="L534" s="8"/>
    </row>
    <row r="535" spans="2:12" x14ac:dyDescent="0.25">
      <c r="B535" s="45"/>
      <c r="C535" s="45"/>
      <c r="D535" s="45"/>
      <c r="E535" s="54"/>
      <c r="F535" s="54"/>
      <c r="G535" s="8"/>
      <c r="H535" s="8"/>
      <c r="I535" s="5"/>
      <c r="J535" s="5"/>
      <c r="K535" s="16"/>
      <c r="L535" s="8"/>
    </row>
    <row r="536" spans="2:12" x14ac:dyDescent="0.25">
      <c r="B536" s="45"/>
      <c r="C536" s="45"/>
      <c r="D536" s="45"/>
      <c r="E536" s="54"/>
      <c r="F536" s="54"/>
      <c r="G536" s="8"/>
      <c r="H536" s="8"/>
      <c r="I536" s="5"/>
      <c r="J536" s="5"/>
      <c r="K536" s="16"/>
      <c r="L536" s="8"/>
    </row>
    <row r="537" spans="2:12" x14ac:dyDescent="0.25">
      <c r="B537" s="45"/>
      <c r="C537" s="45"/>
      <c r="D537" s="45"/>
      <c r="E537" s="54"/>
      <c r="F537" s="54"/>
      <c r="G537" s="8"/>
      <c r="H537" s="8"/>
      <c r="I537" s="5"/>
      <c r="J537" s="5"/>
      <c r="K537" s="16"/>
      <c r="L537" s="8"/>
    </row>
    <row r="538" spans="2:12" x14ac:dyDescent="0.25">
      <c r="B538" s="45"/>
      <c r="C538" s="45"/>
      <c r="D538" s="45"/>
      <c r="E538" s="54"/>
      <c r="F538" s="54"/>
      <c r="G538" s="8"/>
      <c r="H538" s="8"/>
      <c r="I538" s="5"/>
      <c r="J538" s="5"/>
      <c r="K538" s="16"/>
      <c r="L538" s="8"/>
    </row>
    <row r="539" spans="2:12" x14ac:dyDescent="0.25">
      <c r="B539" s="45"/>
      <c r="C539" s="45"/>
      <c r="D539" s="45"/>
      <c r="E539" s="54"/>
      <c r="F539" s="54"/>
      <c r="G539" s="8"/>
      <c r="H539" s="8"/>
      <c r="I539" s="5"/>
      <c r="J539" s="5"/>
      <c r="K539" s="16"/>
      <c r="L539" s="8"/>
    </row>
    <row r="540" spans="2:12" x14ac:dyDescent="0.25">
      <c r="B540" s="45"/>
      <c r="C540" s="45"/>
      <c r="D540" s="45"/>
      <c r="E540" s="54"/>
      <c r="F540" s="54"/>
      <c r="G540" s="8"/>
      <c r="H540" s="8"/>
      <c r="I540" s="5"/>
      <c r="J540" s="5"/>
      <c r="K540" s="16"/>
      <c r="L540" s="8"/>
    </row>
    <row r="541" spans="2:12" x14ac:dyDescent="0.25">
      <c r="B541" s="45"/>
      <c r="C541" s="45"/>
      <c r="D541" s="45"/>
      <c r="E541" s="54"/>
      <c r="F541" s="54"/>
      <c r="G541" s="8"/>
      <c r="H541" s="8"/>
      <c r="I541" s="5"/>
      <c r="J541" s="5"/>
      <c r="K541" s="16"/>
      <c r="L541" s="8"/>
    </row>
    <row r="542" spans="2:12" x14ac:dyDescent="0.25">
      <c r="B542" s="45"/>
      <c r="C542" s="45"/>
      <c r="D542" s="45"/>
      <c r="E542" s="54"/>
      <c r="F542" s="54"/>
      <c r="G542" s="8"/>
      <c r="H542" s="8"/>
      <c r="I542" s="5"/>
      <c r="J542" s="5"/>
      <c r="K542" s="16"/>
      <c r="L542" s="8"/>
    </row>
    <row r="543" spans="2:12" x14ac:dyDescent="0.25">
      <c r="B543" s="45"/>
      <c r="C543" s="45"/>
      <c r="D543" s="45"/>
      <c r="E543" s="54"/>
      <c r="F543" s="54"/>
      <c r="G543" s="8"/>
      <c r="H543" s="8"/>
      <c r="I543" s="5"/>
      <c r="J543" s="5"/>
      <c r="K543" s="16"/>
      <c r="L543" s="8"/>
    </row>
    <row r="544" spans="2:12" x14ac:dyDescent="0.25">
      <c r="B544" s="45"/>
      <c r="C544" s="45"/>
      <c r="D544" s="45"/>
      <c r="E544" s="54"/>
      <c r="F544" s="54"/>
      <c r="G544" s="8"/>
      <c r="H544" s="8"/>
      <c r="I544" s="5"/>
      <c r="J544" s="5"/>
      <c r="K544" s="16"/>
      <c r="L544" s="8"/>
    </row>
    <row r="545" spans="2:12" x14ac:dyDescent="0.25">
      <c r="B545" s="45"/>
      <c r="C545" s="45"/>
      <c r="D545" s="45"/>
      <c r="E545" s="54"/>
      <c r="F545" s="54"/>
      <c r="G545" s="8"/>
      <c r="H545" s="8"/>
      <c r="I545" s="5"/>
      <c r="J545" s="5"/>
      <c r="K545" s="16"/>
      <c r="L545" s="8"/>
    </row>
    <row r="546" spans="2:12" x14ac:dyDescent="0.25">
      <c r="B546" s="45"/>
      <c r="C546" s="45"/>
      <c r="D546" s="45"/>
      <c r="E546" s="54"/>
      <c r="F546" s="54"/>
      <c r="G546" s="8"/>
      <c r="H546" s="8"/>
      <c r="I546" s="5"/>
      <c r="J546" s="5"/>
      <c r="K546" s="16"/>
      <c r="L546" s="8"/>
    </row>
    <row r="547" spans="2:12" x14ac:dyDescent="0.25">
      <c r="B547" s="45"/>
      <c r="C547" s="45"/>
      <c r="D547" s="45"/>
      <c r="E547" s="54"/>
      <c r="F547" s="54"/>
      <c r="G547" s="8"/>
      <c r="H547" s="8"/>
      <c r="I547" s="5"/>
      <c r="J547" s="5"/>
      <c r="K547" s="16"/>
      <c r="L547" s="8"/>
    </row>
    <row r="548" spans="2:12" x14ac:dyDescent="0.25">
      <c r="B548" s="45"/>
      <c r="C548" s="45"/>
      <c r="D548" s="45"/>
      <c r="E548" s="54"/>
      <c r="F548" s="54"/>
      <c r="G548" s="8"/>
      <c r="H548" s="8"/>
      <c r="I548" s="5"/>
      <c r="J548" s="5"/>
      <c r="K548" s="16"/>
      <c r="L548" s="8"/>
    </row>
    <row r="549" spans="2:12" x14ac:dyDescent="0.25">
      <c r="B549" s="45"/>
      <c r="C549" s="45"/>
      <c r="D549" s="45"/>
      <c r="E549" s="54"/>
      <c r="F549" s="54"/>
      <c r="G549" s="8"/>
      <c r="H549" s="8"/>
      <c r="I549" s="5"/>
      <c r="J549" s="5"/>
      <c r="K549" s="16"/>
      <c r="L549" s="8"/>
    </row>
    <row r="550" spans="2:12" x14ac:dyDescent="0.25">
      <c r="B550" s="45"/>
      <c r="C550" s="45"/>
      <c r="D550" s="45"/>
      <c r="E550" s="54"/>
      <c r="F550" s="54"/>
      <c r="G550" s="8"/>
      <c r="H550" s="8"/>
      <c r="I550" s="5"/>
      <c r="J550" s="5"/>
      <c r="K550" s="16"/>
      <c r="L550" s="8"/>
    </row>
    <row r="551" spans="2:12" x14ac:dyDescent="0.25">
      <c r="B551" s="45"/>
      <c r="C551" s="45"/>
      <c r="D551" s="45"/>
      <c r="E551" s="54"/>
      <c r="F551" s="54"/>
      <c r="G551" s="8"/>
      <c r="H551" s="8"/>
      <c r="I551" s="5"/>
      <c r="J551" s="5"/>
      <c r="K551" s="16"/>
      <c r="L551" s="8"/>
    </row>
    <row r="552" spans="2:12" x14ac:dyDescent="0.25">
      <c r="B552" s="45"/>
      <c r="C552" s="45"/>
      <c r="D552" s="45"/>
      <c r="E552" s="54"/>
      <c r="F552" s="54"/>
      <c r="G552" s="8"/>
      <c r="H552" s="8"/>
      <c r="I552" s="5"/>
      <c r="J552" s="5"/>
      <c r="K552" s="16"/>
      <c r="L552" s="8"/>
    </row>
    <row r="553" spans="2:12" x14ac:dyDescent="0.25">
      <c r="B553" s="45"/>
      <c r="C553" s="45"/>
      <c r="D553" s="45"/>
      <c r="E553" s="54"/>
      <c r="F553" s="54"/>
      <c r="G553" s="8"/>
      <c r="H553" s="8"/>
      <c r="I553" s="5"/>
      <c r="J553" s="5"/>
      <c r="K553" s="16"/>
      <c r="L553" s="8"/>
    </row>
    <row r="554" spans="2:12" x14ac:dyDescent="0.25">
      <c r="B554" s="45"/>
      <c r="C554" s="45"/>
      <c r="D554" s="45"/>
      <c r="E554" s="54"/>
      <c r="F554" s="54"/>
      <c r="G554" s="8"/>
      <c r="H554" s="8"/>
      <c r="I554" s="5"/>
      <c r="J554" s="5"/>
      <c r="K554" s="16"/>
      <c r="L554" s="8"/>
    </row>
    <row r="555" spans="2:12" x14ac:dyDescent="0.25">
      <c r="B555" s="45"/>
      <c r="C555" s="45"/>
      <c r="D555" s="45"/>
      <c r="E555" s="54"/>
      <c r="F555" s="54"/>
      <c r="G555" s="8"/>
      <c r="H555" s="8"/>
      <c r="I555" s="5"/>
      <c r="J555" s="5"/>
      <c r="K555" s="16"/>
      <c r="L555" s="8"/>
    </row>
    <row r="556" spans="2:12" x14ac:dyDescent="0.25">
      <c r="B556" s="45"/>
      <c r="C556" s="45"/>
      <c r="D556" s="45"/>
      <c r="E556" s="54"/>
      <c r="F556" s="54"/>
      <c r="G556" s="8"/>
      <c r="H556" s="8"/>
      <c r="I556" s="5"/>
      <c r="J556" s="5"/>
      <c r="K556" s="16"/>
      <c r="L556" s="8"/>
    </row>
    <row r="557" spans="2:12" x14ac:dyDescent="0.25">
      <c r="B557" s="45"/>
      <c r="C557" s="45"/>
      <c r="D557" s="45"/>
      <c r="E557" s="54"/>
      <c r="F557" s="54"/>
      <c r="G557" s="8"/>
      <c r="H557" s="8"/>
      <c r="I557" s="5"/>
      <c r="J557" s="5"/>
      <c r="K557" s="16"/>
      <c r="L557" s="8"/>
    </row>
    <row r="558" spans="2:12" x14ac:dyDescent="0.25">
      <c r="B558" s="45"/>
      <c r="C558" s="45"/>
      <c r="D558" s="45"/>
      <c r="E558" s="54"/>
      <c r="F558" s="54"/>
      <c r="G558" s="8"/>
      <c r="H558" s="8"/>
      <c r="I558" s="5"/>
      <c r="J558" s="5"/>
      <c r="K558" s="16"/>
      <c r="L558" s="8"/>
    </row>
    <row r="559" spans="2:12" x14ac:dyDescent="0.25">
      <c r="B559" s="45"/>
      <c r="C559" s="45"/>
      <c r="D559" s="45"/>
      <c r="E559" s="54"/>
      <c r="F559" s="54"/>
      <c r="G559" s="8"/>
      <c r="H559" s="8"/>
      <c r="I559" s="5"/>
      <c r="J559" s="5"/>
      <c r="K559" s="16"/>
      <c r="L559" s="8"/>
    </row>
    <row r="560" spans="2:12" x14ac:dyDescent="0.25">
      <c r="B560" s="45"/>
      <c r="C560" s="45"/>
      <c r="D560" s="45"/>
      <c r="E560" s="54"/>
      <c r="F560" s="54"/>
      <c r="G560" s="8"/>
      <c r="H560" s="8"/>
      <c r="I560" s="5"/>
      <c r="J560" s="5"/>
      <c r="K560" s="16"/>
      <c r="L560" s="8"/>
    </row>
    <row r="561" spans="2:12" x14ac:dyDescent="0.25">
      <c r="B561" s="45"/>
      <c r="C561" s="45"/>
      <c r="D561" s="45"/>
      <c r="E561" s="54"/>
      <c r="F561" s="54"/>
      <c r="G561" s="8"/>
      <c r="H561" s="8"/>
      <c r="I561" s="5"/>
      <c r="J561" s="5"/>
      <c r="K561" s="16"/>
      <c r="L561" s="8"/>
    </row>
  </sheetData>
  <mergeCells count="17">
    <mergeCell ref="B8:L8"/>
    <mergeCell ref="B91:L91"/>
    <mergeCell ref="B130:L130"/>
    <mergeCell ref="B182:L182"/>
    <mergeCell ref="B119:L119"/>
    <mergeCell ref="B62:L62"/>
    <mergeCell ref="B150:L150"/>
    <mergeCell ref="B162:L162"/>
    <mergeCell ref="B203:L203"/>
    <mergeCell ref="B402:L402"/>
    <mergeCell ref="B214:L214"/>
    <mergeCell ref="B407:L407"/>
    <mergeCell ref="B281:L281"/>
    <mergeCell ref="B265:L265"/>
    <mergeCell ref="B302:L302"/>
    <mergeCell ref="B385:L385"/>
    <mergeCell ref="B349:L349"/>
  </mergeCells>
  <phoneticPr fontId="3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3:J26"/>
  <sheetViews>
    <sheetView workbookViewId="0">
      <selection activeCell="B26" sqref="B26:J26"/>
    </sheetView>
  </sheetViews>
  <sheetFormatPr defaultRowHeight="15" x14ac:dyDescent="0.25"/>
  <cols>
    <col min="1" max="1" width="11.28515625" bestFit="1" customWidth="1"/>
    <col min="2" max="2" width="16" customWidth="1"/>
    <col min="3" max="3" width="14" customWidth="1"/>
    <col min="4" max="4" width="24.42578125" customWidth="1"/>
    <col min="5" max="5" width="14.85546875" customWidth="1"/>
    <col min="7" max="7" width="69.7109375" customWidth="1"/>
    <col min="8" max="8" width="30.42578125" customWidth="1"/>
    <col min="10" max="10" width="10" bestFit="1" customWidth="1"/>
  </cols>
  <sheetData>
    <row r="3" spans="1:10" x14ac:dyDescent="0.25">
      <c r="A3" s="18" t="s">
        <v>85</v>
      </c>
      <c r="B3" s="27">
        <v>45981</v>
      </c>
      <c r="C3" s="18" t="s">
        <v>8</v>
      </c>
      <c r="D3" s="28" t="s">
        <v>13</v>
      </c>
      <c r="E3" s="29">
        <v>600192</v>
      </c>
      <c r="F3" s="5" t="s">
        <v>74</v>
      </c>
      <c r="G3" s="18" t="s">
        <v>73</v>
      </c>
      <c r="H3" s="5">
        <v>1</v>
      </c>
      <c r="I3" s="30">
        <v>500</v>
      </c>
      <c r="J3" s="26" t="s">
        <v>242</v>
      </c>
    </row>
    <row r="4" spans="1:10" x14ac:dyDescent="0.25">
      <c r="A4" s="8" t="s">
        <v>115</v>
      </c>
      <c r="B4" s="9">
        <v>45995</v>
      </c>
      <c r="C4" s="31" t="s">
        <v>8</v>
      </c>
      <c r="D4" s="22" t="s">
        <v>66</v>
      </c>
      <c r="E4" s="32">
        <v>400179</v>
      </c>
      <c r="F4" s="33" t="s">
        <v>92</v>
      </c>
      <c r="G4" s="31" t="s">
        <v>65</v>
      </c>
      <c r="H4" s="33">
        <v>0.19739999999999999</v>
      </c>
      <c r="I4" s="34">
        <v>200</v>
      </c>
      <c r="J4" s="26" t="s">
        <v>242</v>
      </c>
    </row>
    <row r="5" spans="1:10" x14ac:dyDescent="0.25">
      <c r="C5" s="38" t="s">
        <v>8</v>
      </c>
      <c r="D5" s="38" t="s">
        <v>166</v>
      </c>
      <c r="E5" s="39">
        <v>800140</v>
      </c>
      <c r="F5" s="22" t="s">
        <v>286</v>
      </c>
      <c r="G5" s="38" t="s">
        <v>287</v>
      </c>
      <c r="H5" s="5">
        <v>0.2351</v>
      </c>
      <c r="I5" s="40">
        <v>1500</v>
      </c>
    </row>
    <row r="6" spans="1:10" x14ac:dyDescent="0.25">
      <c r="C6" s="38" t="s">
        <v>8</v>
      </c>
      <c r="D6" s="39" t="s">
        <v>288</v>
      </c>
      <c r="E6" s="39">
        <v>500135</v>
      </c>
      <c r="F6" s="41"/>
      <c r="G6" s="38" t="s">
        <v>41</v>
      </c>
      <c r="H6" s="33">
        <v>0.21440000000000001</v>
      </c>
      <c r="I6" s="38">
        <v>500</v>
      </c>
    </row>
    <row r="7" spans="1:10" x14ac:dyDescent="0.25">
      <c r="B7" s="42">
        <v>45953</v>
      </c>
      <c r="C7" s="35" t="s">
        <v>8</v>
      </c>
      <c r="D7" s="35" t="s">
        <v>13</v>
      </c>
      <c r="E7" s="36">
        <v>100007</v>
      </c>
      <c r="F7" s="6" t="s">
        <v>289</v>
      </c>
      <c r="G7" s="35" t="s">
        <v>290</v>
      </c>
      <c r="H7" s="37">
        <v>0.28460000000000002</v>
      </c>
      <c r="I7" s="35">
        <v>300</v>
      </c>
    </row>
    <row r="8" spans="1:10" x14ac:dyDescent="0.25">
      <c r="A8" s="8" t="s">
        <v>216</v>
      </c>
      <c r="B8" s="9">
        <v>45995</v>
      </c>
      <c r="C8" s="8" t="s">
        <v>8</v>
      </c>
      <c r="D8" s="6" t="s">
        <v>134</v>
      </c>
      <c r="E8" s="7">
        <v>200194</v>
      </c>
      <c r="F8" s="5" t="s">
        <v>49</v>
      </c>
      <c r="G8" s="8" t="s">
        <v>51</v>
      </c>
      <c r="H8" s="5">
        <v>0.44619999999999999</v>
      </c>
      <c r="I8" s="16">
        <v>500</v>
      </c>
    </row>
    <row r="9" spans="1:10" x14ac:dyDescent="0.25">
      <c r="A9" s="8" t="s">
        <v>278</v>
      </c>
      <c r="B9" s="9">
        <v>46037</v>
      </c>
      <c r="C9" s="8" t="s">
        <v>8</v>
      </c>
      <c r="D9" s="6" t="s">
        <v>190</v>
      </c>
      <c r="E9" s="7">
        <v>200685</v>
      </c>
      <c r="F9" s="5" t="s">
        <v>55</v>
      </c>
      <c r="G9" s="8" t="s">
        <v>54</v>
      </c>
      <c r="H9" s="5">
        <v>0.68500000000000005</v>
      </c>
      <c r="I9" s="16">
        <v>100</v>
      </c>
    </row>
    <row r="10" spans="1:10" x14ac:dyDescent="0.25">
      <c r="C10" s="8" t="s">
        <v>8</v>
      </c>
      <c r="D10" s="6" t="s">
        <v>20</v>
      </c>
      <c r="E10" s="7">
        <v>901395</v>
      </c>
      <c r="F10" s="21" t="s">
        <v>282</v>
      </c>
      <c r="G10" s="8" t="s">
        <v>342</v>
      </c>
      <c r="H10" s="5">
        <v>0.15379999999999999</v>
      </c>
      <c r="I10" s="16">
        <v>35000</v>
      </c>
      <c r="J10" s="19" t="s">
        <v>341</v>
      </c>
    </row>
    <row r="11" spans="1:10" x14ac:dyDescent="0.25">
      <c r="A11" s="12"/>
      <c r="B11" s="12"/>
      <c r="C11" s="8" t="s">
        <v>8</v>
      </c>
      <c r="D11" s="6" t="s">
        <v>332</v>
      </c>
      <c r="E11" s="8">
        <v>400639</v>
      </c>
      <c r="F11" s="5" t="s">
        <v>333</v>
      </c>
      <c r="G11" s="8" t="s">
        <v>378</v>
      </c>
      <c r="H11" s="5">
        <v>0.83699999999999997</v>
      </c>
      <c r="I11" s="16">
        <v>300</v>
      </c>
      <c r="J11" s="43"/>
    </row>
    <row r="12" spans="1:10" x14ac:dyDescent="0.25">
      <c r="A12" s="12"/>
      <c r="B12" s="12"/>
      <c r="C12" s="8" t="s">
        <v>8</v>
      </c>
      <c r="D12" s="6" t="s">
        <v>334</v>
      </c>
      <c r="E12" s="8">
        <v>400439</v>
      </c>
      <c r="F12" s="5" t="s">
        <v>335</v>
      </c>
      <c r="G12" s="8" t="s">
        <v>377</v>
      </c>
      <c r="H12" s="5">
        <v>0.30059999999999998</v>
      </c>
      <c r="I12" s="16">
        <v>1000</v>
      </c>
      <c r="J12" s="43"/>
    </row>
    <row r="13" spans="1:10" x14ac:dyDescent="0.25">
      <c r="A13" s="12"/>
      <c r="B13" s="24" t="s">
        <v>133</v>
      </c>
      <c r="C13" s="8" t="s">
        <v>8</v>
      </c>
      <c r="D13" s="6" t="s">
        <v>19</v>
      </c>
      <c r="E13" s="7">
        <v>400067</v>
      </c>
      <c r="F13" s="5" t="s">
        <v>30</v>
      </c>
      <c r="G13" s="8" t="s">
        <v>381</v>
      </c>
      <c r="H13" s="5">
        <v>0.34789999999999999</v>
      </c>
      <c r="I13" s="16">
        <v>1000</v>
      </c>
      <c r="J13" s="19" t="s">
        <v>318</v>
      </c>
    </row>
    <row r="14" spans="1:10" x14ac:dyDescent="0.25">
      <c r="A14" s="8" t="s">
        <v>85</v>
      </c>
      <c r="B14" s="24" t="s">
        <v>133</v>
      </c>
      <c r="C14" s="8" t="s">
        <v>8</v>
      </c>
      <c r="D14" s="6" t="s">
        <v>13</v>
      </c>
      <c r="E14" s="7">
        <v>900059</v>
      </c>
      <c r="F14" s="5" t="s">
        <v>75</v>
      </c>
      <c r="G14" s="8" t="s">
        <v>379</v>
      </c>
      <c r="H14" s="5">
        <v>0.1231</v>
      </c>
      <c r="I14" s="16">
        <v>24000</v>
      </c>
      <c r="J14" s="19" t="s">
        <v>36</v>
      </c>
    </row>
    <row r="15" spans="1:10" x14ac:dyDescent="0.25">
      <c r="A15" s="8" t="s">
        <v>85</v>
      </c>
      <c r="B15" s="24" t="s">
        <v>133</v>
      </c>
      <c r="C15" s="8" t="s">
        <v>8</v>
      </c>
      <c r="D15" s="6" t="s">
        <v>13</v>
      </c>
      <c r="E15" s="7">
        <v>700052</v>
      </c>
      <c r="F15" s="5" t="s">
        <v>82</v>
      </c>
      <c r="G15" s="8" t="s">
        <v>380</v>
      </c>
      <c r="H15" s="5">
        <v>0.26919999999999999</v>
      </c>
      <c r="I15" s="16">
        <v>2000</v>
      </c>
      <c r="J15" s="19" t="s">
        <v>318</v>
      </c>
    </row>
    <row r="16" spans="1:10" x14ac:dyDescent="0.25">
      <c r="A16" s="8" t="s">
        <v>304</v>
      </c>
      <c r="B16" s="9">
        <v>46037</v>
      </c>
      <c r="C16" s="8" t="s">
        <v>8</v>
      </c>
      <c r="D16" s="6" t="s">
        <v>291</v>
      </c>
      <c r="E16" s="8">
        <v>401448</v>
      </c>
      <c r="F16" s="5" t="s">
        <v>42</v>
      </c>
      <c r="G16" s="8" t="s">
        <v>45</v>
      </c>
      <c r="H16" s="5">
        <v>0.25380000000000003</v>
      </c>
      <c r="I16" s="16">
        <v>250</v>
      </c>
    </row>
    <row r="17" spans="1:10" x14ac:dyDescent="0.25">
      <c r="A17" s="8" t="s">
        <v>345</v>
      </c>
      <c r="B17" s="9">
        <v>46051</v>
      </c>
      <c r="C17" s="8" t="s">
        <v>8</v>
      </c>
      <c r="D17" s="6" t="s">
        <v>309</v>
      </c>
      <c r="E17" s="8">
        <v>400590</v>
      </c>
      <c r="F17" s="5" t="s">
        <v>311</v>
      </c>
      <c r="G17" s="8" t="s">
        <v>312</v>
      </c>
      <c r="H17" s="5">
        <v>0.16500000000000001</v>
      </c>
      <c r="I17" s="16">
        <v>500</v>
      </c>
      <c r="J17" s="19"/>
    </row>
    <row r="18" spans="1:10" x14ac:dyDescent="0.25">
      <c r="A18" s="18" t="s">
        <v>455</v>
      </c>
      <c r="B18" s="27">
        <v>46065</v>
      </c>
      <c r="C18" s="8" t="s">
        <v>8</v>
      </c>
      <c r="D18" s="6" t="s">
        <v>444</v>
      </c>
      <c r="E18" s="8">
        <v>100833</v>
      </c>
      <c r="F18" s="5" t="s">
        <v>446</v>
      </c>
      <c r="G18" s="8" t="s">
        <v>445</v>
      </c>
      <c r="H18" s="5">
        <v>0.1643</v>
      </c>
      <c r="I18" s="16">
        <v>8450</v>
      </c>
    </row>
    <row r="20" spans="1:10" x14ac:dyDescent="0.25">
      <c r="A20" s="18" t="s">
        <v>643</v>
      </c>
      <c r="B20" s="27">
        <v>46093</v>
      </c>
      <c r="C20" s="8" t="s">
        <v>8</v>
      </c>
      <c r="D20" s="6" t="s">
        <v>569</v>
      </c>
      <c r="E20" s="8">
        <v>100099</v>
      </c>
      <c r="F20" s="5" t="s">
        <v>573</v>
      </c>
      <c r="G20" s="8" t="s">
        <v>574</v>
      </c>
      <c r="H20" s="5">
        <v>0.52390000000000003</v>
      </c>
      <c r="I20" s="16">
        <v>1000</v>
      </c>
      <c r="J20" s="10"/>
    </row>
    <row r="21" spans="1:10" x14ac:dyDescent="0.25">
      <c r="A21" s="18" t="s">
        <v>643</v>
      </c>
      <c r="B21" s="27">
        <v>46093</v>
      </c>
      <c r="C21" s="8" t="s">
        <v>8</v>
      </c>
      <c r="D21" s="6" t="s">
        <v>569</v>
      </c>
      <c r="E21" s="8">
        <v>401586</v>
      </c>
      <c r="F21" s="5" t="s">
        <v>575</v>
      </c>
      <c r="G21" s="8" t="s">
        <v>576</v>
      </c>
      <c r="H21" s="5">
        <v>0.58460000000000001</v>
      </c>
      <c r="I21" s="16">
        <v>625</v>
      </c>
      <c r="J21" s="10"/>
    </row>
    <row r="22" spans="1:10" x14ac:dyDescent="0.25">
      <c r="A22" s="12"/>
      <c r="B22" s="27">
        <v>46156</v>
      </c>
      <c r="C22" s="8" t="s">
        <v>8</v>
      </c>
      <c r="D22" s="6" t="s">
        <v>691</v>
      </c>
      <c r="E22" s="8">
        <v>401537</v>
      </c>
      <c r="F22" s="86"/>
      <c r="G22" s="5" t="s">
        <v>692</v>
      </c>
      <c r="H22" s="5">
        <v>0.32419999999999999</v>
      </c>
      <c r="I22" s="16">
        <v>631</v>
      </c>
    </row>
    <row r="24" spans="1:10" x14ac:dyDescent="0.25">
      <c r="A24" s="18" t="s">
        <v>696</v>
      </c>
      <c r="B24" s="27">
        <v>46093</v>
      </c>
      <c r="C24" s="8" t="s">
        <v>8</v>
      </c>
      <c r="D24" s="6" t="s">
        <v>683</v>
      </c>
      <c r="E24" s="8">
        <v>100583</v>
      </c>
      <c r="F24" s="8" t="s">
        <v>113</v>
      </c>
      <c r="G24" s="5" t="s">
        <v>105</v>
      </c>
      <c r="H24" s="5">
        <v>0.23980000000000001</v>
      </c>
      <c r="I24" s="16">
        <v>3000</v>
      </c>
    </row>
    <row r="26" spans="1:10" x14ac:dyDescent="0.25">
      <c r="A26" s="87"/>
      <c r="B26" s="88"/>
      <c r="C26" s="8" t="s">
        <v>8</v>
      </c>
      <c r="D26" s="6" t="s">
        <v>919</v>
      </c>
      <c r="E26" s="8">
        <v>401475</v>
      </c>
      <c r="F26" s="8" t="s">
        <v>930</v>
      </c>
      <c r="G26" s="5" t="s">
        <v>931</v>
      </c>
      <c r="H26" s="5">
        <v>0.37690000000000001</v>
      </c>
      <c r="I26" s="16">
        <v>1024</v>
      </c>
      <c r="J26" s="10" t="s">
        <v>920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İptaller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Sales .</cp:lastModifiedBy>
  <dcterms:created xsi:type="dcterms:W3CDTF">2017-12-06T12:35:14Z</dcterms:created>
  <dcterms:modified xsi:type="dcterms:W3CDTF">2026-03-13T13:51:43Z</dcterms:modified>
</cp:coreProperties>
</file>