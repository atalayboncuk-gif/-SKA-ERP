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filterPrivacy="1"/>
  <xr:revisionPtr revIDLastSave="0" documentId="13_ncr:1_{BE7F28F9-33A9-4F14-BCF3-342A4FC38BE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YILLIK MİKT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42" i="2" l="1"/>
  <c r="X42" i="2"/>
  <c r="W42" i="2"/>
  <c r="V42" i="2" l="1"/>
  <c r="U42" i="2" l="1"/>
  <c r="N42" i="2"/>
  <c r="T42" i="2"/>
  <c r="S42" i="2"/>
  <c r="R42" i="2"/>
  <c r="Q42" i="2"/>
  <c r="P42" i="2"/>
  <c r="O42" i="2"/>
  <c r="M42" i="2"/>
  <c r="L42" i="2"/>
  <c r="K42" i="2"/>
  <c r="J42" i="2"/>
  <c r="I42" i="2"/>
  <c r="H42" i="2"/>
  <c r="G42" i="2"/>
  <c r="F42" i="2"/>
  <c r="E42" i="2"/>
  <c r="D42" i="2"/>
</calcChain>
</file>

<file path=xl/sharedStrings.xml><?xml version="1.0" encoding="utf-8"?>
<sst xmlns="http://schemas.openxmlformats.org/spreadsheetml/2006/main" count="433" uniqueCount="113">
  <si>
    <t>NETSIS</t>
  </si>
  <si>
    <t>ISKA CODE</t>
  </si>
  <si>
    <t>DESC. OF GOOD</t>
  </si>
  <si>
    <t>PRICE</t>
  </si>
  <si>
    <t>QUANTITIY</t>
  </si>
  <si>
    <t>NOTES</t>
  </si>
  <si>
    <t>ALGROUP CODE</t>
  </si>
  <si>
    <t>ALGROUP ORDER NO</t>
  </si>
  <si>
    <t>AKBANK</t>
  </si>
  <si>
    <t>EXW</t>
  </si>
  <si>
    <t>06-2340A0-83</t>
  </si>
  <si>
    <t>R 1930</t>
  </si>
  <si>
    <t>GASKET</t>
  </si>
  <si>
    <t>A.L. FILTER EAD</t>
  </si>
  <si>
    <t>1 HRISTO BOTEV BLVD.</t>
  </si>
  <si>
    <t>ROUSSE 7018</t>
  </si>
  <si>
    <t>BULGARIA</t>
  </si>
  <si>
    <t>60 GÜN VADE</t>
  </si>
  <si>
    <t>03-7500A0-83</t>
  </si>
  <si>
    <t xml:space="preserve">R 1932 </t>
  </si>
  <si>
    <t>08-7624B0-83</t>
  </si>
  <si>
    <t>R 1940 M/FV</t>
  </si>
  <si>
    <t>03-2217A0-83</t>
  </si>
  <si>
    <t>01-2440A0-83</t>
  </si>
  <si>
    <t>R 1952</t>
  </si>
  <si>
    <t>R 1939/4,5</t>
  </si>
  <si>
    <t>KALAN MİKTAR</t>
  </si>
  <si>
    <t>03-2160A0-83</t>
  </si>
  <si>
    <t>R 1968</t>
  </si>
  <si>
    <t xml:space="preserve">03-2160A0-83 </t>
  </si>
  <si>
    <t>ALMASI GEREKEN MİKTAR</t>
  </si>
  <si>
    <t>01-8909B0-83</t>
  </si>
  <si>
    <t>R 1942</t>
  </si>
  <si>
    <t>GASKET EPDM</t>
  </si>
  <si>
    <t>06-2054A0-83</t>
  </si>
  <si>
    <t>R 1970/4,6</t>
  </si>
  <si>
    <t>06-2060B0-83</t>
  </si>
  <si>
    <t>R 1991/4,1</t>
  </si>
  <si>
    <t>06-2050A0-83</t>
  </si>
  <si>
    <t>01-2062B0-83</t>
  </si>
  <si>
    <t>01-2216A0-83</t>
  </si>
  <si>
    <t>01-2052A0-83</t>
  </si>
  <si>
    <t>R 1992/3</t>
  </si>
  <si>
    <t>R 1993</t>
  </si>
  <si>
    <t>R 1995</t>
  </si>
  <si>
    <t>R 1994</t>
  </si>
  <si>
    <t>PAKET OLARAK</t>
  </si>
  <si>
    <t>01-2000A0-83</t>
  </si>
  <si>
    <t>R 2004</t>
  </si>
  <si>
    <t>NBR 60±5 SH BLACK</t>
  </si>
  <si>
    <t>PCS</t>
  </si>
  <si>
    <t>01-2025A0-83</t>
  </si>
  <si>
    <t>01-2172A0-83</t>
  </si>
  <si>
    <t>01-2217A0-83</t>
  </si>
  <si>
    <t>01-2257A0-83</t>
  </si>
  <si>
    <t>01-2273A0-83</t>
  </si>
  <si>
    <t>NBR 65±5 SH RED RAL****</t>
  </si>
  <si>
    <t>01-7557A0-83</t>
  </si>
  <si>
    <t>H-NBR 60±5 SH BLUE RAL****</t>
  </si>
  <si>
    <t>01-17016B0-83</t>
  </si>
  <si>
    <t>EPDM 20±3 SH BLACK</t>
  </si>
  <si>
    <t>R 2005</t>
  </si>
  <si>
    <t>R 2006</t>
  </si>
  <si>
    <t>01-2276A0-83</t>
  </si>
  <si>
    <t>R 2010</t>
  </si>
  <si>
    <t>R 2007</t>
  </si>
  <si>
    <t>R 2009</t>
  </si>
  <si>
    <t>01-7663A0-83</t>
  </si>
  <si>
    <t>08-7663A0-83</t>
  </si>
  <si>
    <t>R 2003</t>
  </si>
  <si>
    <t>R 2002</t>
  </si>
  <si>
    <t>R 2008</t>
  </si>
  <si>
    <t>01-20007B0-83</t>
  </si>
  <si>
    <t>R 2020</t>
  </si>
  <si>
    <t>08-2340A0-83</t>
  </si>
  <si>
    <t>R 2057</t>
  </si>
  <si>
    <t>03-2117A0-83</t>
  </si>
  <si>
    <t>R 2055</t>
  </si>
  <si>
    <t>B254534</t>
  </si>
  <si>
    <t>16.01.2026 SHIPMENT</t>
  </si>
  <si>
    <t>IHR-928</t>
  </si>
  <si>
    <t>02.02.2026 SHIPMENT</t>
  </si>
  <si>
    <t>B254890</t>
  </si>
  <si>
    <t>IHR-999</t>
  </si>
  <si>
    <t>B254957</t>
  </si>
  <si>
    <t>IHR-1027</t>
  </si>
  <si>
    <t>B255058</t>
  </si>
  <si>
    <t>IHR-1040</t>
  </si>
  <si>
    <t>R 1932</t>
  </si>
  <si>
    <t>B2614</t>
  </si>
  <si>
    <t>02.03.2026 SHIPMENT</t>
  </si>
  <si>
    <t>B26132</t>
  </si>
  <si>
    <t>08-7548B0-83</t>
  </si>
  <si>
    <t>R 2051</t>
  </si>
  <si>
    <t>IHR-27</t>
  </si>
  <si>
    <t>B26361</t>
  </si>
  <si>
    <t>01.04.2026 SHIPMENT</t>
  </si>
  <si>
    <t>B26279</t>
  </si>
  <si>
    <t>B26428</t>
  </si>
  <si>
    <t>08-4022A0-83</t>
  </si>
  <si>
    <t>B26525</t>
  </si>
  <si>
    <t>IHR-137</t>
  </si>
  <si>
    <t>B26577</t>
  </si>
  <si>
    <t>R 2058</t>
  </si>
  <si>
    <t>01.05.2026 SHIPMENT</t>
  </si>
  <si>
    <t>01.06.2026 SHIPMENT</t>
  </si>
  <si>
    <t>IHR-168</t>
  </si>
  <si>
    <t>B26808</t>
  </si>
  <si>
    <t xml:space="preserve"> 01-2135A0-83</t>
  </si>
  <si>
    <t xml:space="preserve">R 2053 </t>
  </si>
  <si>
    <t>B26919</t>
  </si>
  <si>
    <t>B26882</t>
  </si>
  <si>
    <t>IHR-256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</si>
</sst>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\ [$€-407]"/>
    <numFmt numFmtId="165" formatCode="[$$-409]#,##0.000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62"/>
      <scheme val="minor"/>
    </font>
    <font>
      <b/>
      <sz val="11"/>
      <color rgb="FF000000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4" xfId="0" applyBorder="1" applyAlignment="1">
      <alignment horizontal="center"/>
    </xf>
    <xf numFmtId="3" fontId="0" fillId="0" borderId="4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/>
    </xf>
    <xf numFmtId="164" fontId="2" fillId="0" borderId="4" xfId="0" applyNumberFormat="1" applyFont="1" applyBorder="1" applyAlignment="1">
      <alignment horizontal="center"/>
    </xf>
    <xf numFmtId="3" fontId="2" fillId="0" borderId="4" xfId="0" applyNumberFormat="1" applyFont="1" applyBorder="1" applyAlignment="1">
      <alignment horizontal="center"/>
    </xf>
    <xf numFmtId="165" fontId="0" fillId="0" borderId="4" xfId="0" applyNumberFormat="1" applyBorder="1" applyAlignment="1">
      <alignment horizontal="center"/>
    </xf>
    <xf numFmtId="14" fontId="0" fillId="0" borderId="4" xfId="0" applyNumberForma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4" xfId="0" applyFont="1" applyBorder="1" applyAlignment="1">
      <alignment horizontal="center" vertical="center" wrapText="1"/>
    </xf>
    <xf numFmtId="3" fontId="1" fillId="0" borderId="4" xfId="0" applyNumberFormat="1" applyFont="1" applyBorder="1" applyAlignment="1">
      <alignment horizontal="center" vertical="center"/>
    </xf>
    <xf numFmtId="0" fontId="0" fillId="2" borderId="4" xfId="0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3" fontId="1" fillId="2" borderId="4" xfId="0" applyNumberFormat="1" applyFont="1" applyFill="1" applyBorder="1" applyAlignment="1">
      <alignment horizontal="center" vertical="center"/>
    </xf>
    <xf numFmtId="3" fontId="0" fillId="2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left" vertical="center"/>
    </xf>
    <xf numFmtId="0" fontId="3" fillId="4" borderId="4" xfId="0" applyFont="1" applyFill="1" applyBorder="1" applyAlignment="1">
      <alignment vertical="center"/>
    </xf>
    <xf numFmtId="3" fontId="3" fillId="4" borderId="4" xfId="0" applyNumberFormat="1" applyFont="1" applyFill="1" applyBorder="1" applyAlignment="1">
      <alignment horizontal="right" vertical="center"/>
    </xf>
    <xf numFmtId="3" fontId="3" fillId="4" borderId="4" xfId="0" applyNumberFormat="1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left" vertical="center"/>
    </xf>
    <xf numFmtId="0" fontId="3" fillId="5" borderId="4" xfId="0" applyFont="1" applyFill="1" applyBorder="1" applyAlignment="1">
      <alignment vertical="center"/>
    </xf>
    <xf numFmtId="3" fontId="3" fillId="5" borderId="4" xfId="0" applyNumberFormat="1" applyFont="1" applyFill="1" applyBorder="1" applyAlignment="1">
      <alignment horizontal="right" vertical="center"/>
    </xf>
    <xf numFmtId="3" fontId="3" fillId="5" borderId="4" xfId="0" applyNumberFormat="1" applyFont="1" applyFill="1" applyBorder="1" applyAlignment="1">
      <alignment horizontal="center" vertical="center"/>
    </xf>
    <xf numFmtId="3" fontId="4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0" fontId="4" fillId="0" borderId="4" xfId="0" applyFont="1" applyBorder="1" applyAlignment="1">
      <alignment horizontal="center"/>
    </xf>
    <xf numFmtId="165" fontId="4" fillId="0" borderId="4" xfId="0" applyNumberFormat="1" applyFont="1" applyBorder="1" applyAlignment="1">
      <alignment horizontal="center"/>
    </xf>
    <xf numFmtId="14" fontId="5" fillId="2" borderId="1" xfId="0" applyNumberFormat="1" applyFont="1" applyFill="1" applyBorder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400050</xdr:colOff>
      <xdr:row>2</xdr:row>
      <xdr:rowOff>85725</xdr:rowOff>
    </xdr:from>
    <xdr:to>
      <xdr:col>3</xdr:col>
      <xdr:colOff>763120</xdr:colOff>
      <xdr:row>6</xdr:row>
      <xdr:rowOff>0</xdr:rowOff>
    </xdr:to>
    <xdr:pic>
      <xdr:nvPicPr>
        <xdr:cNvPr id="2" name="2 Resim" descr="C:\Documents and Settings\sıdıka\Local Settings\Temporary Internet Files\Content.Word\logo ıska.jpg">
          <a:extLst>
            <a:ext uri="{FF2B5EF4-FFF2-40B4-BE49-F238E27FC236}">
              <a16:creationId xmlns:a16="http://schemas.microsoft.com/office/drawing/2014/main" id="{A91173E6-E680-49E6-A4D0-C056FE899B67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619250" y="466725"/>
          <a:ext cx="1220320" cy="676275"/>
        </a:xfrm>
        <a:prstGeom prst="rect">
          <a:avLst/>
        </a:prstGeom>
        <a:solidFill>
          <a:srgbClr val="00B9FA"/>
        </a:solidFill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L92"/>
  <sheetViews>
    <sheetView tabSelected="1" topLeftCell="A61" zoomScale="85" zoomScaleNormal="85" workbookViewId="0">
      <selection activeCell="F77" sqref="F77"/>
    </sheetView>
  </sheetViews>
  <sheetFormatPr defaultRowHeight="15" x14ac:dyDescent="0.25"/>
  <cols>
    <col min="1" max="2" width="9.140625" style="3"/>
    <col min="3" max="3" width="12.85546875" style="3" customWidth="1"/>
    <col min="4" max="4" width="19.7109375" style="3" bestFit="1" customWidth="1"/>
    <col min="5" max="5" width="22.5703125" style="3" bestFit="1" customWidth="1"/>
    <col min="6" max="6" width="12.140625" style="3" bestFit="1" customWidth="1"/>
    <col min="7" max="7" width="43.85546875" style="3" customWidth="1"/>
    <col min="8" max="8" width="13.7109375" style="3" customWidth="1"/>
    <col min="9" max="9" width="12.140625" style="3" customWidth="1"/>
    <col min="10" max="10" width="76.7109375" style="3" customWidth="1"/>
    <col min="11" max="11" width="14.28515625" style="3" customWidth="1"/>
    <col min="12" max="12" width="12.28515625" style="3" bestFit="1" customWidth="1"/>
    <col min="13" max="16384" width="9.140625" style="3"/>
  </cols>
  <sheetData>
    <row r="5" spans="3:12" x14ac:dyDescent="0.25">
      <c r="G5" s="3" t="s">
        <v>17</v>
      </c>
      <c r="J5" s="3" t="s">
        <v>13</v>
      </c>
    </row>
    <row r="6" spans="3:12" x14ac:dyDescent="0.25">
      <c r="G6" s="3" t="s">
        <v>9</v>
      </c>
      <c r="J6" s="3" t="s">
        <v>14</v>
      </c>
    </row>
    <row r="7" spans="3:12" x14ac:dyDescent="0.25">
      <c r="G7" s="3" t="s">
        <v>8</v>
      </c>
      <c r="J7" s="3" t="s">
        <v>15</v>
      </c>
    </row>
    <row r="8" spans="3:12" x14ac:dyDescent="0.25">
      <c r="J8" s="3" t="s">
        <v>16</v>
      </c>
    </row>
    <row r="9" spans="3:12" x14ac:dyDescent="0.25">
      <c r="C9" s="4" t="s">
        <v>0</v>
      </c>
      <c r="D9" s="4" t="s">
        <v>7</v>
      </c>
      <c r="E9" s="4" t="s">
        <v>6</v>
      </c>
      <c r="F9" s="4" t="s">
        <v>1</v>
      </c>
      <c r="G9" s="4" t="s">
        <v>2</v>
      </c>
      <c r="H9" s="5" t="s">
        <v>3</v>
      </c>
      <c r="I9" s="6" t="s">
        <v>4</v>
      </c>
      <c r="J9" s="4" t="s">
        <v>5</v>
      </c>
    </row>
    <row r="10" spans="3:12" x14ac:dyDescent="0.25">
      <c r="C10" s="31" t="s">
        <v>79</v>
      </c>
      <c r="D10" s="32"/>
      <c r="E10" s="32"/>
      <c r="F10" s="32"/>
      <c r="G10" s="32"/>
      <c r="H10" s="32"/>
      <c r="I10" s="32"/>
      <c r="J10" s="33"/>
    </row>
    <row r="11" spans="3:12" x14ac:dyDescent="0.25">
      <c r="C11" s="1" t="s">
        <v>80</v>
      </c>
      <c r="D11" s="1" t="s">
        <v>78</v>
      </c>
      <c r="E11" s="1" t="s">
        <v>54</v>
      </c>
      <c r="F11" s="1" t="s">
        <v>71</v>
      </c>
      <c r="G11" s="1" t="s">
        <v>12</v>
      </c>
      <c r="H11" s="7">
        <v>4.1799999999999997E-2</v>
      </c>
      <c r="I11" s="27">
        <v>6000</v>
      </c>
      <c r="J11" s="1"/>
      <c r="L11" s="28"/>
    </row>
    <row r="12" spans="3:12" x14ac:dyDescent="0.25">
      <c r="C12" s="1" t="s">
        <v>80</v>
      </c>
      <c r="D12" s="1" t="s">
        <v>78</v>
      </c>
      <c r="E12" s="1" t="s">
        <v>34</v>
      </c>
      <c r="F12" s="1" t="s">
        <v>35</v>
      </c>
      <c r="G12" s="1" t="s">
        <v>12</v>
      </c>
      <c r="H12" s="7">
        <v>2.0400000000000001E-2</v>
      </c>
      <c r="I12" s="27">
        <v>16000</v>
      </c>
      <c r="J12" s="1"/>
      <c r="L12" s="28"/>
    </row>
    <row r="13" spans="3:12" x14ac:dyDescent="0.25">
      <c r="C13" s="1" t="s">
        <v>80</v>
      </c>
      <c r="D13" s="1" t="s">
        <v>78</v>
      </c>
      <c r="E13" s="1" t="s">
        <v>39</v>
      </c>
      <c r="F13" s="1" t="s">
        <v>43</v>
      </c>
      <c r="G13" s="1" t="s">
        <v>12</v>
      </c>
      <c r="H13" s="7">
        <v>0.05</v>
      </c>
      <c r="I13" s="27">
        <v>6500</v>
      </c>
      <c r="J13" s="1"/>
      <c r="L13" s="28"/>
    </row>
    <row r="14" spans="3:12" x14ac:dyDescent="0.25">
      <c r="C14" s="1" t="s">
        <v>80</v>
      </c>
      <c r="D14" s="1" t="s">
        <v>78</v>
      </c>
      <c r="E14" s="1" t="s">
        <v>55</v>
      </c>
      <c r="F14" s="1" t="s">
        <v>66</v>
      </c>
      <c r="G14" s="1" t="s">
        <v>12</v>
      </c>
      <c r="H14" s="7">
        <v>6.5600000000000006E-2</v>
      </c>
      <c r="I14" s="27">
        <v>13500</v>
      </c>
      <c r="J14" s="1"/>
      <c r="L14" s="28"/>
    </row>
    <row r="15" spans="3:12" x14ac:dyDescent="0.25">
      <c r="C15" s="1" t="s">
        <v>80</v>
      </c>
      <c r="D15" s="1" t="s">
        <v>78</v>
      </c>
      <c r="E15" s="1" t="s">
        <v>23</v>
      </c>
      <c r="F15" s="1" t="s">
        <v>25</v>
      </c>
      <c r="G15" s="1" t="s">
        <v>12</v>
      </c>
      <c r="H15" s="7">
        <v>2.2700000000000001E-2</v>
      </c>
      <c r="I15" s="27">
        <v>60000</v>
      </c>
      <c r="J15" s="1"/>
      <c r="L15" s="28"/>
    </row>
    <row r="16" spans="3:12" x14ac:dyDescent="0.25">
      <c r="C16" s="1" t="s">
        <v>80</v>
      </c>
      <c r="D16" s="1" t="s">
        <v>78</v>
      </c>
      <c r="E16" s="1" t="s">
        <v>10</v>
      </c>
      <c r="F16" s="1" t="s">
        <v>11</v>
      </c>
      <c r="G16" s="1" t="s">
        <v>12</v>
      </c>
      <c r="H16" s="7">
        <v>4.1700000000000001E-2</v>
      </c>
      <c r="I16" s="27">
        <v>49000</v>
      </c>
      <c r="J16" s="1"/>
      <c r="L16" s="28"/>
    </row>
    <row r="17" spans="3:12" x14ac:dyDescent="0.25">
      <c r="C17" s="1" t="s">
        <v>80</v>
      </c>
      <c r="D17" s="1" t="s">
        <v>78</v>
      </c>
      <c r="E17" s="1" t="s">
        <v>41</v>
      </c>
      <c r="F17" s="1" t="s">
        <v>45</v>
      </c>
      <c r="G17" s="1" t="s">
        <v>12</v>
      </c>
      <c r="H17" s="7">
        <v>4.4999999999999998E-2</v>
      </c>
      <c r="I17" s="27">
        <v>11000</v>
      </c>
      <c r="J17" s="1"/>
      <c r="L17" s="28"/>
    </row>
    <row r="18" spans="3:12" x14ac:dyDescent="0.25">
      <c r="C18" s="1" t="s">
        <v>80</v>
      </c>
      <c r="D18" s="1" t="s">
        <v>78</v>
      </c>
      <c r="E18" s="1" t="s">
        <v>31</v>
      </c>
      <c r="F18" s="1" t="s">
        <v>32</v>
      </c>
      <c r="G18" s="1" t="s">
        <v>33</v>
      </c>
      <c r="H18" s="7">
        <v>0.25</v>
      </c>
      <c r="I18" s="27">
        <v>39000</v>
      </c>
      <c r="J18" s="1"/>
      <c r="L18" s="28"/>
    </row>
    <row r="19" spans="3:12" x14ac:dyDescent="0.25">
      <c r="C19" s="1" t="s">
        <v>85</v>
      </c>
      <c r="D19" s="1" t="s">
        <v>84</v>
      </c>
      <c r="E19" s="1" t="s">
        <v>72</v>
      </c>
      <c r="F19" s="1" t="s">
        <v>73</v>
      </c>
      <c r="G19" s="1" t="s">
        <v>12</v>
      </c>
      <c r="H19" s="7">
        <v>0.12870000000000001</v>
      </c>
      <c r="I19" s="27">
        <v>5000</v>
      </c>
      <c r="J19" s="1"/>
      <c r="L19" s="28"/>
    </row>
    <row r="20" spans="3:12" x14ac:dyDescent="0.25">
      <c r="C20" s="31" t="s">
        <v>81</v>
      </c>
      <c r="D20" s="32"/>
      <c r="E20" s="32"/>
      <c r="F20" s="32"/>
      <c r="G20" s="32"/>
      <c r="H20" s="32"/>
      <c r="I20" s="32"/>
      <c r="J20" s="33"/>
      <c r="L20" s="28"/>
    </row>
    <row r="21" spans="3:12" x14ac:dyDescent="0.25">
      <c r="C21" s="1" t="s">
        <v>83</v>
      </c>
      <c r="D21" s="1" t="s">
        <v>82</v>
      </c>
      <c r="E21" s="1" t="s">
        <v>52</v>
      </c>
      <c r="F21" s="1" t="s">
        <v>62</v>
      </c>
      <c r="G21" s="1" t="s">
        <v>12</v>
      </c>
      <c r="H21" s="7">
        <v>0.06</v>
      </c>
      <c r="I21" s="27">
        <v>8000</v>
      </c>
      <c r="J21" s="1"/>
      <c r="L21" s="28"/>
    </row>
    <row r="22" spans="3:12" x14ac:dyDescent="0.25">
      <c r="C22" s="1" t="s">
        <v>83</v>
      </c>
      <c r="D22" s="1" t="s">
        <v>82</v>
      </c>
      <c r="E22" s="1" t="s">
        <v>40</v>
      </c>
      <c r="F22" s="1" t="s">
        <v>44</v>
      </c>
      <c r="G22" s="1" t="s">
        <v>12</v>
      </c>
      <c r="H22" s="7">
        <v>3.9100000000000003E-2</v>
      </c>
      <c r="I22" s="27">
        <v>6000</v>
      </c>
      <c r="J22" s="1"/>
      <c r="L22" s="28"/>
    </row>
    <row r="23" spans="3:12" x14ac:dyDescent="0.25">
      <c r="C23" s="1" t="s">
        <v>85</v>
      </c>
      <c r="D23" s="1" t="s">
        <v>84</v>
      </c>
      <c r="E23" s="1" t="s">
        <v>27</v>
      </c>
      <c r="F23" s="1" t="s">
        <v>28</v>
      </c>
      <c r="G23" s="1" t="s">
        <v>12</v>
      </c>
      <c r="H23" s="7">
        <v>3.5099999999999999E-2</v>
      </c>
      <c r="I23" s="27">
        <v>12000</v>
      </c>
      <c r="J23" s="1"/>
      <c r="L23" s="28"/>
    </row>
    <row r="24" spans="3:12" x14ac:dyDescent="0.25">
      <c r="C24" s="1" t="s">
        <v>85</v>
      </c>
      <c r="D24" s="1" t="s">
        <v>84</v>
      </c>
      <c r="E24" s="1" t="s">
        <v>52</v>
      </c>
      <c r="F24" s="1" t="s">
        <v>62</v>
      </c>
      <c r="G24" s="1" t="s">
        <v>12</v>
      </c>
      <c r="H24" s="7">
        <v>0.06</v>
      </c>
      <c r="I24" s="27">
        <v>13000</v>
      </c>
      <c r="J24" s="1"/>
      <c r="L24" s="28"/>
    </row>
    <row r="25" spans="3:12" x14ac:dyDescent="0.25">
      <c r="C25" s="1" t="s">
        <v>85</v>
      </c>
      <c r="D25" s="1" t="s">
        <v>84</v>
      </c>
      <c r="E25" s="1" t="s">
        <v>63</v>
      </c>
      <c r="F25" s="1" t="s">
        <v>64</v>
      </c>
      <c r="G25" s="1" t="s">
        <v>12</v>
      </c>
      <c r="H25" s="7">
        <v>2.4400000000000002E-2</v>
      </c>
      <c r="I25" s="27">
        <v>22000</v>
      </c>
      <c r="J25" s="1"/>
      <c r="L25" s="28"/>
    </row>
    <row r="26" spans="3:12" x14ac:dyDescent="0.25">
      <c r="C26" s="1" t="s">
        <v>85</v>
      </c>
      <c r="D26" s="1" t="s">
        <v>84</v>
      </c>
      <c r="E26" s="1" t="s">
        <v>76</v>
      </c>
      <c r="F26" s="1" t="s">
        <v>77</v>
      </c>
      <c r="G26" s="1" t="s">
        <v>12</v>
      </c>
      <c r="H26" s="7">
        <v>0.06</v>
      </c>
      <c r="I26" s="27">
        <v>5000</v>
      </c>
      <c r="J26" s="1"/>
      <c r="L26" s="28"/>
    </row>
    <row r="27" spans="3:12" x14ac:dyDescent="0.25">
      <c r="C27" s="1" t="s">
        <v>85</v>
      </c>
      <c r="D27" s="1" t="s">
        <v>84</v>
      </c>
      <c r="E27" s="1" t="s">
        <v>74</v>
      </c>
      <c r="F27" s="1" t="s">
        <v>75</v>
      </c>
      <c r="G27" s="1" t="s">
        <v>12</v>
      </c>
      <c r="H27" s="7">
        <v>0.03</v>
      </c>
      <c r="I27" s="27">
        <v>10000</v>
      </c>
      <c r="J27" s="1"/>
      <c r="L27" s="28"/>
    </row>
    <row r="28" spans="3:12" x14ac:dyDescent="0.25">
      <c r="C28" s="1" t="s">
        <v>85</v>
      </c>
      <c r="D28" s="1" t="s">
        <v>84</v>
      </c>
      <c r="E28" s="1" t="s">
        <v>54</v>
      </c>
      <c r="F28" s="1" t="s">
        <v>71</v>
      </c>
      <c r="G28" s="1" t="s">
        <v>12</v>
      </c>
      <c r="H28" s="7">
        <v>4.1799999999999997E-2</v>
      </c>
      <c r="I28" s="27">
        <v>6000</v>
      </c>
      <c r="J28" s="1"/>
      <c r="L28" s="28"/>
    </row>
    <row r="29" spans="3:12" x14ac:dyDescent="0.25">
      <c r="C29" s="1" t="s">
        <v>85</v>
      </c>
      <c r="D29" s="1" t="s">
        <v>84</v>
      </c>
      <c r="E29" s="1" t="s">
        <v>55</v>
      </c>
      <c r="F29" s="1" t="s">
        <v>66</v>
      </c>
      <c r="G29" s="1" t="s">
        <v>12</v>
      </c>
      <c r="H29" s="7">
        <v>6.5600000000000006E-2</v>
      </c>
      <c r="I29" s="27">
        <v>11000</v>
      </c>
      <c r="J29" s="1"/>
      <c r="L29" s="28"/>
    </row>
    <row r="30" spans="3:12" x14ac:dyDescent="0.25">
      <c r="C30" s="1" t="s">
        <v>85</v>
      </c>
      <c r="D30" s="1" t="s">
        <v>84</v>
      </c>
      <c r="E30" s="1" t="s">
        <v>31</v>
      </c>
      <c r="F30" s="1" t="s">
        <v>32</v>
      </c>
      <c r="G30" s="1" t="s">
        <v>33</v>
      </c>
      <c r="H30" s="7">
        <v>0.25</v>
      </c>
      <c r="I30" s="27">
        <v>49000</v>
      </c>
      <c r="J30" s="1"/>
      <c r="L30" s="28"/>
    </row>
    <row r="31" spans="3:12" x14ac:dyDescent="0.25">
      <c r="C31" s="1" t="s">
        <v>87</v>
      </c>
      <c r="D31" s="1" t="s">
        <v>86</v>
      </c>
      <c r="E31" s="1" t="s">
        <v>51</v>
      </c>
      <c r="F31" s="1" t="s">
        <v>61</v>
      </c>
      <c r="G31" s="1" t="s">
        <v>12</v>
      </c>
      <c r="H31" s="7">
        <v>5.1400000000000001E-2</v>
      </c>
      <c r="I31" s="27">
        <v>10000</v>
      </c>
      <c r="J31" s="1"/>
      <c r="L31" s="28"/>
    </row>
    <row r="32" spans="3:12" x14ac:dyDescent="0.25">
      <c r="C32" s="1" t="s">
        <v>94</v>
      </c>
      <c r="D32" s="1" t="s">
        <v>89</v>
      </c>
      <c r="E32" s="1" t="s">
        <v>18</v>
      </c>
      <c r="F32" s="1" t="s">
        <v>88</v>
      </c>
      <c r="G32" s="1" t="s">
        <v>12</v>
      </c>
      <c r="H32" s="7">
        <v>5.6599999999999998E-2</v>
      </c>
      <c r="I32" s="27">
        <v>500</v>
      </c>
      <c r="J32" s="1"/>
    </row>
    <row r="33" spans="3:12" x14ac:dyDescent="0.25">
      <c r="C33" s="31" t="s">
        <v>90</v>
      </c>
      <c r="D33" s="32"/>
      <c r="E33" s="32"/>
      <c r="F33" s="32"/>
      <c r="G33" s="32"/>
      <c r="H33" s="32"/>
      <c r="I33" s="32"/>
      <c r="J33" s="33"/>
    </row>
    <row r="34" spans="3:12" x14ac:dyDescent="0.25">
      <c r="C34" s="1" t="s">
        <v>94</v>
      </c>
      <c r="D34" s="1" t="s">
        <v>89</v>
      </c>
      <c r="E34" s="1" t="s">
        <v>27</v>
      </c>
      <c r="F34" s="1" t="s">
        <v>28</v>
      </c>
      <c r="G34" s="1" t="s">
        <v>12</v>
      </c>
      <c r="H34" s="7">
        <v>3.5099999999999999E-2</v>
      </c>
      <c r="I34" s="27">
        <v>20000</v>
      </c>
      <c r="J34" s="1"/>
    </row>
    <row r="35" spans="3:12" x14ac:dyDescent="0.25">
      <c r="C35" s="1" t="s">
        <v>94</v>
      </c>
      <c r="D35" s="1" t="s">
        <v>91</v>
      </c>
      <c r="E35" s="1" t="s">
        <v>92</v>
      </c>
      <c r="F35" s="29" t="s">
        <v>93</v>
      </c>
      <c r="G35" s="29" t="s">
        <v>12</v>
      </c>
      <c r="H35" s="30">
        <v>1.4999999999999999E-2</v>
      </c>
      <c r="I35" s="27">
        <v>20000</v>
      </c>
      <c r="J35" s="1"/>
      <c r="L35" s="28"/>
    </row>
    <row r="36" spans="3:12" x14ac:dyDescent="0.25">
      <c r="C36" s="1" t="s">
        <v>94</v>
      </c>
      <c r="D36" s="1" t="s">
        <v>91</v>
      </c>
      <c r="E36" s="1" t="s">
        <v>52</v>
      </c>
      <c r="F36" s="1" t="s">
        <v>62</v>
      </c>
      <c r="G36" s="1" t="s">
        <v>12</v>
      </c>
      <c r="H36" s="7">
        <v>0.06</v>
      </c>
      <c r="I36" s="27">
        <v>13000</v>
      </c>
      <c r="J36" s="1"/>
      <c r="L36" s="28"/>
    </row>
    <row r="37" spans="3:12" x14ac:dyDescent="0.25">
      <c r="C37" s="1" t="s">
        <v>94</v>
      </c>
      <c r="D37" s="1" t="s">
        <v>91</v>
      </c>
      <c r="E37" s="1" t="s">
        <v>23</v>
      </c>
      <c r="F37" s="1" t="s">
        <v>25</v>
      </c>
      <c r="G37" s="1" t="s">
        <v>12</v>
      </c>
      <c r="H37" s="7">
        <v>2.2700000000000001E-2</v>
      </c>
      <c r="I37" s="27">
        <v>47100</v>
      </c>
      <c r="J37" s="1"/>
      <c r="L37" s="28"/>
    </row>
    <row r="38" spans="3:12" x14ac:dyDescent="0.25">
      <c r="C38" s="1" t="s">
        <v>94</v>
      </c>
      <c r="D38" s="1" t="s">
        <v>91</v>
      </c>
      <c r="E38" s="1" t="s">
        <v>38</v>
      </c>
      <c r="F38" s="1" t="s">
        <v>42</v>
      </c>
      <c r="G38" s="1" t="s">
        <v>12</v>
      </c>
      <c r="H38" s="7">
        <v>3.2000000000000001E-2</v>
      </c>
      <c r="I38" s="27">
        <v>1000</v>
      </c>
      <c r="J38" s="1"/>
      <c r="L38" s="28"/>
    </row>
    <row r="39" spans="3:12" x14ac:dyDescent="0.25">
      <c r="C39" s="1" t="s">
        <v>94</v>
      </c>
      <c r="D39" s="1" t="s">
        <v>91</v>
      </c>
      <c r="E39" s="1" t="s">
        <v>41</v>
      </c>
      <c r="F39" s="1" t="s">
        <v>45</v>
      </c>
      <c r="G39" s="1" t="s">
        <v>12</v>
      </c>
      <c r="H39" s="7">
        <v>4.4999999999999998E-2</v>
      </c>
      <c r="I39" s="27">
        <v>6000</v>
      </c>
      <c r="J39" s="1"/>
      <c r="L39" s="28"/>
    </row>
    <row r="40" spans="3:12" x14ac:dyDescent="0.25">
      <c r="C40" s="31" t="s">
        <v>96</v>
      </c>
      <c r="D40" s="32"/>
      <c r="E40" s="32"/>
      <c r="F40" s="32"/>
      <c r="G40" s="32"/>
      <c r="H40" s="32"/>
      <c r="I40" s="32"/>
      <c r="J40" s="33"/>
      <c r="L40" s="28"/>
    </row>
    <row r="41" spans="3:12" x14ac:dyDescent="0.25">
      <c r="C41" s="1" t="s">
        <v>101</v>
      </c>
      <c r="D41" s="1" t="s">
        <v>97</v>
      </c>
      <c r="E41" s="1" t="s">
        <v>10</v>
      </c>
      <c r="F41" s="1" t="s">
        <v>11</v>
      </c>
      <c r="G41" s="1" t="s">
        <v>12</v>
      </c>
      <c r="H41" s="7">
        <v>4.1700000000000001E-2</v>
      </c>
      <c r="I41" s="27">
        <v>37000</v>
      </c>
      <c r="J41" s="1"/>
      <c r="L41" s="28"/>
    </row>
    <row r="42" spans="3:12" x14ac:dyDescent="0.25">
      <c r="C42" s="1" t="s">
        <v>101</v>
      </c>
      <c r="D42" s="1" t="s">
        <v>97</v>
      </c>
      <c r="E42" s="1" t="s">
        <v>34</v>
      </c>
      <c r="F42" s="1" t="s">
        <v>35</v>
      </c>
      <c r="G42" s="1" t="s">
        <v>12</v>
      </c>
      <c r="H42" s="7">
        <v>2.0400000000000001E-2</v>
      </c>
      <c r="I42" s="27">
        <v>12000</v>
      </c>
      <c r="J42" s="1"/>
      <c r="L42" s="28"/>
    </row>
    <row r="43" spans="3:12" x14ac:dyDescent="0.25">
      <c r="C43" s="1" t="s">
        <v>101</v>
      </c>
      <c r="D43" s="1" t="s">
        <v>95</v>
      </c>
      <c r="E43" s="1" t="s">
        <v>52</v>
      </c>
      <c r="F43" s="1" t="s">
        <v>62</v>
      </c>
      <c r="G43" s="1" t="s">
        <v>12</v>
      </c>
      <c r="H43" s="7">
        <v>0.06</v>
      </c>
      <c r="I43" s="27">
        <v>7000</v>
      </c>
      <c r="J43" s="1"/>
      <c r="L43" s="28"/>
    </row>
    <row r="44" spans="3:12" x14ac:dyDescent="0.25">
      <c r="C44" s="1" t="s">
        <v>101</v>
      </c>
      <c r="D44" s="1" t="s">
        <v>95</v>
      </c>
      <c r="E44" s="1" t="s">
        <v>63</v>
      </c>
      <c r="F44" s="1" t="s">
        <v>64</v>
      </c>
      <c r="G44" s="1" t="s">
        <v>12</v>
      </c>
      <c r="H44" s="7">
        <v>2.4400000000000002E-2</v>
      </c>
      <c r="I44" s="27">
        <v>12000</v>
      </c>
      <c r="J44" s="1"/>
      <c r="L44" s="28"/>
    </row>
    <row r="45" spans="3:12" x14ac:dyDescent="0.25">
      <c r="C45" s="1" t="s">
        <v>101</v>
      </c>
      <c r="D45" s="1" t="s">
        <v>98</v>
      </c>
      <c r="E45" s="1" t="s">
        <v>40</v>
      </c>
      <c r="F45" s="1" t="s">
        <v>44</v>
      </c>
      <c r="G45" s="1" t="s">
        <v>12</v>
      </c>
      <c r="H45" s="7">
        <v>3.9100000000000003E-2</v>
      </c>
      <c r="I45" s="27">
        <v>15000</v>
      </c>
      <c r="J45" s="1"/>
      <c r="K45" s="28"/>
      <c r="L45" s="28"/>
    </row>
    <row r="46" spans="3:12" x14ac:dyDescent="0.25">
      <c r="C46" s="1" t="s">
        <v>101</v>
      </c>
      <c r="D46" s="1" t="s">
        <v>98</v>
      </c>
      <c r="E46" s="1" t="s">
        <v>51</v>
      </c>
      <c r="F46" s="1" t="s">
        <v>61</v>
      </c>
      <c r="G46" s="1" t="s">
        <v>12</v>
      </c>
      <c r="H46" s="7">
        <v>5.1400000000000001E-2</v>
      </c>
      <c r="I46" s="27">
        <v>7000</v>
      </c>
      <c r="J46" s="1"/>
      <c r="K46" s="28"/>
    </row>
    <row r="47" spans="3:12" x14ac:dyDescent="0.25">
      <c r="C47" s="1" t="s">
        <v>101</v>
      </c>
      <c r="D47" s="1" t="s">
        <v>98</v>
      </c>
      <c r="E47" s="1" t="s">
        <v>54</v>
      </c>
      <c r="F47" s="1" t="s">
        <v>71</v>
      </c>
      <c r="G47" s="1" t="s">
        <v>12</v>
      </c>
      <c r="H47" s="7">
        <v>4.1799999999999997E-2</v>
      </c>
      <c r="I47" s="27">
        <v>6000</v>
      </c>
      <c r="J47" s="1"/>
      <c r="K47" s="28"/>
      <c r="L47" s="28"/>
    </row>
    <row r="48" spans="3:12" x14ac:dyDescent="0.25">
      <c r="C48" s="1" t="s">
        <v>101</v>
      </c>
      <c r="D48" s="1" t="s">
        <v>98</v>
      </c>
      <c r="E48" s="1" t="s">
        <v>39</v>
      </c>
      <c r="F48" s="1" t="s">
        <v>43</v>
      </c>
      <c r="G48" s="1" t="s">
        <v>12</v>
      </c>
      <c r="H48" s="7">
        <v>0.05</v>
      </c>
      <c r="I48" s="27">
        <v>3500</v>
      </c>
      <c r="J48" s="1"/>
      <c r="K48" s="28"/>
      <c r="L48" s="28"/>
    </row>
    <row r="49" spans="3:12" x14ac:dyDescent="0.25">
      <c r="C49" s="1" t="s">
        <v>101</v>
      </c>
      <c r="D49" s="1" t="s">
        <v>98</v>
      </c>
      <c r="E49" s="1" t="s">
        <v>52</v>
      </c>
      <c r="F49" s="1" t="s">
        <v>62</v>
      </c>
      <c r="G49" s="1" t="s">
        <v>12</v>
      </c>
      <c r="H49" s="7">
        <v>0.06</v>
      </c>
      <c r="I49" s="27">
        <v>14000</v>
      </c>
      <c r="J49" s="1"/>
      <c r="K49" s="28"/>
      <c r="L49" s="28"/>
    </row>
    <row r="50" spans="3:12" x14ac:dyDescent="0.25">
      <c r="C50" s="1" t="s">
        <v>101</v>
      </c>
      <c r="D50" s="1" t="s">
        <v>98</v>
      </c>
      <c r="E50" s="1" t="s">
        <v>51</v>
      </c>
      <c r="F50" s="1" t="s">
        <v>61</v>
      </c>
      <c r="G50" s="1" t="s">
        <v>12</v>
      </c>
      <c r="H50" s="7">
        <v>5.1400000000000001E-2</v>
      </c>
      <c r="I50" s="27">
        <v>6000</v>
      </c>
      <c r="J50" s="1"/>
      <c r="K50" s="28"/>
      <c r="L50" s="28"/>
    </row>
    <row r="51" spans="3:12" x14ac:dyDescent="0.25">
      <c r="C51" s="1" t="s">
        <v>101</v>
      </c>
      <c r="D51" s="1" t="s">
        <v>98</v>
      </c>
      <c r="E51" s="1" t="s">
        <v>41</v>
      </c>
      <c r="F51" s="1" t="s">
        <v>45</v>
      </c>
      <c r="G51" s="1" t="s">
        <v>12</v>
      </c>
      <c r="H51" s="7">
        <v>4.4999999999999998E-2</v>
      </c>
      <c r="I51" s="27">
        <v>9000</v>
      </c>
      <c r="J51" s="1"/>
      <c r="K51" s="28"/>
      <c r="L51" s="28"/>
    </row>
    <row r="52" spans="3:12" x14ac:dyDescent="0.25">
      <c r="C52" s="1" t="s">
        <v>101</v>
      </c>
      <c r="D52" s="1" t="s">
        <v>98</v>
      </c>
      <c r="E52" s="1" t="s">
        <v>63</v>
      </c>
      <c r="F52" s="1" t="s">
        <v>64</v>
      </c>
      <c r="G52" s="1" t="s">
        <v>12</v>
      </c>
      <c r="H52" s="7">
        <v>2.4400000000000002E-2</v>
      </c>
      <c r="I52" s="27">
        <v>12000</v>
      </c>
      <c r="J52" s="1"/>
      <c r="K52" s="28"/>
      <c r="L52" s="28"/>
    </row>
    <row r="53" spans="3:12" x14ac:dyDescent="0.25">
      <c r="C53" s="1" t="s">
        <v>106</v>
      </c>
      <c r="D53" s="1" t="s">
        <v>100</v>
      </c>
      <c r="E53" s="1" t="s">
        <v>38</v>
      </c>
      <c r="F53" s="1" t="s">
        <v>42</v>
      </c>
      <c r="G53" s="1" t="s">
        <v>12</v>
      </c>
      <c r="H53" s="7">
        <v>3.2000000000000001E-2</v>
      </c>
      <c r="I53" s="27">
        <v>1000</v>
      </c>
      <c r="J53" s="1"/>
      <c r="L53" s="28"/>
    </row>
    <row r="54" spans="3:12" x14ac:dyDescent="0.25">
      <c r="C54" s="1" t="s">
        <v>106</v>
      </c>
      <c r="D54" s="1" t="s">
        <v>100</v>
      </c>
      <c r="E54" s="1" t="s">
        <v>99</v>
      </c>
      <c r="F54" s="1" t="s">
        <v>103</v>
      </c>
      <c r="G54" s="1" t="s">
        <v>12</v>
      </c>
      <c r="H54" s="7">
        <v>1.4800000000000001E-2</v>
      </c>
      <c r="I54" s="27">
        <v>10000</v>
      </c>
      <c r="J54" s="1"/>
      <c r="L54" s="28"/>
    </row>
    <row r="55" spans="3:12" x14ac:dyDescent="0.25">
      <c r="C55" s="1" t="s">
        <v>106</v>
      </c>
      <c r="D55" s="1" t="s">
        <v>102</v>
      </c>
      <c r="E55" s="1" t="s">
        <v>74</v>
      </c>
      <c r="F55" s="1" t="s">
        <v>75</v>
      </c>
      <c r="G55" s="1" t="s">
        <v>12</v>
      </c>
      <c r="H55" s="7">
        <v>0.03</v>
      </c>
      <c r="I55" s="27">
        <v>10000</v>
      </c>
      <c r="J55" s="1"/>
      <c r="K55" s="28"/>
      <c r="L55" s="28"/>
    </row>
    <row r="56" spans="3:12" x14ac:dyDescent="0.25">
      <c r="C56" s="1" t="s">
        <v>106</v>
      </c>
      <c r="D56" s="1" t="s">
        <v>102</v>
      </c>
      <c r="E56" s="1" t="s">
        <v>22</v>
      </c>
      <c r="F56" s="1" t="s">
        <v>24</v>
      </c>
      <c r="G56" s="1" t="s">
        <v>12</v>
      </c>
      <c r="H56" s="7">
        <v>4.8000000000000001E-2</v>
      </c>
      <c r="I56" s="27">
        <v>25000</v>
      </c>
      <c r="J56" s="1"/>
      <c r="K56" s="28"/>
      <c r="L56" s="28"/>
    </row>
    <row r="57" spans="3:12" x14ac:dyDescent="0.25">
      <c r="C57" s="1" t="s">
        <v>106</v>
      </c>
      <c r="D57" s="1" t="s">
        <v>102</v>
      </c>
      <c r="E57" s="1" t="s">
        <v>53</v>
      </c>
      <c r="F57" s="1" t="s">
        <v>65</v>
      </c>
      <c r="G57" s="1" t="s">
        <v>12</v>
      </c>
      <c r="H57" s="7">
        <v>4.9099999999999998E-2</v>
      </c>
      <c r="I57" s="27">
        <v>30000</v>
      </c>
      <c r="J57" s="1"/>
      <c r="K57" s="28"/>
      <c r="L57" s="28"/>
    </row>
    <row r="58" spans="3:12" x14ac:dyDescent="0.25">
      <c r="C58" s="31" t="s">
        <v>104</v>
      </c>
      <c r="D58" s="32"/>
      <c r="E58" s="32"/>
      <c r="F58" s="32"/>
      <c r="G58" s="32"/>
      <c r="H58" s="32"/>
      <c r="I58" s="32"/>
      <c r="J58" s="33"/>
      <c r="K58" s="28"/>
      <c r="L58" s="28"/>
    </row>
    <row r="59" spans="3:12" x14ac:dyDescent="0.25">
      <c r="C59" s="1" t="s">
        <v>106</v>
      </c>
      <c r="D59" s="1" t="s">
        <v>102</v>
      </c>
      <c r="E59" s="1" t="s">
        <v>76</v>
      </c>
      <c r="F59" s="1" t="s">
        <v>77</v>
      </c>
      <c r="G59" s="1" t="s">
        <v>12</v>
      </c>
      <c r="H59" s="7">
        <v>0.06</v>
      </c>
      <c r="I59" s="27">
        <v>5000</v>
      </c>
      <c r="J59" s="1"/>
      <c r="K59" s="28"/>
      <c r="L59" s="28"/>
    </row>
    <row r="60" spans="3:12" x14ac:dyDescent="0.25">
      <c r="C60" s="1" t="s">
        <v>106</v>
      </c>
      <c r="D60" s="1" t="s">
        <v>102</v>
      </c>
      <c r="E60" s="1" t="s">
        <v>51</v>
      </c>
      <c r="F60" s="1" t="s">
        <v>61</v>
      </c>
      <c r="G60" s="1" t="s">
        <v>12</v>
      </c>
      <c r="H60" s="7">
        <v>5.1400000000000001E-2</v>
      </c>
      <c r="I60" s="27">
        <v>10000</v>
      </c>
      <c r="J60" s="1"/>
      <c r="K60" s="28"/>
      <c r="L60" s="28"/>
    </row>
    <row r="61" spans="3:12" x14ac:dyDescent="0.25">
      <c r="C61" s="1" t="s">
        <v>106</v>
      </c>
      <c r="D61" s="1" t="s">
        <v>102</v>
      </c>
      <c r="E61" s="1" t="s">
        <v>27</v>
      </c>
      <c r="F61" s="1" t="s">
        <v>28</v>
      </c>
      <c r="G61" s="1" t="s">
        <v>12</v>
      </c>
      <c r="H61" s="7">
        <v>3.5099999999999999E-2</v>
      </c>
      <c r="I61" s="27">
        <v>21000</v>
      </c>
      <c r="J61" s="1"/>
      <c r="K61" s="28"/>
      <c r="L61" s="28"/>
    </row>
    <row r="62" spans="3:12" x14ac:dyDescent="0.25">
      <c r="C62" s="1" t="s">
        <v>106</v>
      </c>
      <c r="D62" s="1" t="s">
        <v>102</v>
      </c>
      <c r="E62" s="1" t="s">
        <v>63</v>
      </c>
      <c r="F62" s="1" t="s">
        <v>64</v>
      </c>
      <c r="G62" s="1" t="s">
        <v>12</v>
      </c>
      <c r="H62" s="7">
        <v>2.4400000000000002E-2</v>
      </c>
      <c r="I62" s="27">
        <v>20000</v>
      </c>
      <c r="J62" s="1"/>
      <c r="K62" s="28"/>
      <c r="L62" s="28"/>
    </row>
    <row r="63" spans="3:12" x14ac:dyDescent="0.25">
      <c r="C63" s="1" t="s">
        <v>106</v>
      </c>
      <c r="D63" s="1" t="s">
        <v>102</v>
      </c>
      <c r="E63" s="1" t="s">
        <v>38</v>
      </c>
      <c r="F63" s="1" t="s">
        <v>42</v>
      </c>
      <c r="G63" s="1" t="s">
        <v>12</v>
      </c>
      <c r="H63" s="7">
        <v>3.2000000000000001E-2</v>
      </c>
      <c r="I63" s="27">
        <v>2000</v>
      </c>
      <c r="J63" s="1"/>
      <c r="K63" s="28"/>
      <c r="L63" s="28"/>
    </row>
    <row r="64" spans="3:12" x14ac:dyDescent="0.25">
      <c r="C64" s="1" t="s">
        <v>112</v>
      </c>
      <c r="D64" s="1" t="s">
        <v>111</v>
      </c>
      <c r="E64" s="1" t="s">
        <v>18</v>
      </c>
      <c r="F64" s="1" t="s">
        <v>88</v>
      </c>
      <c r="G64" s="1" t="s">
        <v>12</v>
      </c>
      <c r="H64" s="7">
        <v>5.6599999999999998E-2</v>
      </c>
      <c r="I64" s="27">
        <v>500</v>
      </c>
      <c r="J64" s="1"/>
      <c r="K64" s="28"/>
      <c r="L64" s="28"/>
    </row>
    <row r="65" spans="3:12" x14ac:dyDescent="0.25">
      <c r="C65" s="1" t="s">
        <v>112</v>
      </c>
      <c r="D65" s="1" t="s">
        <v>110</v>
      </c>
      <c r="E65" s="1" t="s">
        <v>55</v>
      </c>
      <c r="F65" s="1" t="s">
        <v>66</v>
      </c>
      <c r="G65" s="1" t="s">
        <v>12</v>
      </c>
      <c r="H65" s="7">
        <v>6.5600000000000006E-2</v>
      </c>
      <c r="I65" s="27">
        <v>18000</v>
      </c>
      <c r="J65" s="1"/>
      <c r="K65" s="28"/>
      <c r="L65" s="28"/>
    </row>
    <row r="66" spans="3:12" x14ac:dyDescent="0.25">
      <c r="C66" s="1" t="s">
        <v>112</v>
      </c>
      <c r="D66" s="1" t="s">
        <v>110</v>
      </c>
      <c r="E66" s="1" t="s">
        <v>53</v>
      </c>
      <c r="F66" s="1" t="s">
        <v>65</v>
      </c>
      <c r="G66" s="1" t="s">
        <v>12</v>
      </c>
      <c r="H66" s="7">
        <v>4.9099999999999998E-2</v>
      </c>
      <c r="I66" s="27">
        <v>30000</v>
      </c>
      <c r="J66" s="1"/>
      <c r="K66" s="28"/>
      <c r="L66" s="28"/>
    </row>
    <row r="67" spans="3:12" x14ac:dyDescent="0.25">
      <c r="C67" s="1" t="s">
        <v>112</v>
      </c>
      <c r="D67" s="1" t="s">
        <v>110</v>
      </c>
      <c r="E67" s="1" t="s">
        <v>22</v>
      </c>
      <c r="F67" s="1" t="s">
        <v>24</v>
      </c>
      <c r="G67" s="1" t="s">
        <v>12</v>
      </c>
      <c r="H67" s="7">
        <v>4.8000000000000001E-2</v>
      </c>
      <c r="I67" s="27">
        <v>25000</v>
      </c>
      <c r="J67" s="1"/>
      <c r="K67" s="28"/>
      <c r="L67" s="28"/>
    </row>
    <row r="68" spans="3:12" x14ac:dyDescent="0.25">
      <c r="C68" s="31" t="s">
        <v>105</v>
      </c>
      <c r="D68" s="32"/>
      <c r="E68" s="32"/>
      <c r="F68" s="32"/>
      <c r="G68" s="32"/>
      <c r="H68" s="32"/>
      <c r="I68" s="32"/>
      <c r="J68" s="33"/>
      <c r="K68" s="28"/>
      <c r="L68" s="28"/>
    </row>
    <row r="69" spans="3:12" x14ac:dyDescent="0.25">
      <c r="C69" s="1" t="s">
        <v>106</v>
      </c>
      <c r="D69" s="1" t="s">
        <v>102</v>
      </c>
      <c r="E69" s="1" t="s">
        <v>74</v>
      </c>
      <c r="F69" s="1" t="s">
        <v>75</v>
      </c>
      <c r="G69" s="1" t="s">
        <v>12</v>
      </c>
      <c r="H69" s="7">
        <v>0.03</v>
      </c>
      <c r="I69" s="27">
        <v>10000</v>
      </c>
      <c r="J69" s="1"/>
      <c r="K69" s="28"/>
      <c r="L69" s="28"/>
    </row>
    <row r="70" spans="3:12" x14ac:dyDescent="0.25">
      <c r="C70" s="1" t="s">
        <v>106</v>
      </c>
      <c r="D70" s="1" t="s">
        <v>102</v>
      </c>
      <c r="E70" s="1" t="s">
        <v>99</v>
      </c>
      <c r="F70" s="1" t="s">
        <v>103</v>
      </c>
      <c r="G70" s="1" t="s">
        <v>12</v>
      </c>
      <c r="H70" s="7">
        <v>1.4800000000000001E-2</v>
      </c>
      <c r="I70" s="27">
        <v>10000</v>
      </c>
      <c r="J70" s="1"/>
      <c r="K70" s="28"/>
      <c r="L70" s="28"/>
    </row>
    <row r="71" spans="3:12" x14ac:dyDescent="0.25">
      <c r="C71" s="1" t="s">
        <v>106</v>
      </c>
      <c r="D71" s="1" t="s">
        <v>102</v>
      </c>
      <c r="E71" s="1" t="s">
        <v>10</v>
      </c>
      <c r="F71" s="1" t="s">
        <v>11</v>
      </c>
      <c r="G71" s="1" t="s">
        <v>12</v>
      </c>
      <c r="H71" s="7">
        <v>4.1700000000000001E-2</v>
      </c>
      <c r="I71" s="27">
        <v>41000</v>
      </c>
      <c r="J71" s="1"/>
      <c r="K71" s="28"/>
      <c r="L71" s="28"/>
    </row>
    <row r="72" spans="3:12" x14ac:dyDescent="0.25">
      <c r="C72" s="1" t="s">
        <v>106</v>
      </c>
      <c r="D72" s="1" t="s">
        <v>102</v>
      </c>
      <c r="E72" s="1" t="s">
        <v>31</v>
      </c>
      <c r="F72" s="1" t="s">
        <v>32</v>
      </c>
      <c r="G72" s="1" t="s">
        <v>33</v>
      </c>
      <c r="H72" s="7">
        <v>0.25</v>
      </c>
      <c r="I72" s="27">
        <v>45000</v>
      </c>
      <c r="J72" s="1"/>
      <c r="K72" s="28"/>
      <c r="L72" s="28"/>
    </row>
    <row r="73" spans="3:12" x14ac:dyDescent="0.25">
      <c r="C73" s="1" t="s">
        <v>106</v>
      </c>
      <c r="D73" s="1" t="s">
        <v>102</v>
      </c>
      <c r="E73" s="1" t="s">
        <v>22</v>
      </c>
      <c r="F73" s="1" t="s">
        <v>24</v>
      </c>
      <c r="G73" s="1" t="s">
        <v>12</v>
      </c>
      <c r="H73" s="7">
        <v>4.8000000000000001E-2</v>
      </c>
      <c r="I73" s="27">
        <v>22000</v>
      </c>
      <c r="J73" s="1"/>
      <c r="K73" s="28"/>
      <c r="L73" s="28"/>
    </row>
    <row r="74" spans="3:12" x14ac:dyDescent="0.25">
      <c r="C74" s="1" t="s">
        <v>112</v>
      </c>
      <c r="D74" s="1" t="s">
        <v>107</v>
      </c>
      <c r="E74" s="1" t="s">
        <v>53</v>
      </c>
      <c r="F74" s="1" t="s">
        <v>65</v>
      </c>
      <c r="G74" s="1" t="s">
        <v>12</v>
      </c>
      <c r="H74" s="7">
        <v>4.9099999999999998E-2</v>
      </c>
      <c r="I74" s="27">
        <v>14000</v>
      </c>
      <c r="J74" s="1"/>
      <c r="K74" s="28"/>
      <c r="L74" s="28"/>
    </row>
    <row r="75" spans="3:12" x14ac:dyDescent="0.25">
      <c r="C75" s="1" t="s">
        <v>112</v>
      </c>
      <c r="D75" s="1" t="s">
        <v>107</v>
      </c>
      <c r="E75" s="1" t="s">
        <v>41</v>
      </c>
      <c r="F75" s="1" t="s">
        <v>45</v>
      </c>
      <c r="G75" s="1" t="s">
        <v>12</v>
      </c>
      <c r="H75" s="7">
        <v>4.4999999999999998E-2</v>
      </c>
      <c r="I75" s="27">
        <v>7000</v>
      </c>
      <c r="J75" s="1"/>
      <c r="K75" s="28"/>
      <c r="L75" s="28"/>
    </row>
    <row r="76" spans="3:12" x14ac:dyDescent="0.25">
      <c r="C76" s="1" t="s">
        <v>112</v>
      </c>
      <c r="D76" s="1" t="s">
        <v>107</v>
      </c>
      <c r="E76" s="1" t="s">
        <v>34</v>
      </c>
      <c r="F76" s="1" t="s">
        <v>35</v>
      </c>
      <c r="G76" s="1" t="s">
        <v>12</v>
      </c>
      <c r="H76" s="7">
        <v>2.0400000000000001E-2</v>
      </c>
      <c r="I76" s="27">
        <v>11000</v>
      </c>
      <c r="J76" s="1"/>
      <c r="K76" s="28"/>
      <c r="L76" s="28"/>
    </row>
    <row r="77" spans="3:12" x14ac:dyDescent="0.25">
      <c r="C77" s="1" t="s">
        <v>112</v>
      </c>
      <c r="D77" s="1" t="s">
        <v>107</v>
      </c>
      <c r="E77" s="1" t="s">
        <v>108</v>
      </c>
      <c r="F77" s="1" t="s">
        <v>109</v>
      </c>
      <c r="G77" s="1" t="s">
        <v>12</v>
      </c>
      <c r="H77" s="7">
        <v>0.03</v>
      </c>
      <c r="I77" s="27">
        <v>5000</v>
      </c>
      <c r="J77" s="1"/>
      <c r="K77" s="28"/>
      <c r="L77" s="28"/>
    </row>
    <row r="78" spans="3:12" x14ac:dyDescent="0.25">
      <c r="C78" s="1" t="s">
        <v>112</v>
      </c>
      <c r="D78" s="1" t="s">
        <v>107</v>
      </c>
      <c r="E78" s="1" t="s">
        <v>52</v>
      </c>
      <c r="F78" s="1" t="s">
        <v>62</v>
      </c>
      <c r="G78" s="1" t="s">
        <v>12</v>
      </c>
      <c r="H78" s="7">
        <v>0.06</v>
      </c>
      <c r="I78" s="27">
        <v>10000</v>
      </c>
      <c r="J78" s="1"/>
      <c r="K78" s="28"/>
      <c r="L78" s="28"/>
    </row>
    <row r="79" spans="3:12" x14ac:dyDescent="0.25">
      <c r="C79" s="1" t="s">
        <v>112</v>
      </c>
      <c r="D79" s="1" t="s">
        <v>107</v>
      </c>
      <c r="E79" s="1" t="s">
        <v>23</v>
      </c>
      <c r="F79" s="1" t="s">
        <v>25</v>
      </c>
      <c r="G79" s="1" t="s">
        <v>12</v>
      </c>
      <c r="H79" s="7">
        <v>2.2700000000000001E-2</v>
      </c>
      <c r="I79" s="27">
        <v>60000</v>
      </c>
      <c r="J79" s="1"/>
      <c r="K79" s="28"/>
      <c r="L79" s="28"/>
    </row>
    <row r="80" spans="3:12" x14ac:dyDescent="0.25">
      <c r="C80" s="1" t="s">
        <v>112</v>
      </c>
      <c r="D80" s="1" t="s">
        <v>111</v>
      </c>
      <c r="E80" s="1" t="s">
        <v>39</v>
      </c>
      <c r="F80" s="1" t="s">
        <v>43</v>
      </c>
      <c r="G80" s="1" t="s">
        <v>12</v>
      </c>
      <c r="H80" s="7">
        <v>0.05</v>
      </c>
      <c r="I80" s="27">
        <v>5000</v>
      </c>
      <c r="J80" s="1"/>
      <c r="K80" s="28"/>
      <c r="L80" s="28"/>
    </row>
    <row r="81" spans="3:12" x14ac:dyDescent="0.25">
      <c r="C81" s="1" t="s">
        <v>112</v>
      </c>
      <c r="D81" s="1" t="s">
        <v>110</v>
      </c>
      <c r="E81" s="1" t="s">
        <v>76</v>
      </c>
      <c r="F81" s="1" t="s">
        <v>77</v>
      </c>
      <c r="G81" s="1" t="s">
        <v>12</v>
      </c>
      <c r="H81" s="7">
        <v>0.06</v>
      </c>
      <c r="I81" s="27">
        <v>5000</v>
      </c>
      <c r="J81" s="1"/>
      <c r="K81" s="28"/>
      <c r="L81" s="28"/>
    </row>
    <row r="82" spans="3:12" x14ac:dyDescent="0.25">
      <c r="C82" s="1" t="s">
        <v>112</v>
      </c>
      <c r="D82" s="1" t="s">
        <v>110</v>
      </c>
      <c r="E82" s="1" t="s">
        <v>51</v>
      </c>
      <c r="F82" s="1" t="s">
        <v>61</v>
      </c>
      <c r="G82" s="1" t="s">
        <v>12</v>
      </c>
      <c r="H82" s="7">
        <v>5.1400000000000001E-2</v>
      </c>
      <c r="I82" s="27">
        <v>7000</v>
      </c>
      <c r="J82" s="1"/>
      <c r="K82" s="28"/>
      <c r="L82" s="28"/>
    </row>
    <row r="83" spans="3:12" x14ac:dyDescent="0.25">
      <c r="C83" s="1" t="s">
        <v>112</v>
      </c>
      <c r="D83" s="1" t="s">
        <v>110</v>
      </c>
      <c r="E83" s="1" t="s">
        <v>54</v>
      </c>
      <c r="F83" s="1" t="s">
        <v>71</v>
      </c>
      <c r="G83" s="1" t="s">
        <v>12</v>
      </c>
      <c r="H83" s="7">
        <v>4.1799999999999997E-2</v>
      </c>
      <c r="I83" s="27">
        <v>6000</v>
      </c>
      <c r="J83" s="1"/>
      <c r="K83" s="28"/>
      <c r="L83" s="28"/>
    </row>
    <row r="84" spans="3:12" x14ac:dyDescent="0.25">
      <c r="C84" s="1" t="s">
        <v>112</v>
      </c>
      <c r="D84" s="1" t="s">
        <v>110</v>
      </c>
      <c r="E84" s="1" t="s">
        <v>27</v>
      </c>
      <c r="F84" s="1" t="s">
        <v>28</v>
      </c>
      <c r="G84" s="1" t="s">
        <v>12</v>
      </c>
      <c r="H84" s="7">
        <v>3.5099999999999999E-2</v>
      </c>
      <c r="I84" s="27">
        <v>18000</v>
      </c>
      <c r="J84" s="1"/>
      <c r="K84" s="28"/>
      <c r="L84" s="28"/>
    </row>
    <row r="85" spans="3:12" x14ac:dyDescent="0.25">
      <c r="C85" s="1" t="s">
        <v>112</v>
      </c>
      <c r="D85" s="1" t="s">
        <v>110</v>
      </c>
      <c r="E85" s="1" t="s">
        <v>74</v>
      </c>
      <c r="F85" s="1" t="s">
        <v>75</v>
      </c>
      <c r="G85" s="1" t="s">
        <v>12</v>
      </c>
      <c r="H85" s="7">
        <v>0.03</v>
      </c>
      <c r="I85" s="27">
        <v>10000</v>
      </c>
      <c r="J85" s="1"/>
      <c r="K85" s="28"/>
      <c r="L85" s="28"/>
    </row>
    <row r="86" spans="3:12" x14ac:dyDescent="0.25">
      <c r="C86" s="1"/>
      <c r="D86" s="1"/>
      <c r="E86" s="1"/>
      <c r="F86" s="1"/>
      <c r="G86" s="1"/>
      <c r="H86" s="7"/>
      <c r="I86" s="27"/>
      <c r="J86" s="1"/>
      <c r="K86" s="28"/>
      <c r="L86" s="28"/>
    </row>
    <row r="87" spans="3:12" x14ac:dyDescent="0.25">
      <c r="C87" s="1"/>
      <c r="D87" s="1"/>
      <c r="E87" s="1"/>
      <c r="F87" s="1"/>
      <c r="G87" s="1"/>
      <c r="H87" s="7"/>
      <c r="I87" s="27"/>
      <c r="J87" s="1"/>
      <c r="L87" s="28"/>
    </row>
    <row r="88" spans="3:12" x14ac:dyDescent="0.25">
      <c r="C88" s="1"/>
      <c r="D88" s="1"/>
      <c r="E88" s="1"/>
      <c r="F88" s="1"/>
      <c r="G88" s="1"/>
      <c r="H88" s="7"/>
      <c r="I88" s="27"/>
      <c r="J88" s="1"/>
      <c r="L88" s="28"/>
    </row>
    <row r="89" spans="3:12" x14ac:dyDescent="0.25">
      <c r="C89" s="1"/>
      <c r="D89" s="1"/>
      <c r="E89" s="1"/>
      <c r="F89" s="1"/>
      <c r="G89" s="1"/>
      <c r="H89" s="7"/>
      <c r="I89" s="27"/>
      <c r="J89" s="1"/>
      <c r="L89" s="28"/>
    </row>
    <row r="90" spans="3:12" x14ac:dyDescent="0.25">
      <c r="C90" s="1"/>
      <c r="D90" s="1"/>
      <c r="E90" s="1"/>
      <c r="F90" s="1"/>
      <c r="G90" s="1"/>
      <c r="H90" s="7"/>
      <c r="I90" s="27"/>
      <c r="J90" s="1"/>
      <c r="L90" s="28"/>
    </row>
    <row r="91" spans="3:12" x14ac:dyDescent="0.25">
      <c r="C91" s="1"/>
      <c r="D91" s="1"/>
      <c r="E91" s="1"/>
      <c r="F91" s="1"/>
      <c r="G91" s="1"/>
      <c r="H91" s="7"/>
      <c r="I91" s="27"/>
      <c r="J91" s="1"/>
      <c r="L91" s="28"/>
    </row>
    <row r="92" spans="3:12" x14ac:dyDescent="0.25">
      <c r="C92" s="1"/>
      <c r="D92" s="1"/>
      <c r="E92" s="1"/>
      <c r="F92" s="1"/>
      <c r="G92" s="1"/>
      <c r="H92" s="7"/>
      <c r="I92" s="27"/>
      <c r="J92" s="1"/>
      <c r="L92" s="28"/>
    </row>
  </sheetData>
  <mergeCells count="6">
    <mergeCell ref="C68:J68"/>
    <mergeCell ref="C20:J20"/>
    <mergeCell ref="C10:J10"/>
    <mergeCell ref="C33:J33"/>
    <mergeCell ref="C40:J40"/>
    <mergeCell ref="C58:J58"/>
  </mergeCells>
  <pageMargins left="0.7" right="0.7" top="0.75" bottom="0.75" header="0.3" footer="0.3"/>
  <pageSetup paperSize="9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650B44-35BE-4FFA-ADB5-7B6978F01C09}">
  <sheetPr>
    <pageSetUpPr fitToPage="1"/>
  </sheetPr>
  <dimension ref="C4:Y55"/>
  <sheetViews>
    <sheetView zoomScale="85" zoomScaleNormal="85" workbookViewId="0">
      <selection activeCell="D35" sqref="D35"/>
    </sheetView>
  </sheetViews>
  <sheetFormatPr defaultRowHeight="15" x14ac:dyDescent="0.25"/>
  <cols>
    <col min="3" max="3" width="16.140625" customWidth="1"/>
    <col min="4" max="5" width="12.7109375" bestFit="1" customWidth="1"/>
    <col min="6" max="6" width="12.5703125" bestFit="1" customWidth="1"/>
    <col min="7" max="25" width="12.7109375" bestFit="1" customWidth="1"/>
  </cols>
  <sheetData>
    <row r="4" spans="3:25" x14ac:dyDescent="0.25">
      <c r="L4" s="34" t="s">
        <v>46</v>
      </c>
      <c r="M4" s="35"/>
      <c r="N4" s="35"/>
      <c r="O4" s="35"/>
      <c r="P4" s="36"/>
    </row>
    <row r="5" spans="3:25" x14ac:dyDescent="0.25">
      <c r="D5" s="12" t="s">
        <v>11</v>
      </c>
      <c r="E5" s="12" t="s">
        <v>19</v>
      </c>
      <c r="F5" s="12" t="s">
        <v>21</v>
      </c>
      <c r="G5" s="12" t="s">
        <v>24</v>
      </c>
      <c r="H5" s="12" t="s">
        <v>25</v>
      </c>
      <c r="I5" s="12" t="s">
        <v>28</v>
      </c>
      <c r="J5" s="12" t="s">
        <v>32</v>
      </c>
      <c r="K5" s="1" t="s">
        <v>35</v>
      </c>
      <c r="L5" s="16" t="s">
        <v>37</v>
      </c>
      <c r="M5" s="16" t="s">
        <v>42</v>
      </c>
      <c r="N5" s="12" t="s">
        <v>43</v>
      </c>
      <c r="O5" s="16" t="s">
        <v>44</v>
      </c>
      <c r="P5" s="12" t="s">
        <v>45</v>
      </c>
      <c r="Q5" s="1" t="s">
        <v>48</v>
      </c>
      <c r="R5" s="1" t="s">
        <v>64</v>
      </c>
      <c r="S5" s="1" t="s">
        <v>65</v>
      </c>
      <c r="T5" s="1" t="s">
        <v>61</v>
      </c>
      <c r="U5" s="1" t="s">
        <v>62</v>
      </c>
      <c r="V5" s="12" t="s">
        <v>66</v>
      </c>
      <c r="W5" s="12" t="s">
        <v>69</v>
      </c>
      <c r="X5" s="12" t="s">
        <v>70</v>
      </c>
      <c r="Y5" s="1" t="s">
        <v>71</v>
      </c>
    </row>
    <row r="6" spans="3:25" x14ac:dyDescent="0.25">
      <c r="C6" s="9"/>
      <c r="D6" s="13" t="s">
        <v>10</v>
      </c>
      <c r="E6" s="13" t="s">
        <v>18</v>
      </c>
      <c r="F6" s="13" t="s">
        <v>20</v>
      </c>
      <c r="G6" s="13" t="s">
        <v>22</v>
      </c>
      <c r="H6" s="13" t="s">
        <v>23</v>
      </c>
      <c r="I6" s="13" t="s">
        <v>29</v>
      </c>
      <c r="J6" s="13" t="s">
        <v>31</v>
      </c>
      <c r="K6" s="9" t="s">
        <v>34</v>
      </c>
      <c r="L6" s="17" t="s">
        <v>36</v>
      </c>
      <c r="M6" s="17" t="s">
        <v>38</v>
      </c>
      <c r="N6" s="13" t="s">
        <v>39</v>
      </c>
      <c r="O6" s="17" t="s">
        <v>40</v>
      </c>
      <c r="P6" s="13" t="s">
        <v>41</v>
      </c>
      <c r="Q6" s="9" t="s">
        <v>47</v>
      </c>
      <c r="R6" s="9" t="s">
        <v>63</v>
      </c>
      <c r="S6" s="9" t="s">
        <v>53</v>
      </c>
      <c r="T6" s="9" t="s">
        <v>51</v>
      </c>
      <c r="U6" s="9" t="s">
        <v>52</v>
      </c>
      <c r="V6" s="13" t="s">
        <v>55</v>
      </c>
      <c r="W6" s="13" t="s">
        <v>67</v>
      </c>
      <c r="X6" s="13" t="s">
        <v>68</v>
      </c>
      <c r="Y6" s="9" t="s">
        <v>54</v>
      </c>
    </row>
    <row r="7" spans="3:25" ht="33" customHeight="1" x14ac:dyDescent="0.25">
      <c r="C7" s="10" t="s">
        <v>30</v>
      </c>
      <c r="D7" s="14">
        <v>210000</v>
      </c>
      <c r="E7" s="14">
        <v>220000</v>
      </c>
      <c r="F7" s="14">
        <v>15000</v>
      </c>
      <c r="G7" s="14">
        <v>143000</v>
      </c>
      <c r="H7" s="14">
        <v>360000</v>
      </c>
      <c r="I7" s="14">
        <v>180000</v>
      </c>
      <c r="J7" s="14">
        <v>346000</v>
      </c>
      <c r="K7" s="11">
        <v>160000</v>
      </c>
      <c r="L7" s="18">
        <v>20000</v>
      </c>
      <c r="M7" s="18">
        <v>20000</v>
      </c>
      <c r="N7" s="14">
        <v>35000</v>
      </c>
      <c r="O7" s="18">
        <v>80000</v>
      </c>
      <c r="P7" s="14">
        <v>90000</v>
      </c>
      <c r="Q7" s="11">
        <v>65000</v>
      </c>
      <c r="R7" s="11">
        <v>280000</v>
      </c>
      <c r="S7" s="11">
        <v>260000</v>
      </c>
      <c r="T7" s="11">
        <v>90000</v>
      </c>
      <c r="U7" s="11">
        <v>250000</v>
      </c>
      <c r="V7" s="14">
        <v>76000</v>
      </c>
      <c r="W7" s="14">
        <v>20000</v>
      </c>
      <c r="X7" s="14">
        <v>20000</v>
      </c>
      <c r="Y7" s="11">
        <v>72000</v>
      </c>
    </row>
    <row r="8" spans="3:25" x14ac:dyDescent="0.25">
      <c r="C8" s="8">
        <v>45006</v>
      </c>
      <c r="D8" s="15"/>
      <c r="E8" s="15">
        <v>29840</v>
      </c>
      <c r="F8" s="15"/>
      <c r="G8" s="15"/>
      <c r="H8" s="15"/>
      <c r="I8" s="15"/>
      <c r="J8" s="15"/>
      <c r="K8" s="2"/>
      <c r="L8" s="2"/>
      <c r="M8" s="2"/>
      <c r="N8" s="15"/>
      <c r="O8" s="2"/>
      <c r="P8" s="15"/>
      <c r="Q8" s="2"/>
      <c r="R8" s="2"/>
      <c r="S8" s="2"/>
      <c r="T8" s="2"/>
      <c r="U8" s="2"/>
      <c r="V8" s="15"/>
      <c r="W8" s="15"/>
      <c r="X8" s="15"/>
      <c r="Y8" s="2"/>
    </row>
    <row r="9" spans="3:25" x14ac:dyDescent="0.25">
      <c r="C9" s="8">
        <v>45022</v>
      </c>
      <c r="D9" s="15"/>
      <c r="E9" s="15">
        <v>12690</v>
      </c>
      <c r="F9" s="15"/>
      <c r="G9" s="15"/>
      <c r="H9" s="15"/>
      <c r="I9" s="15"/>
      <c r="J9" s="15"/>
      <c r="K9" s="2"/>
      <c r="L9" s="2"/>
      <c r="M9" s="2"/>
      <c r="N9" s="15"/>
      <c r="O9" s="2"/>
      <c r="P9" s="15"/>
      <c r="Q9" s="2"/>
      <c r="R9" s="2"/>
      <c r="S9" s="2"/>
      <c r="T9" s="2"/>
      <c r="U9" s="2"/>
      <c r="V9" s="15"/>
      <c r="W9" s="15"/>
      <c r="X9" s="15"/>
      <c r="Y9" s="2"/>
    </row>
    <row r="10" spans="3:25" x14ac:dyDescent="0.25">
      <c r="C10" s="8">
        <v>45047</v>
      </c>
      <c r="D10" s="15">
        <v>11455</v>
      </c>
      <c r="E10" s="15"/>
      <c r="F10" s="15"/>
      <c r="G10" s="15"/>
      <c r="H10" s="15"/>
      <c r="I10" s="15"/>
      <c r="J10" s="15"/>
      <c r="K10" s="2"/>
      <c r="L10" s="2"/>
      <c r="M10" s="2"/>
      <c r="N10" s="15"/>
      <c r="O10" s="2"/>
      <c r="P10" s="15"/>
      <c r="Q10" s="2"/>
      <c r="R10" s="2"/>
      <c r="S10" s="2"/>
      <c r="T10" s="2"/>
      <c r="U10" s="2"/>
      <c r="V10" s="15"/>
      <c r="W10" s="15"/>
      <c r="X10" s="15"/>
      <c r="Y10" s="2"/>
    </row>
    <row r="11" spans="3:25" x14ac:dyDescent="0.25">
      <c r="C11" s="8">
        <v>45057</v>
      </c>
      <c r="D11" s="15">
        <v>15000</v>
      </c>
      <c r="E11" s="15">
        <v>13000</v>
      </c>
      <c r="F11" s="15"/>
      <c r="G11" s="15"/>
      <c r="H11" s="15"/>
      <c r="I11" s="15"/>
      <c r="J11" s="15"/>
      <c r="K11" s="2"/>
      <c r="L11" s="2"/>
      <c r="M11" s="2"/>
      <c r="N11" s="15"/>
      <c r="O11" s="2"/>
      <c r="P11" s="15"/>
      <c r="Q11" s="2"/>
      <c r="R11" s="2"/>
      <c r="S11" s="2"/>
      <c r="T11" s="2"/>
      <c r="U11" s="2"/>
      <c r="V11" s="15"/>
      <c r="W11" s="15"/>
      <c r="X11" s="15"/>
      <c r="Y11" s="2"/>
    </row>
    <row r="12" spans="3:25" x14ac:dyDescent="0.25">
      <c r="C12" s="8">
        <v>45085</v>
      </c>
      <c r="D12" s="15"/>
      <c r="E12" s="15"/>
      <c r="F12" s="15">
        <v>10000</v>
      </c>
      <c r="G12" s="15">
        <v>21600</v>
      </c>
      <c r="H12" s="15"/>
      <c r="I12" s="15"/>
      <c r="J12" s="15"/>
      <c r="K12" s="2"/>
      <c r="L12" s="2"/>
      <c r="M12" s="2"/>
      <c r="N12" s="15"/>
      <c r="O12" s="2"/>
      <c r="P12" s="15"/>
      <c r="Q12" s="2"/>
      <c r="R12" s="2"/>
      <c r="S12" s="2"/>
      <c r="T12" s="2"/>
      <c r="U12" s="2"/>
      <c r="V12" s="15"/>
      <c r="W12" s="15"/>
      <c r="X12" s="15"/>
      <c r="Y12" s="2"/>
    </row>
    <row r="13" spans="3:25" x14ac:dyDescent="0.25">
      <c r="C13" s="8">
        <v>45099</v>
      </c>
      <c r="D13" s="15"/>
      <c r="E13" s="15"/>
      <c r="F13" s="15">
        <v>6855</v>
      </c>
      <c r="G13" s="15">
        <v>11880</v>
      </c>
      <c r="H13" s="15">
        <v>35000</v>
      </c>
      <c r="I13" s="15"/>
      <c r="J13" s="15"/>
      <c r="K13" s="2"/>
      <c r="L13" s="2"/>
      <c r="M13" s="2"/>
      <c r="N13" s="15"/>
      <c r="O13" s="2"/>
      <c r="P13" s="15"/>
      <c r="Q13" s="2"/>
      <c r="R13" s="2"/>
      <c r="S13" s="2"/>
      <c r="T13" s="2"/>
      <c r="U13" s="2"/>
      <c r="V13" s="15"/>
      <c r="W13" s="15"/>
      <c r="X13" s="15"/>
      <c r="Y13" s="2"/>
    </row>
    <row r="14" spans="3:25" x14ac:dyDescent="0.25">
      <c r="C14" s="8">
        <v>45134</v>
      </c>
      <c r="D14" s="15">
        <v>55000</v>
      </c>
      <c r="E14" s="15"/>
      <c r="F14" s="15">
        <v>3655</v>
      </c>
      <c r="G14" s="15">
        <v>29700</v>
      </c>
      <c r="H14" s="15">
        <v>48510</v>
      </c>
      <c r="I14" s="15"/>
      <c r="J14" s="15"/>
      <c r="K14" s="2"/>
      <c r="L14" s="2"/>
      <c r="M14" s="2"/>
      <c r="N14" s="15"/>
      <c r="O14" s="2"/>
      <c r="P14" s="15"/>
      <c r="Q14" s="2"/>
      <c r="R14" s="2"/>
      <c r="S14" s="2"/>
      <c r="T14" s="2"/>
      <c r="U14" s="2"/>
      <c r="V14" s="15"/>
      <c r="W14" s="15"/>
      <c r="X14" s="15"/>
      <c r="Y14" s="2"/>
    </row>
    <row r="15" spans="3:25" x14ac:dyDescent="0.25">
      <c r="C15" s="8">
        <v>45176</v>
      </c>
      <c r="D15" s="15">
        <v>10640</v>
      </c>
      <c r="E15" s="15">
        <v>56840</v>
      </c>
      <c r="F15" s="15"/>
      <c r="G15" s="15">
        <v>46320</v>
      </c>
      <c r="H15" s="15">
        <v>28695</v>
      </c>
      <c r="I15" s="15">
        <v>15400</v>
      </c>
      <c r="J15" s="15"/>
      <c r="K15" s="2"/>
      <c r="L15" s="2"/>
      <c r="M15" s="2"/>
      <c r="N15" s="15"/>
      <c r="O15" s="2"/>
      <c r="P15" s="15"/>
      <c r="Q15" s="2"/>
      <c r="R15" s="2"/>
      <c r="S15" s="2"/>
      <c r="T15" s="2"/>
      <c r="U15" s="2"/>
      <c r="V15" s="15"/>
      <c r="W15" s="15"/>
      <c r="X15" s="15"/>
      <c r="Y15" s="2"/>
    </row>
    <row r="16" spans="3:25" x14ac:dyDescent="0.25">
      <c r="C16" s="8">
        <v>45195</v>
      </c>
      <c r="D16" s="15"/>
      <c r="E16" s="15"/>
      <c r="F16" s="15"/>
      <c r="G16" s="15">
        <v>38000</v>
      </c>
      <c r="H16" s="15"/>
      <c r="I16" s="15"/>
      <c r="J16" s="15"/>
      <c r="K16" s="2"/>
      <c r="L16" s="2"/>
      <c r="M16" s="2"/>
      <c r="N16" s="15"/>
      <c r="O16" s="2"/>
      <c r="P16" s="15"/>
      <c r="Q16" s="2"/>
      <c r="R16" s="2"/>
      <c r="S16" s="2"/>
      <c r="T16" s="2"/>
      <c r="U16" s="2"/>
      <c r="V16" s="15"/>
      <c r="W16" s="15"/>
      <c r="X16" s="15"/>
      <c r="Y16" s="2"/>
    </row>
    <row r="17" spans="3:25" x14ac:dyDescent="0.25">
      <c r="C17" s="8">
        <v>45232</v>
      </c>
      <c r="D17" s="15">
        <v>51835</v>
      </c>
      <c r="E17" s="15"/>
      <c r="F17" s="15"/>
      <c r="G17" s="15">
        <v>14850</v>
      </c>
      <c r="H17" s="15">
        <v>69740</v>
      </c>
      <c r="I17" s="15">
        <v>17455</v>
      </c>
      <c r="J17" s="15">
        <v>33280</v>
      </c>
      <c r="K17" s="2">
        <v>9480</v>
      </c>
      <c r="L17" s="2"/>
      <c r="M17" s="2"/>
      <c r="N17" s="15"/>
      <c r="O17" s="2"/>
      <c r="P17" s="15"/>
      <c r="Q17" s="2"/>
      <c r="R17" s="2"/>
      <c r="S17" s="2"/>
      <c r="T17" s="2"/>
      <c r="U17" s="2"/>
      <c r="V17" s="15"/>
      <c r="W17" s="15"/>
      <c r="X17" s="15"/>
      <c r="Y17" s="2"/>
    </row>
    <row r="18" spans="3:25" x14ac:dyDescent="0.25">
      <c r="C18" s="8">
        <v>45280</v>
      </c>
      <c r="D18" s="15">
        <v>32730</v>
      </c>
      <c r="E18" s="15">
        <v>46000</v>
      </c>
      <c r="F18" s="15"/>
      <c r="G18" s="15">
        <v>44550</v>
      </c>
      <c r="H18" s="15">
        <v>29635</v>
      </c>
      <c r="I18" s="15">
        <v>10255</v>
      </c>
      <c r="J18" s="15">
        <v>18000</v>
      </c>
      <c r="K18" s="2">
        <v>9115</v>
      </c>
      <c r="L18" s="2"/>
      <c r="M18" s="2"/>
      <c r="N18" s="15"/>
      <c r="O18" s="2"/>
      <c r="P18" s="15"/>
      <c r="Q18" s="2"/>
      <c r="R18" s="2"/>
      <c r="S18" s="2"/>
      <c r="T18" s="2"/>
      <c r="U18" s="2"/>
      <c r="V18" s="15"/>
      <c r="W18" s="15"/>
      <c r="X18" s="15"/>
      <c r="Y18" s="2"/>
    </row>
    <row r="19" spans="3:25" x14ac:dyDescent="0.25">
      <c r="C19" s="8">
        <v>45309</v>
      </c>
      <c r="D19" s="15">
        <v>26400</v>
      </c>
      <c r="E19" s="15"/>
      <c r="F19" s="15"/>
      <c r="G19" s="15">
        <v>55220</v>
      </c>
      <c r="H19" s="15">
        <v>23800</v>
      </c>
      <c r="I19" s="15">
        <v>26400</v>
      </c>
      <c r="J19" s="15">
        <v>20720</v>
      </c>
      <c r="K19" s="2">
        <v>13150</v>
      </c>
      <c r="L19" s="2">
        <v>10000</v>
      </c>
      <c r="M19" s="2"/>
      <c r="N19" s="15">
        <v>6050</v>
      </c>
      <c r="O19" s="2">
        <v>6600</v>
      </c>
      <c r="P19" s="15">
        <v>11000</v>
      </c>
      <c r="Q19" s="2"/>
      <c r="R19" s="2"/>
      <c r="S19" s="2"/>
      <c r="T19" s="2"/>
      <c r="U19" s="2"/>
      <c r="V19" s="15"/>
      <c r="W19" s="15"/>
      <c r="X19" s="15"/>
      <c r="Y19" s="2"/>
    </row>
    <row r="20" spans="3:25" x14ac:dyDescent="0.25">
      <c r="C20" s="8">
        <v>45337</v>
      </c>
      <c r="D20" s="15">
        <v>29260</v>
      </c>
      <c r="E20" s="15">
        <v>4950</v>
      </c>
      <c r="F20" s="15"/>
      <c r="G20" s="15"/>
      <c r="H20" s="15">
        <v>50200</v>
      </c>
      <c r="I20" s="15">
        <v>17600</v>
      </c>
      <c r="J20" s="15">
        <v>18000</v>
      </c>
      <c r="K20" s="2">
        <v>12560</v>
      </c>
      <c r="L20" s="2"/>
      <c r="M20" s="2"/>
      <c r="N20" s="15">
        <v>12000</v>
      </c>
      <c r="O20" s="2">
        <v>6600</v>
      </c>
      <c r="P20" s="15">
        <v>6600</v>
      </c>
      <c r="Q20" s="2"/>
      <c r="R20" s="2"/>
      <c r="S20" s="2"/>
      <c r="T20" s="2"/>
      <c r="U20" s="2"/>
      <c r="V20" s="15"/>
      <c r="W20" s="15"/>
      <c r="X20" s="15"/>
      <c r="Y20" s="2"/>
    </row>
    <row r="21" spans="3:25" x14ac:dyDescent="0.25">
      <c r="C21" s="8">
        <v>45370</v>
      </c>
      <c r="D21" s="15">
        <v>26400</v>
      </c>
      <c r="E21" s="15">
        <v>36250</v>
      </c>
      <c r="F21" s="15"/>
      <c r="G21" s="15"/>
      <c r="H21" s="15">
        <v>31000</v>
      </c>
      <c r="I21" s="15"/>
      <c r="J21" s="15">
        <v>25500</v>
      </c>
      <c r="K21" s="2"/>
      <c r="L21" s="2"/>
      <c r="M21" s="2"/>
      <c r="N21" s="15">
        <v>4000</v>
      </c>
      <c r="O21" s="2">
        <v>15350</v>
      </c>
      <c r="P21" s="15">
        <v>6600</v>
      </c>
      <c r="Q21" s="2"/>
      <c r="R21" s="2"/>
      <c r="S21" s="2"/>
      <c r="T21" s="2"/>
      <c r="U21" s="2"/>
      <c r="V21" s="15"/>
      <c r="W21" s="15"/>
      <c r="X21" s="15"/>
      <c r="Y21" s="2"/>
    </row>
    <row r="22" spans="3:25" x14ac:dyDescent="0.25">
      <c r="C22" s="8">
        <v>45384</v>
      </c>
      <c r="D22" s="15">
        <v>48400</v>
      </c>
      <c r="E22" s="15"/>
      <c r="F22" s="15"/>
      <c r="G22" s="15">
        <v>28045</v>
      </c>
      <c r="H22" s="15">
        <v>45000</v>
      </c>
      <c r="I22" s="15"/>
      <c r="J22" s="15">
        <v>36000</v>
      </c>
      <c r="K22" s="2">
        <v>18000</v>
      </c>
      <c r="L22" s="2"/>
      <c r="M22" s="2">
        <v>2000</v>
      </c>
      <c r="N22" s="15">
        <v>6600</v>
      </c>
      <c r="O22" s="2"/>
      <c r="P22" s="15"/>
      <c r="Q22" s="2"/>
      <c r="R22" s="2"/>
      <c r="S22" s="2"/>
      <c r="T22" s="2"/>
      <c r="U22" s="2"/>
      <c r="V22" s="15"/>
      <c r="W22" s="15"/>
      <c r="X22" s="15"/>
      <c r="Y22" s="2"/>
    </row>
    <row r="23" spans="3:25" x14ac:dyDescent="0.25">
      <c r="C23" s="8">
        <v>45406</v>
      </c>
      <c r="D23" s="15"/>
      <c r="E23" s="15"/>
      <c r="F23" s="15"/>
      <c r="G23" s="15">
        <v>25000</v>
      </c>
      <c r="H23" s="15"/>
      <c r="I23" s="15">
        <v>21000</v>
      </c>
      <c r="J23" s="15"/>
      <c r="K23" s="2"/>
      <c r="L23" s="2"/>
      <c r="M23" s="2"/>
      <c r="N23" s="15"/>
      <c r="O23" s="2"/>
      <c r="P23" s="15"/>
      <c r="Q23" s="2"/>
      <c r="R23" s="2"/>
      <c r="S23" s="2"/>
      <c r="T23" s="2"/>
      <c r="U23" s="2"/>
      <c r="V23" s="15"/>
      <c r="W23" s="15"/>
      <c r="X23" s="15"/>
      <c r="Y23" s="2"/>
    </row>
    <row r="24" spans="3:25" x14ac:dyDescent="0.25">
      <c r="C24" s="8">
        <v>45435</v>
      </c>
      <c r="D24" s="15">
        <v>45000</v>
      </c>
      <c r="E24" s="15">
        <v>29150</v>
      </c>
      <c r="F24" s="15"/>
      <c r="G24" s="15">
        <v>33000</v>
      </c>
      <c r="H24" s="15">
        <v>50000</v>
      </c>
      <c r="I24" s="15">
        <v>16500</v>
      </c>
      <c r="J24" s="15">
        <v>38250</v>
      </c>
      <c r="K24" s="2">
        <v>19090</v>
      </c>
      <c r="L24" s="2"/>
      <c r="M24" s="2"/>
      <c r="N24" s="15">
        <v>8800</v>
      </c>
      <c r="O24" s="2"/>
      <c r="P24" s="15">
        <v>16327</v>
      </c>
      <c r="Q24" s="2">
        <v>4400</v>
      </c>
      <c r="R24" s="2"/>
      <c r="S24" s="2"/>
      <c r="T24" s="2"/>
      <c r="U24" s="2"/>
      <c r="V24" s="15"/>
      <c r="W24" s="15"/>
      <c r="X24" s="15"/>
      <c r="Y24" s="2"/>
    </row>
    <row r="25" spans="3:25" x14ac:dyDescent="0.25">
      <c r="C25" s="8">
        <v>45490</v>
      </c>
      <c r="D25" s="15"/>
      <c r="E25" s="15"/>
      <c r="F25" s="15"/>
      <c r="G25" s="15"/>
      <c r="H25" s="15">
        <v>55000</v>
      </c>
      <c r="I25" s="15"/>
      <c r="J25" s="15"/>
      <c r="K25" s="2">
        <v>14450</v>
      </c>
      <c r="L25" s="2"/>
      <c r="M25" s="2">
        <v>2000</v>
      </c>
      <c r="N25" s="15"/>
      <c r="O25" s="2">
        <v>8000</v>
      </c>
      <c r="P25" s="15"/>
      <c r="Q25" s="2"/>
      <c r="R25" s="2"/>
      <c r="S25" s="2"/>
      <c r="T25" s="2">
        <v>15180</v>
      </c>
      <c r="U25" s="2"/>
      <c r="V25" s="15"/>
      <c r="W25" s="15"/>
      <c r="X25" s="15"/>
      <c r="Y25" s="2"/>
    </row>
    <row r="26" spans="3:25" x14ac:dyDescent="0.25">
      <c r="C26" s="8">
        <v>45504</v>
      </c>
      <c r="D26" s="15">
        <v>46060</v>
      </c>
      <c r="E26" s="15"/>
      <c r="F26" s="15"/>
      <c r="G26" s="15">
        <v>40000</v>
      </c>
      <c r="H26" s="15"/>
      <c r="I26" s="15">
        <v>22460</v>
      </c>
      <c r="J26" s="15">
        <v>21000</v>
      </c>
      <c r="K26" s="2"/>
      <c r="L26" s="2"/>
      <c r="M26" s="2"/>
      <c r="N26" s="15"/>
      <c r="O26" s="2">
        <v>12000</v>
      </c>
      <c r="P26" s="15">
        <v>10000</v>
      </c>
      <c r="Q26" s="2"/>
      <c r="R26" s="2">
        <v>22000</v>
      </c>
      <c r="S26" s="2">
        <v>8800</v>
      </c>
      <c r="T26" s="2"/>
      <c r="U26" s="2">
        <v>21250</v>
      </c>
      <c r="V26" s="15"/>
      <c r="W26" s="15"/>
      <c r="X26" s="15"/>
      <c r="Y26" s="2"/>
    </row>
    <row r="27" spans="3:25" x14ac:dyDescent="0.25">
      <c r="C27" s="8">
        <v>45527</v>
      </c>
      <c r="D27" s="15"/>
      <c r="E27" s="15"/>
      <c r="F27" s="15"/>
      <c r="G27" s="15">
        <v>16200</v>
      </c>
      <c r="H27" s="15">
        <v>65000</v>
      </c>
      <c r="I27" s="15"/>
      <c r="J27" s="15">
        <v>44250</v>
      </c>
      <c r="K27" s="2"/>
      <c r="L27" s="2"/>
      <c r="M27" s="2"/>
      <c r="N27" s="15"/>
      <c r="O27" s="2"/>
      <c r="P27" s="15"/>
      <c r="Q27" s="2"/>
      <c r="R27" s="2">
        <v>44000</v>
      </c>
      <c r="S27" s="2">
        <v>40000</v>
      </c>
      <c r="T27" s="2"/>
      <c r="U27" s="2"/>
      <c r="V27" s="15">
        <v>13500</v>
      </c>
      <c r="W27" s="15"/>
      <c r="X27" s="15"/>
      <c r="Y27" s="2"/>
    </row>
    <row r="28" spans="3:25" x14ac:dyDescent="0.25">
      <c r="C28" s="8">
        <v>45572</v>
      </c>
      <c r="D28" s="15">
        <v>17600</v>
      </c>
      <c r="E28" s="15"/>
      <c r="F28" s="15"/>
      <c r="G28" s="15">
        <v>45000</v>
      </c>
      <c r="H28" s="15"/>
      <c r="I28" s="15"/>
      <c r="J28" s="15">
        <v>9750</v>
      </c>
      <c r="K28" s="2">
        <v>14000</v>
      </c>
      <c r="L28" s="2"/>
      <c r="M28" s="2">
        <v>2030</v>
      </c>
      <c r="N28" s="15">
        <v>5500</v>
      </c>
      <c r="O28" s="2"/>
      <c r="P28" s="15">
        <v>10000</v>
      </c>
      <c r="Q28" s="2">
        <v>5500</v>
      </c>
      <c r="R28" s="2">
        <v>45000</v>
      </c>
      <c r="S28" s="2">
        <v>36000</v>
      </c>
      <c r="T28" s="2">
        <v>19700</v>
      </c>
      <c r="U28" s="2">
        <v>15000</v>
      </c>
      <c r="V28" s="15">
        <v>15750</v>
      </c>
      <c r="W28" s="15"/>
      <c r="X28" s="15"/>
      <c r="Y28" s="2"/>
    </row>
    <row r="29" spans="3:25" x14ac:dyDescent="0.25">
      <c r="C29" s="8">
        <v>45596</v>
      </c>
      <c r="D29" s="15"/>
      <c r="E29" s="15"/>
      <c r="F29" s="15"/>
      <c r="G29" s="15"/>
      <c r="H29" s="15">
        <v>55000</v>
      </c>
      <c r="I29" s="15">
        <v>13000</v>
      </c>
      <c r="J29" s="15">
        <v>24000</v>
      </c>
      <c r="K29" s="2">
        <v>12100</v>
      </c>
      <c r="L29" s="2"/>
      <c r="M29" s="2"/>
      <c r="N29" s="15">
        <v>11000</v>
      </c>
      <c r="O29" s="2">
        <v>8800</v>
      </c>
      <c r="P29" s="15"/>
      <c r="Q29" s="2"/>
      <c r="R29" s="2"/>
      <c r="S29" s="2"/>
      <c r="T29" s="2">
        <v>5500</v>
      </c>
      <c r="U29" s="2">
        <v>13750</v>
      </c>
      <c r="V29" s="15"/>
      <c r="W29" s="15"/>
      <c r="X29" s="15"/>
      <c r="Y29" s="2"/>
    </row>
    <row r="30" spans="3:25" x14ac:dyDescent="0.25">
      <c r="C30" s="8">
        <v>45607</v>
      </c>
      <c r="D30" s="15">
        <v>13200</v>
      </c>
      <c r="E30" s="15"/>
      <c r="F30" s="15"/>
      <c r="G30" s="15"/>
      <c r="H30" s="15"/>
      <c r="I30" s="15"/>
      <c r="J30" s="15">
        <v>26250</v>
      </c>
      <c r="K30" s="2"/>
      <c r="L30" s="2"/>
      <c r="M30" s="2">
        <v>2000</v>
      </c>
      <c r="N30" s="15"/>
      <c r="O30" s="2"/>
      <c r="P30" s="15">
        <v>6600</v>
      </c>
      <c r="Q30" s="2"/>
      <c r="R30" s="2"/>
      <c r="S30" s="2">
        <v>17500</v>
      </c>
      <c r="T30" s="2"/>
      <c r="U30" s="2">
        <v>7500</v>
      </c>
      <c r="V30" s="15"/>
      <c r="W30" s="15"/>
      <c r="X30" s="15"/>
      <c r="Y30" s="2"/>
    </row>
    <row r="31" spans="3:25" x14ac:dyDescent="0.25">
      <c r="C31" s="8">
        <v>45614</v>
      </c>
      <c r="D31" s="15">
        <v>23000</v>
      </c>
      <c r="E31" s="15"/>
      <c r="F31" s="15"/>
      <c r="G31" s="15"/>
      <c r="H31" s="15">
        <v>53350</v>
      </c>
      <c r="I31" s="15"/>
      <c r="J31" s="15">
        <v>10500</v>
      </c>
      <c r="K31" s="2"/>
      <c r="L31" s="2"/>
      <c r="M31" s="2">
        <v>1000</v>
      </c>
      <c r="N31" s="15"/>
      <c r="O31" s="2"/>
      <c r="P31" s="15">
        <v>14300</v>
      </c>
      <c r="Q31" s="2">
        <v>4000</v>
      </c>
      <c r="R31" s="2">
        <v>17550</v>
      </c>
      <c r="S31" s="2"/>
      <c r="T31" s="2">
        <v>7700</v>
      </c>
      <c r="U31" s="2">
        <v>15000</v>
      </c>
      <c r="V31" s="15"/>
      <c r="W31" s="15">
        <v>9255</v>
      </c>
      <c r="X31" s="15">
        <v>10120</v>
      </c>
      <c r="Y31" s="2">
        <v>6300</v>
      </c>
    </row>
    <row r="32" spans="3:25" x14ac:dyDescent="0.25">
      <c r="C32" s="8">
        <v>45642</v>
      </c>
      <c r="D32" s="15"/>
      <c r="E32" s="15">
        <v>45000</v>
      </c>
      <c r="F32" s="15"/>
      <c r="G32" s="15">
        <v>26250</v>
      </c>
      <c r="H32" s="15"/>
      <c r="I32" s="15"/>
      <c r="J32" s="15"/>
      <c r="K32" s="2"/>
      <c r="L32" s="2"/>
      <c r="M32" s="2"/>
      <c r="N32" s="15"/>
      <c r="O32" s="2"/>
      <c r="P32" s="15"/>
      <c r="Q32" s="2"/>
      <c r="R32" s="2"/>
      <c r="S32" s="2">
        <v>8000</v>
      </c>
      <c r="T32" s="2"/>
      <c r="U32" s="2">
        <v>15000</v>
      </c>
      <c r="V32" s="15"/>
      <c r="W32" s="15"/>
      <c r="X32" s="15"/>
      <c r="Y32" s="2"/>
    </row>
    <row r="33" spans="3:25" x14ac:dyDescent="0.25">
      <c r="C33" s="8">
        <v>45667</v>
      </c>
      <c r="D33" s="15"/>
      <c r="E33" s="15"/>
      <c r="F33" s="15"/>
      <c r="G33" s="15">
        <v>20725</v>
      </c>
      <c r="H33" s="15">
        <v>62700</v>
      </c>
      <c r="I33" s="15">
        <v>13000</v>
      </c>
      <c r="J33" s="15">
        <v>32250</v>
      </c>
      <c r="K33" s="2">
        <v>9900</v>
      </c>
      <c r="L33" s="2"/>
      <c r="M33" s="2"/>
      <c r="N33" s="15">
        <v>8595</v>
      </c>
      <c r="O33" s="2">
        <v>10000</v>
      </c>
      <c r="P33" s="15"/>
      <c r="Q33" s="2">
        <v>4400</v>
      </c>
      <c r="R33" s="2">
        <v>45000</v>
      </c>
      <c r="S33" s="2">
        <v>63800</v>
      </c>
      <c r="T33" s="2">
        <v>17500</v>
      </c>
      <c r="U33" s="2"/>
      <c r="V33" s="15">
        <v>31500</v>
      </c>
      <c r="W33" s="15">
        <v>9900</v>
      </c>
      <c r="X33" s="15">
        <v>9900</v>
      </c>
      <c r="Y33" s="2">
        <v>8090</v>
      </c>
    </row>
    <row r="34" spans="3:25" x14ac:dyDescent="0.25">
      <c r="C34" s="8">
        <v>45674</v>
      </c>
      <c r="D34" s="15"/>
      <c r="E34" s="15"/>
      <c r="F34" s="15"/>
      <c r="G34" s="15">
        <v>40000</v>
      </c>
      <c r="H34" s="15"/>
      <c r="I34" s="15">
        <v>22000</v>
      </c>
      <c r="J34" s="15">
        <v>4500</v>
      </c>
      <c r="K34" s="2">
        <v>27500</v>
      </c>
      <c r="L34" s="2"/>
      <c r="M34" s="2">
        <v>2200</v>
      </c>
      <c r="N34" s="15"/>
      <c r="O34" s="2"/>
      <c r="P34" s="15"/>
      <c r="Q34" s="2"/>
      <c r="R34" s="2"/>
      <c r="S34" s="2"/>
      <c r="T34" s="2"/>
      <c r="U34" s="2"/>
      <c r="V34" s="15"/>
      <c r="W34" s="15"/>
      <c r="X34" s="15"/>
      <c r="Y34" s="2"/>
    </row>
    <row r="35" spans="3:25" x14ac:dyDescent="0.25">
      <c r="C35" s="8">
        <v>45686</v>
      </c>
      <c r="D35" s="15">
        <v>25610</v>
      </c>
      <c r="E35" s="15">
        <v>24375</v>
      </c>
      <c r="F35" s="15"/>
      <c r="G35" s="15"/>
      <c r="H35" s="15"/>
      <c r="I35" s="15"/>
      <c r="J35" s="15">
        <v>36500</v>
      </c>
      <c r="K35" s="2"/>
      <c r="L35" s="2"/>
      <c r="M35" s="2"/>
      <c r="N35" s="15"/>
      <c r="O35" s="2"/>
      <c r="P35" s="15">
        <v>10000</v>
      </c>
      <c r="Q35" s="2"/>
      <c r="R35" s="2"/>
      <c r="S35" s="2"/>
      <c r="T35" s="2">
        <v>7700</v>
      </c>
      <c r="U35" s="2">
        <v>29415</v>
      </c>
      <c r="V35" s="15"/>
      <c r="W35" s="15">
        <v>6000</v>
      </c>
      <c r="X35" s="15">
        <v>5500</v>
      </c>
      <c r="Y35" s="2">
        <v>13200</v>
      </c>
    </row>
    <row r="36" spans="3:25" x14ac:dyDescent="0.25">
      <c r="C36" s="8">
        <v>45706</v>
      </c>
      <c r="D36" s="15">
        <v>24000</v>
      </c>
      <c r="E36" s="15"/>
      <c r="F36" s="15"/>
      <c r="G36" s="15">
        <v>55000</v>
      </c>
      <c r="H36" s="15"/>
      <c r="I36" s="15">
        <v>24200</v>
      </c>
      <c r="J36" s="15"/>
      <c r="K36" s="2"/>
      <c r="L36" s="2"/>
      <c r="M36" s="2">
        <v>2200</v>
      </c>
      <c r="N36" s="15">
        <v>9000</v>
      </c>
      <c r="O36" s="2">
        <v>8800</v>
      </c>
      <c r="P36" s="15">
        <v>10000</v>
      </c>
      <c r="Q36" s="2"/>
      <c r="R36" s="2">
        <v>33000</v>
      </c>
      <c r="S36" s="2">
        <v>24000</v>
      </c>
      <c r="T36" s="2">
        <v>7500</v>
      </c>
      <c r="U36" s="2"/>
      <c r="V36" s="15">
        <v>26400</v>
      </c>
      <c r="W36" s="15">
        <v>1000</v>
      </c>
      <c r="X36" s="15">
        <v>1100</v>
      </c>
      <c r="Y36" s="2"/>
    </row>
    <row r="37" spans="3:25" x14ac:dyDescent="0.25">
      <c r="C37" s="8"/>
      <c r="D37" s="15"/>
      <c r="E37" s="15"/>
      <c r="F37" s="15"/>
      <c r="G37" s="15"/>
      <c r="H37" s="15"/>
      <c r="I37" s="15"/>
      <c r="J37" s="15"/>
      <c r="K37" s="2"/>
      <c r="L37" s="2"/>
      <c r="M37" s="2"/>
      <c r="N37" s="15"/>
      <c r="O37" s="2"/>
      <c r="P37" s="15"/>
      <c r="Q37" s="2"/>
      <c r="R37" s="2"/>
      <c r="S37" s="2"/>
      <c r="T37" s="2"/>
      <c r="U37" s="2"/>
      <c r="V37" s="15"/>
      <c r="W37" s="15"/>
      <c r="X37" s="15"/>
      <c r="Y37" s="2"/>
    </row>
    <row r="38" spans="3:25" x14ac:dyDescent="0.25">
      <c r="C38" s="8"/>
      <c r="D38" s="15"/>
      <c r="E38" s="15"/>
      <c r="F38" s="15"/>
      <c r="G38" s="15"/>
      <c r="H38" s="15"/>
      <c r="I38" s="15"/>
      <c r="J38" s="15"/>
      <c r="K38" s="2"/>
      <c r="L38" s="2"/>
      <c r="M38" s="2"/>
      <c r="N38" s="15"/>
      <c r="O38" s="2"/>
      <c r="P38" s="15"/>
      <c r="Q38" s="2"/>
      <c r="R38" s="2"/>
      <c r="S38" s="2"/>
      <c r="T38" s="2"/>
      <c r="U38" s="2"/>
      <c r="V38" s="15"/>
      <c r="W38" s="15"/>
      <c r="X38" s="15"/>
      <c r="Y38" s="2"/>
    </row>
    <row r="39" spans="3:25" x14ac:dyDescent="0.25">
      <c r="C39" s="8"/>
      <c r="D39" s="15"/>
      <c r="E39" s="15"/>
      <c r="F39" s="15"/>
      <c r="G39" s="15"/>
      <c r="H39" s="15"/>
      <c r="I39" s="15"/>
      <c r="J39" s="15"/>
      <c r="K39" s="2"/>
      <c r="L39" s="2"/>
      <c r="M39" s="2"/>
      <c r="N39" s="15"/>
      <c r="O39" s="2"/>
      <c r="P39" s="15"/>
      <c r="Q39" s="2"/>
      <c r="R39" s="2"/>
      <c r="S39" s="2"/>
      <c r="T39" s="2"/>
      <c r="U39" s="2"/>
      <c r="V39" s="15"/>
      <c r="W39" s="15"/>
      <c r="X39" s="15"/>
      <c r="Y39" s="2"/>
    </row>
    <row r="40" spans="3:25" x14ac:dyDescent="0.25">
      <c r="C40" s="8"/>
      <c r="D40" s="15"/>
      <c r="E40" s="15"/>
      <c r="F40" s="15"/>
      <c r="G40" s="15"/>
      <c r="H40" s="15"/>
      <c r="I40" s="15"/>
      <c r="J40" s="15"/>
      <c r="K40" s="2"/>
      <c r="L40" s="2"/>
      <c r="M40" s="2"/>
      <c r="N40" s="15"/>
      <c r="O40" s="2"/>
      <c r="P40" s="15"/>
      <c r="Q40" s="2"/>
      <c r="R40" s="2"/>
      <c r="S40" s="2"/>
      <c r="T40" s="2"/>
      <c r="U40" s="2"/>
      <c r="V40" s="15"/>
      <c r="W40" s="15"/>
      <c r="X40" s="15"/>
      <c r="Y40" s="2"/>
    </row>
    <row r="41" spans="3:25" x14ac:dyDescent="0.25">
      <c r="C41" s="8"/>
      <c r="D41" s="15"/>
      <c r="E41" s="15"/>
      <c r="F41" s="15"/>
      <c r="G41" s="15"/>
      <c r="H41" s="15"/>
      <c r="I41" s="15"/>
      <c r="J41" s="15"/>
      <c r="K41" s="2"/>
      <c r="L41" s="2"/>
      <c r="M41" s="2"/>
      <c r="N41" s="15"/>
      <c r="O41" s="2"/>
      <c r="P41" s="15"/>
      <c r="Q41" s="2"/>
      <c r="R41" s="2"/>
      <c r="S41" s="2"/>
      <c r="T41" s="2"/>
      <c r="U41" s="2"/>
      <c r="V41" s="15"/>
      <c r="W41" s="15"/>
      <c r="X41" s="15"/>
      <c r="Y41" s="2"/>
    </row>
    <row r="42" spans="3:25" x14ac:dyDescent="0.25">
      <c r="C42" s="9" t="s">
        <v>26</v>
      </c>
      <c r="D42" s="15">
        <f t="shared" ref="D42:I42" si="0">D7-(SUM(D8:D41))</f>
        <v>-291590</v>
      </c>
      <c r="E42" s="15">
        <f t="shared" si="0"/>
        <v>-78095</v>
      </c>
      <c r="F42" s="15">
        <f t="shared" si="0"/>
        <v>-5510</v>
      </c>
      <c r="G42" s="15">
        <f t="shared" si="0"/>
        <v>-448340</v>
      </c>
      <c r="H42" s="15">
        <f t="shared" si="0"/>
        <v>-342630</v>
      </c>
      <c r="I42" s="15">
        <f t="shared" si="0"/>
        <v>-39270</v>
      </c>
      <c r="J42" s="15">
        <f t="shared" ref="J42:M42" si="1">J7-(SUM(J8:J41))</f>
        <v>-52750</v>
      </c>
      <c r="K42" s="2">
        <f t="shared" si="1"/>
        <v>655</v>
      </c>
      <c r="L42" s="2">
        <f t="shared" si="1"/>
        <v>10000</v>
      </c>
      <c r="M42" s="2">
        <f t="shared" si="1"/>
        <v>6570</v>
      </c>
      <c r="N42" s="15">
        <f>N7-(SUM(N8:N41))</f>
        <v>-36545</v>
      </c>
      <c r="O42" s="2">
        <f t="shared" ref="O42:Y42" si="2">O7-(SUM(O8:O41))</f>
        <v>3850</v>
      </c>
      <c r="P42" s="15">
        <f t="shared" si="2"/>
        <v>-11427</v>
      </c>
      <c r="Q42" s="2">
        <f t="shared" si="2"/>
        <v>46700</v>
      </c>
      <c r="R42" s="2">
        <f t="shared" si="2"/>
        <v>73450</v>
      </c>
      <c r="S42" s="2">
        <f t="shared" si="2"/>
        <v>61900</v>
      </c>
      <c r="T42" s="2">
        <f t="shared" si="2"/>
        <v>9220</v>
      </c>
      <c r="U42" s="2">
        <f t="shared" si="2"/>
        <v>133085</v>
      </c>
      <c r="V42" s="15">
        <f t="shared" si="2"/>
        <v>-11150</v>
      </c>
      <c r="W42" s="15">
        <f t="shared" si="2"/>
        <v>-6155</v>
      </c>
      <c r="X42" s="15">
        <f t="shared" si="2"/>
        <v>-6620</v>
      </c>
      <c r="Y42" s="2">
        <f t="shared" si="2"/>
        <v>44410</v>
      </c>
    </row>
    <row r="47" spans="3:25" ht="15.75" x14ac:dyDescent="0.25">
      <c r="D47" s="19" t="s">
        <v>47</v>
      </c>
      <c r="E47" s="19"/>
      <c r="F47" s="20" t="s">
        <v>49</v>
      </c>
      <c r="G47" s="21">
        <v>65000</v>
      </c>
      <c r="H47" s="22" t="s">
        <v>50</v>
      </c>
    </row>
    <row r="48" spans="3:25" ht="15.75" x14ac:dyDescent="0.25">
      <c r="D48" s="23"/>
      <c r="E48" s="23"/>
      <c r="F48" s="24"/>
      <c r="G48" s="25"/>
      <c r="H48" s="26"/>
    </row>
    <row r="49" spans="4:8" ht="15.75" x14ac:dyDescent="0.25">
      <c r="D49" s="19"/>
      <c r="E49" s="19"/>
      <c r="F49" s="20"/>
      <c r="G49" s="21"/>
      <c r="H49" s="22"/>
    </row>
    <row r="50" spans="4:8" ht="15.75" x14ac:dyDescent="0.25">
      <c r="D50" s="23"/>
      <c r="E50" s="23"/>
      <c r="F50" s="24"/>
      <c r="G50" s="25"/>
      <c r="H50" s="26"/>
    </row>
    <row r="51" spans="4:8" ht="15.75" x14ac:dyDescent="0.25">
      <c r="D51" s="19" t="s">
        <v>54</v>
      </c>
      <c r="E51" s="19"/>
      <c r="F51" s="20" t="s">
        <v>49</v>
      </c>
      <c r="G51" s="21">
        <v>72000</v>
      </c>
      <c r="H51" s="22" t="s">
        <v>50</v>
      </c>
    </row>
    <row r="52" spans="4:8" ht="15.75" x14ac:dyDescent="0.25">
      <c r="D52" s="23" t="s">
        <v>55</v>
      </c>
      <c r="E52" s="23"/>
      <c r="F52" s="24" t="s">
        <v>56</v>
      </c>
      <c r="G52" s="25">
        <v>76000</v>
      </c>
      <c r="H52" s="26" t="s">
        <v>50</v>
      </c>
    </row>
    <row r="53" spans="4:8" ht="15.75" x14ac:dyDescent="0.25">
      <c r="D53" s="19"/>
      <c r="E53" s="19"/>
      <c r="F53" s="20"/>
      <c r="G53" s="21"/>
      <c r="H53" s="22"/>
    </row>
    <row r="54" spans="4:8" ht="15.75" x14ac:dyDescent="0.25">
      <c r="D54" s="23" t="s">
        <v>57</v>
      </c>
      <c r="E54" s="23"/>
      <c r="F54" s="24" t="s">
        <v>58</v>
      </c>
      <c r="G54" s="25">
        <v>36000</v>
      </c>
      <c r="H54" s="26" t="s">
        <v>50</v>
      </c>
    </row>
    <row r="55" spans="4:8" ht="15.75" x14ac:dyDescent="0.25">
      <c r="D55" s="19" t="s">
        <v>59</v>
      </c>
      <c r="E55" s="19"/>
      <c r="F55" s="20" t="s">
        <v>60</v>
      </c>
      <c r="G55" s="21">
        <v>30000</v>
      </c>
      <c r="H55" s="22" t="s">
        <v>50</v>
      </c>
    </row>
  </sheetData>
  <mergeCells count="1">
    <mergeCell ref="L4:P4"/>
  </mergeCells>
  <pageMargins left="0.7" right="0.7" top="0.75" bottom="0.75" header="0.3" footer="0.3"/>
  <pageSetup paperSize="9" scale="7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Sheet1</vt:lpstr>
      <vt:lpstr>YILLIK MİKTAR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2026-03-15T16:09:49Z</dcterms:modified>
</cp:coreProperties>
</file>