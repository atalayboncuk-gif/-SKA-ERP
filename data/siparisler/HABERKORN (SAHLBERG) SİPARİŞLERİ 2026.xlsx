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İHRACAT\SİPARİŞLER\2026\"/>
    </mc:Choice>
  </mc:AlternateContent>
  <xr:revisionPtr revIDLastSave="0" documentId="13_ncr:1_{EAD51AAD-33DF-4C1D-81F1-6F6B2BBA40C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yfa1" sheetId="1" r:id="rId1"/>
    <sheet name="Sayfa2" sheetId="2" r:id="rId2"/>
    <sheet name="Sayf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" i="1" l="1"/>
  <c r="K15" i="1"/>
  <c r="K16" i="1"/>
  <c r="K12" i="1"/>
  <c r="K14" i="1"/>
  <c r="K9" i="1" l="1"/>
  <c r="K10" i="1"/>
</calcChain>
</file>

<file path=xl/sharedStrings.xml><?xml version="1.0" encoding="utf-8"?>
<sst xmlns="http://schemas.openxmlformats.org/spreadsheetml/2006/main" count="46" uniqueCount="34">
  <si>
    <t>NETSIS</t>
  </si>
  <si>
    <t>Müşteri Sipariş Kodu</t>
  </si>
  <si>
    <t xml:space="preserve">Müşteri Kodu </t>
  </si>
  <si>
    <t xml:space="preserve">İSKA KODU </t>
  </si>
  <si>
    <t xml:space="preserve">ÜRÜN AÇILIMI </t>
  </si>
  <si>
    <t xml:space="preserve">FİYAT </t>
  </si>
  <si>
    <t>ADET</t>
  </si>
  <si>
    <t>NOTLAR</t>
  </si>
  <si>
    <t xml:space="preserve">Sevkiyat Tarihi </t>
  </si>
  <si>
    <t xml:space="preserve">Müşteri Adı </t>
  </si>
  <si>
    <t>,</t>
  </si>
  <si>
    <t>Ürünlerin Rusya menşeli metal kullanmadığı belge.</t>
  </si>
  <si>
    <t>HABERKORN</t>
  </si>
  <si>
    <t>T3314</t>
  </si>
  <si>
    <t>Puffer B 50x45 M10x20 NR 55 Shore</t>
  </si>
  <si>
    <t>IHR-0949</t>
  </si>
  <si>
    <t>15.01.2026 SEVKİYATI</t>
  </si>
  <si>
    <t>IHR-0950</t>
  </si>
  <si>
    <t>29.01.2026 SEVKİYATI</t>
  </si>
  <si>
    <t>IHR-007</t>
  </si>
  <si>
    <t>B0038</t>
  </si>
  <si>
    <t>Frame Mount CR 45 Shore A</t>
  </si>
  <si>
    <t>IHR-093</t>
  </si>
  <si>
    <t xml:space="preserve">D-NR-40-WH-10*8-M4*10 </t>
  </si>
  <si>
    <t>T4428</t>
  </si>
  <si>
    <t>IHR-156</t>
  </si>
  <si>
    <t>T1017</t>
  </si>
  <si>
    <t>GM-Maschinenfuß 128   128 x 78 x 30 mm, M10, 60 ±5 Shore</t>
  </si>
  <si>
    <t>IHR-191</t>
  </si>
  <si>
    <t>IHR-232</t>
  </si>
  <si>
    <t>26.03.2026 SEVKİYATI (Friedrich-Schüle-Straße 20 adresine gidecek )</t>
  </si>
  <si>
    <t>Tekliften döndü (Request for Quotation 7000022013)</t>
  </si>
  <si>
    <r>
      <rPr>
        <b/>
        <sz val="11"/>
        <color theme="1"/>
        <rFont val="Bookman Old Style"/>
        <family val="1"/>
        <charset val="162"/>
      </rPr>
      <t>İzsiz /ROHS uyumlu</t>
    </r>
    <r>
      <rPr>
        <sz val="11"/>
        <color theme="1"/>
        <rFont val="Bookman Old Style"/>
        <family val="1"/>
        <charset val="162"/>
      </rPr>
      <t xml:space="preserve"> - / Tekliften döndü (Request for Quotation 7000021952)</t>
    </r>
  </si>
  <si>
    <t>50'şer adet halinde paketlenecek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</si>
</sst>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\ [$€-1]"/>
    <numFmt numFmtId="165" formatCode="_-&quot;€&quot;\ * #,##0.00_-;\-&quot;€&quot;\ * #,##0.00_-;_-&quot;€&quot;\ * &quot;-&quot;??_-;_-@_-"/>
    <numFmt numFmtId="166" formatCode="#,##0.0000\ [$€-407]"/>
    <numFmt numFmtId="167" formatCode="#,##0.00\ [$€-407]"/>
  </numFmts>
  <fonts count="24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Bookman Old Style"/>
      <family val="1"/>
      <charset val="162"/>
    </font>
    <font>
      <b/>
      <sz val="11"/>
      <color rgb="FF000000"/>
      <name val="Bookman Old Style"/>
      <family val="1"/>
      <charset val="162"/>
    </font>
    <font>
      <sz val="11"/>
      <color theme="1"/>
      <name val="Bookman Old Style"/>
      <family val="1"/>
      <charset val="162"/>
    </font>
    <font>
      <b/>
      <sz val="11"/>
      <name val="Bookman Old Style"/>
      <family val="1"/>
      <charset val="162"/>
    </font>
    <font>
      <sz val="11"/>
      <name val="Bookman Old Style"/>
      <family val="1"/>
      <charset val="162"/>
    </font>
    <font>
      <sz val="8"/>
      <name val="Calibri"/>
      <family val="2"/>
      <charset val="16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1" fillId="0" borderId="0"/>
    <xf numFmtId="165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3" applyNumberFormat="0" applyFill="0" applyAlignment="0" applyProtection="0"/>
    <xf numFmtId="0" fontId="4" fillId="0" borderId="4" applyNumberFormat="0" applyFill="0" applyAlignment="0" applyProtection="0"/>
    <xf numFmtId="0" fontId="5" fillId="0" borderId="5" applyNumberFormat="0" applyFill="0" applyAlignment="0" applyProtection="0"/>
    <xf numFmtId="0" fontId="5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6" applyNumberFormat="0" applyAlignment="0" applyProtection="0"/>
    <xf numFmtId="0" fontId="10" fillId="7" borderId="7" applyNumberFormat="0" applyAlignment="0" applyProtection="0"/>
    <xf numFmtId="0" fontId="11" fillId="7" borderId="6" applyNumberFormat="0" applyAlignment="0" applyProtection="0"/>
    <xf numFmtId="0" fontId="12" fillId="0" borderId="8" applyNumberFormat="0" applyFill="0" applyAlignment="0" applyProtection="0"/>
    <xf numFmtId="0" fontId="13" fillId="8" borderId="9" applyNumberFormat="0" applyAlignment="0" applyProtection="0"/>
    <xf numFmtId="0" fontId="14" fillId="0" borderId="0" applyNumberFormat="0" applyFill="0" applyBorder="0" applyAlignment="0" applyProtection="0"/>
    <xf numFmtId="0" fontId="1" fillId="9" borderId="10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11" applyNumberFormat="0" applyFill="0" applyAlignment="0" applyProtection="0"/>
    <xf numFmtId="0" fontId="17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7" fillId="33" borderId="0" applyNumberFormat="0" applyBorder="0" applyAlignment="0" applyProtection="0"/>
  </cellStyleXfs>
  <cellXfs count="19">
    <xf numFmtId="0" fontId="0" fillId="0" borderId="0" xfId="0"/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164" fontId="18" fillId="0" borderId="1" xfId="0" applyNumberFormat="1" applyFont="1" applyBorder="1" applyAlignment="1">
      <alignment horizontal="center" vertical="center"/>
    </xf>
    <xf numFmtId="0" fontId="20" fillId="0" borderId="0" xfId="0" applyFont="1"/>
    <xf numFmtId="0" fontId="20" fillId="0" borderId="1" xfId="0" applyFont="1" applyBorder="1" applyAlignment="1">
      <alignment horizontal="center"/>
    </xf>
    <xf numFmtId="167" fontId="20" fillId="0" borderId="0" xfId="0" applyNumberFormat="1" applyFont="1"/>
    <xf numFmtId="0" fontId="20" fillId="0" borderId="1" xfId="0" applyFont="1" applyBorder="1"/>
    <xf numFmtId="0" fontId="20" fillId="0" borderId="0" xfId="0" applyFont="1" applyAlignment="1">
      <alignment horizontal="center"/>
    </xf>
    <xf numFmtId="0" fontId="20" fillId="34" borderId="1" xfId="0" applyFont="1" applyFill="1" applyBorder="1" applyAlignment="1">
      <alignment horizontal="center"/>
    </xf>
    <xf numFmtId="14" fontId="20" fillId="34" borderId="1" xfId="0" applyNumberFormat="1" applyFont="1" applyFill="1" applyBorder="1" applyAlignment="1">
      <alignment horizontal="center"/>
    </xf>
    <xf numFmtId="166" fontId="22" fillId="34" borderId="1" xfId="0" applyNumberFormat="1" applyFont="1" applyFill="1" applyBorder="1" applyAlignment="1">
      <alignment horizontal="center" vertical="center"/>
    </xf>
    <xf numFmtId="0" fontId="20" fillId="34" borderId="1" xfId="0" applyFont="1" applyFill="1" applyBorder="1" applyAlignment="1">
      <alignment horizontal="left"/>
    </xf>
    <xf numFmtId="0" fontId="21" fillId="0" borderId="1" xfId="0" applyFont="1" applyBorder="1"/>
    <xf numFmtId="166" fontId="22" fillId="0" borderId="1" xfId="0" applyNumberFormat="1" applyFont="1" applyBorder="1" applyAlignment="1">
      <alignment horizontal="center" vertical="center"/>
    </xf>
    <xf numFmtId="14" fontId="20" fillId="0" borderId="1" xfId="0" applyNumberFormat="1" applyFont="1" applyBorder="1" applyAlignment="1">
      <alignment horizontal="center"/>
    </xf>
    <xf numFmtId="3" fontId="20" fillId="0" borderId="1" xfId="0" applyNumberFormat="1" applyFont="1" applyBorder="1" applyAlignment="1">
      <alignment horizontal="center"/>
    </xf>
    <xf numFmtId="17" fontId="21" fillId="2" borderId="2" xfId="0" applyNumberFormat="1" applyFont="1" applyFill="1" applyBorder="1" applyAlignment="1">
      <alignment horizontal="center"/>
    </xf>
  </cellXfs>
  <cellStyles count="44">
    <cellStyle name="%20 - Vurgu1 2" xfId="21" xr:uid="{00000000-0005-0000-0000-000000000000}"/>
    <cellStyle name="%20 - Vurgu2 2" xfId="25" xr:uid="{00000000-0005-0000-0000-000001000000}"/>
    <cellStyle name="%20 - Vurgu3 2" xfId="29" xr:uid="{00000000-0005-0000-0000-000002000000}"/>
    <cellStyle name="%20 - Vurgu4 2" xfId="33" xr:uid="{00000000-0005-0000-0000-000003000000}"/>
    <cellStyle name="%20 - Vurgu5 2" xfId="37" xr:uid="{00000000-0005-0000-0000-000004000000}"/>
    <cellStyle name="%20 - Vurgu6 2" xfId="41" xr:uid="{00000000-0005-0000-0000-000005000000}"/>
    <cellStyle name="%40 - Vurgu1 2" xfId="22" xr:uid="{00000000-0005-0000-0000-000006000000}"/>
    <cellStyle name="%40 - Vurgu2 2" xfId="26" xr:uid="{00000000-0005-0000-0000-000007000000}"/>
    <cellStyle name="%40 - Vurgu3 2" xfId="30" xr:uid="{00000000-0005-0000-0000-000008000000}"/>
    <cellStyle name="%40 - Vurgu4 2" xfId="34" xr:uid="{00000000-0005-0000-0000-000009000000}"/>
    <cellStyle name="%40 - Vurgu5 2" xfId="38" xr:uid="{00000000-0005-0000-0000-00000A000000}"/>
    <cellStyle name="%40 - Vurgu6 2" xfId="42" xr:uid="{00000000-0005-0000-0000-00000B000000}"/>
    <cellStyle name="%60 - Vurgu1 2" xfId="23" xr:uid="{00000000-0005-0000-0000-00000C000000}"/>
    <cellStyle name="%60 - Vurgu2 2" xfId="27" xr:uid="{00000000-0005-0000-0000-00000D000000}"/>
    <cellStyle name="%60 - Vurgu3 2" xfId="31" xr:uid="{00000000-0005-0000-0000-00000E000000}"/>
    <cellStyle name="%60 - Vurgu4 2" xfId="35" xr:uid="{00000000-0005-0000-0000-00000F000000}"/>
    <cellStyle name="%60 - Vurgu5 2" xfId="39" xr:uid="{00000000-0005-0000-0000-000010000000}"/>
    <cellStyle name="%60 - Vurgu6 2" xfId="43" xr:uid="{00000000-0005-0000-0000-000011000000}"/>
    <cellStyle name="Açıklama Metni 2" xfId="18" xr:uid="{00000000-0005-0000-0000-000012000000}"/>
    <cellStyle name="Ana Başlık 2" xfId="3" xr:uid="{00000000-0005-0000-0000-000013000000}"/>
    <cellStyle name="Bağlı Hücre 2" xfId="14" xr:uid="{00000000-0005-0000-0000-000014000000}"/>
    <cellStyle name="Başlık 1 2" xfId="4" xr:uid="{00000000-0005-0000-0000-000015000000}"/>
    <cellStyle name="Başlık 2 2" xfId="5" xr:uid="{00000000-0005-0000-0000-000016000000}"/>
    <cellStyle name="Başlık 3 2" xfId="6" xr:uid="{00000000-0005-0000-0000-000017000000}"/>
    <cellStyle name="Başlık 4 2" xfId="7" xr:uid="{00000000-0005-0000-0000-000018000000}"/>
    <cellStyle name="Çıkış 2" xfId="12" xr:uid="{00000000-0005-0000-0000-000019000000}"/>
    <cellStyle name="Giriş 2" xfId="11" xr:uid="{00000000-0005-0000-0000-00001A000000}"/>
    <cellStyle name="Hesaplama 2" xfId="13" xr:uid="{00000000-0005-0000-0000-00001B000000}"/>
    <cellStyle name="İşaretli Hücre 2" xfId="15" xr:uid="{00000000-0005-0000-0000-00001C000000}"/>
    <cellStyle name="İyi 2" xfId="8" xr:uid="{00000000-0005-0000-0000-00001D000000}"/>
    <cellStyle name="Kötü 2" xfId="9" xr:uid="{00000000-0005-0000-0000-00001E000000}"/>
    <cellStyle name="Normal" xfId="0" builtinId="0"/>
    <cellStyle name="Normal 2" xfId="1" xr:uid="{00000000-0005-0000-0000-000020000000}"/>
    <cellStyle name="Not 2" xfId="17" xr:uid="{00000000-0005-0000-0000-000021000000}"/>
    <cellStyle name="Nötr 2" xfId="10" xr:uid="{00000000-0005-0000-0000-000022000000}"/>
    <cellStyle name="ParaBirimi 2" xfId="2" xr:uid="{00000000-0005-0000-0000-000023000000}"/>
    <cellStyle name="Toplam 2" xfId="19" xr:uid="{00000000-0005-0000-0000-000024000000}"/>
    <cellStyle name="Uyarı Metni 2" xfId="16" xr:uid="{00000000-0005-0000-0000-000025000000}"/>
    <cellStyle name="Vurgu1 2" xfId="20" xr:uid="{00000000-0005-0000-0000-000026000000}"/>
    <cellStyle name="Vurgu2 2" xfId="24" xr:uid="{00000000-0005-0000-0000-000027000000}"/>
    <cellStyle name="Vurgu3 2" xfId="28" xr:uid="{00000000-0005-0000-0000-000028000000}"/>
    <cellStyle name="Vurgu4 2" xfId="32" xr:uid="{00000000-0005-0000-0000-000029000000}"/>
    <cellStyle name="Vurgu5 2" xfId="36" xr:uid="{00000000-0005-0000-0000-00002A000000}"/>
    <cellStyle name="Vurgu6 2" xfId="40" xr:uid="{00000000-0005-0000-0000-00002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1</xdr:col>
      <xdr:colOff>346710</xdr:colOff>
      <xdr:row>3</xdr:row>
      <xdr:rowOff>118110</xdr:rowOff>
    </xdr:to>
    <xdr:pic>
      <xdr:nvPicPr>
        <xdr:cNvPr id="3" name="2 Resim" descr="C:\Documents and Settings\sıdıka\Local Settings\Temporary Internet Files\Content.Word\logo ıska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19050"/>
          <a:ext cx="1219200" cy="676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zoomScaleNormal="100" workbookViewId="0">
      <selection activeCell="J25" sqref="J25"/>
    </sheetView>
  </sheetViews>
  <sheetFormatPr defaultRowHeight="15" x14ac:dyDescent="0.25"/>
  <cols>
    <col min="1" max="1" width="13.28515625" style="5" customWidth="1"/>
    <col min="2" max="2" width="14.28515625" style="5" customWidth="1"/>
    <col min="3" max="3" width="17" style="5" customWidth="1"/>
    <col min="4" max="4" width="19.28515625" style="5" bestFit="1" customWidth="1"/>
    <col min="5" max="5" width="26.85546875" style="9" customWidth="1"/>
    <col min="6" max="6" width="12.85546875" style="9" customWidth="1"/>
    <col min="7" max="7" width="71.7109375" style="5" customWidth="1"/>
    <col min="8" max="8" width="16.5703125" style="9" customWidth="1"/>
    <col min="9" max="9" width="15.28515625" style="9" customWidth="1"/>
    <col min="10" max="10" width="101.28515625" style="5" customWidth="1"/>
    <col min="11" max="11" width="17.7109375" style="5" customWidth="1"/>
    <col min="12" max="16384" width="9.140625" style="5"/>
  </cols>
  <sheetData>
    <row r="1" spans="1:11" x14ac:dyDescent="0.25">
      <c r="A1" s="5" t="s">
        <v>10</v>
      </c>
    </row>
    <row r="7" spans="1:11" ht="30" x14ac:dyDescent="0.25">
      <c r="A7" s="1" t="s">
        <v>0</v>
      </c>
      <c r="B7" s="2" t="s">
        <v>8</v>
      </c>
      <c r="C7" s="2" t="s">
        <v>9</v>
      </c>
      <c r="D7" s="1" t="s">
        <v>1</v>
      </c>
      <c r="E7" s="1" t="s">
        <v>2</v>
      </c>
      <c r="F7" s="3" t="s">
        <v>3</v>
      </c>
      <c r="G7" s="1" t="s">
        <v>4</v>
      </c>
      <c r="H7" s="4" t="s">
        <v>5</v>
      </c>
      <c r="I7" s="1" t="s">
        <v>6</v>
      </c>
      <c r="J7" s="1" t="s">
        <v>7</v>
      </c>
      <c r="K7" s="5" t="s">
        <v>11</v>
      </c>
    </row>
    <row r="8" spans="1:11" x14ac:dyDescent="0.25">
      <c r="A8" s="18" t="s">
        <v>16</v>
      </c>
      <c r="B8" s="18"/>
      <c r="C8" s="18"/>
      <c r="D8" s="18"/>
      <c r="E8" s="18"/>
      <c r="F8" s="18"/>
      <c r="G8" s="18"/>
      <c r="H8" s="18"/>
      <c r="I8" s="18"/>
      <c r="J8" s="18"/>
      <c r="K8" s="7"/>
    </row>
    <row r="9" spans="1:11" x14ac:dyDescent="0.25">
      <c r="A9" s="10" t="s">
        <v>17</v>
      </c>
      <c r="B9" s="11">
        <v>46037</v>
      </c>
      <c r="C9" s="10" t="s">
        <v>12</v>
      </c>
      <c r="D9" s="10">
        <v>4500072355</v>
      </c>
      <c r="E9" s="10">
        <v>10244834</v>
      </c>
      <c r="F9" s="10" t="s">
        <v>13</v>
      </c>
      <c r="G9" s="10" t="s">
        <v>14</v>
      </c>
      <c r="H9" s="12">
        <v>0.86399999999999999</v>
      </c>
      <c r="I9" s="10">
        <v>100</v>
      </c>
      <c r="J9" s="13"/>
      <c r="K9" s="7">
        <f t="shared" ref="K9:K17" si="0">H9*I9</f>
        <v>86.4</v>
      </c>
    </row>
    <row r="10" spans="1:11" x14ac:dyDescent="0.25">
      <c r="A10" s="10" t="s">
        <v>15</v>
      </c>
      <c r="B10" s="11">
        <v>46037</v>
      </c>
      <c r="C10" s="10" t="s">
        <v>12</v>
      </c>
      <c r="D10" s="10">
        <v>4500072889</v>
      </c>
      <c r="E10" s="10">
        <v>10244834</v>
      </c>
      <c r="F10" s="10" t="s">
        <v>13</v>
      </c>
      <c r="G10" s="10" t="s">
        <v>14</v>
      </c>
      <c r="H10" s="12">
        <v>0.86399999999999999</v>
      </c>
      <c r="I10" s="10">
        <v>100</v>
      </c>
      <c r="J10" s="13"/>
      <c r="K10" s="7">
        <f t="shared" si="0"/>
        <v>86.4</v>
      </c>
    </row>
    <row r="11" spans="1:11" x14ac:dyDescent="0.25">
      <c r="A11" s="18" t="s">
        <v>18</v>
      </c>
      <c r="B11" s="18"/>
      <c r="C11" s="18"/>
      <c r="D11" s="18"/>
      <c r="E11" s="18"/>
      <c r="F11" s="18"/>
      <c r="G11" s="18"/>
      <c r="H11" s="18"/>
      <c r="I11" s="18"/>
      <c r="J11" s="18"/>
      <c r="K11" s="7"/>
    </row>
    <row r="12" spans="1:11" x14ac:dyDescent="0.25">
      <c r="A12" s="10" t="s">
        <v>19</v>
      </c>
      <c r="B12" s="11">
        <v>46051</v>
      </c>
      <c r="C12" s="10" t="s">
        <v>12</v>
      </c>
      <c r="D12" s="10">
        <v>4500081730</v>
      </c>
      <c r="E12" s="10">
        <v>10244834</v>
      </c>
      <c r="F12" s="10" t="s">
        <v>13</v>
      </c>
      <c r="G12" s="10" t="s">
        <v>14</v>
      </c>
      <c r="H12" s="12">
        <v>0.86399999999999999</v>
      </c>
      <c r="I12" s="10">
        <v>100</v>
      </c>
      <c r="J12" s="13"/>
      <c r="K12" s="7">
        <f t="shared" si="0"/>
        <v>86.4</v>
      </c>
    </row>
    <row r="13" spans="1:11" x14ac:dyDescent="0.25">
      <c r="A13" s="18" t="s">
        <v>30</v>
      </c>
      <c r="B13" s="18"/>
      <c r="C13" s="18"/>
      <c r="D13" s="18"/>
      <c r="E13" s="18"/>
      <c r="F13" s="18"/>
      <c r="G13" s="18"/>
      <c r="H13" s="18"/>
      <c r="I13" s="18"/>
      <c r="J13" s="18"/>
      <c r="K13" s="7"/>
    </row>
    <row r="14" spans="1:11" x14ac:dyDescent="0.25">
      <c r="A14" s="6" t="s">
        <v>22</v>
      </c>
      <c r="B14" s="16">
        <v>46107</v>
      </c>
      <c r="C14" s="6" t="s">
        <v>12</v>
      </c>
      <c r="D14" s="6">
        <v>4500087136</v>
      </c>
      <c r="E14" s="6">
        <v>10245021</v>
      </c>
      <c r="F14" s="6" t="s">
        <v>20</v>
      </c>
      <c r="G14" s="6" t="s">
        <v>21</v>
      </c>
      <c r="H14" s="15">
        <v>2.4</v>
      </c>
      <c r="I14" s="6">
        <v>500</v>
      </c>
      <c r="J14" s="14" t="s">
        <v>33</v>
      </c>
      <c r="K14" s="7">
        <f t="shared" si="0"/>
        <v>1200</v>
      </c>
    </row>
    <row r="15" spans="1:11" x14ac:dyDescent="0.25">
      <c r="A15" s="6" t="s">
        <v>25</v>
      </c>
      <c r="B15" s="16">
        <v>46107</v>
      </c>
      <c r="C15" s="6" t="s">
        <v>12</v>
      </c>
      <c r="D15" s="6">
        <v>4500091548</v>
      </c>
      <c r="E15" s="6">
        <v>10496980</v>
      </c>
      <c r="F15" s="6" t="s">
        <v>24</v>
      </c>
      <c r="G15" s="6" t="s">
        <v>23</v>
      </c>
      <c r="H15" s="15">
        <v>0.1305</v>
      </c>
      <c r="I15" s="17">
        <v>4000</v>
      </c>
      <c r="J15" s="8" t="s">
        <v>32</v>
      </c>
      <c r="K15" s="7">
        <f t="shared" si="0"/>
        <v>522</v>
      </c>
    </row>
    <row r="16" spans="1:11" x14ac:dyDescent="0.25">
      <c r="A16" s="6" t="s">
        <v>28</v>
      </c>
      <c r="B16" s="16">
        <v>46107</v>
      </c>
      <c r="C16" s="6" t="s">
        <v>12</v>
      </c>
      <c r="D16" s="6">
        <v>4500093175</v>
      </c>
      <c r="E16" s="6">
        <v>10245345</v>
      </c>
      <c r="F16" s="6" t="s">
        <v>26</v>
      </c>
      <c r="G16" s="6" t="s">
        <v>27</v>
      </c>
      <c r="H16" s="15">
        <v>4.1199000000000003</v>
      </c>
      <c r="I16" s="6">
        <v>100</v>
      </c>
      <c r="J16" s="8" t="s">
        <v>31</v>
      </c>
      <c r="K16" s="7">
        <f t="shared" si="0"/>
        <v>411.99</v>
      </c>
    </row>
    <row r="17" spans="1:11" x14ac:dyDescent="0.25">
      <c r="A17" s="6" t="s">
        <v>29</v>
      </c>
      <c r="B17" s="16">
        <v>46107</v>
      </c>
      <c r="C17" s="6" t="s">
        <v>12</v>
      </c>
      <c r="D17" s="6">
        <v>4500095899</v>
      </c>
      <c r="E17" s="6">
        <v>10244834</v>
      </c>
      <c r="F17" s="6" t="s">
        <v>13</v>
      </c>
      <c r="G17" s="6" t="s">
        <v>14</v>
      </c>
      <c r="H17" s="15">
        <v>0.86399999999999999</v>
      </c>
      <c r="I17" s="6">
        <v>200</v>
      </c>
      <c r="J17" s="8"/>
      <c r="K17" s="7">
        <f t="shared" si="0"/>
        <v>172.8</v>
      </c>
    </row>
    <row r="18" spans="1:11" x14ac:dyDescent="0.25">
      <c r="A18" s="8"/>
      <c r="B18" s="8"/>
      <c r="C18" s="8"/>
      <c r="D18" s="8"/>
      <c r="E18" s="6"/>
      <c r="F18" s="6"/>
      <c r="G18" s="8"/>
      <c r="H18" s="15"/>
      <c r="I18" s="6"/>
      <c r="J18" s="8"/>
    </row>
  </sheetData>
  <mergeCells count="3">
    <mergeCell ref="A8:J8"/>
    <mergeCell ref="A11:J11"/>
    <mergeCell ref="A13:J13"/>
  </mergeCells>
  <phoneticPr fontId="2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Gamze Boncuk</dc:creator>
  <cp:lastModifiedBy>Sales .</cp:lastModifiedBy>
  <dcterms:created xsi:type="dcterms:W3CDTF">2017-12-06T12:35:14Z</dcterms:created>
  <dcterms:modified xsi:type="dcterms:W3CDTF">2026-03-11T13:32:55Z</dcterms:modified>
</cp:coreProperties>
</file>