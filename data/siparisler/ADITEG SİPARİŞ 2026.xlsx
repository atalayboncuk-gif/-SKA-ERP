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C9E2C673-93A3-4394-B375-2D2794DBE4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iptall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" l="1"/>
  <c r="J50" i="1"/>
  <c r="J51" i="1"/>
  <c r="J52" i="1"/>
  <c r="J53" i="1"/>
  <c r="J54" i="1"/>
  <c r="J55" i="1"/>
  <c r="J57" i="1"/>
  <c r="J58" i="1"/>
  <c r="J48" i="1" l="1"/>
  <c r="J60" i="1"/>
  <c r="J61" i="1"/>
  <c r="H46" i="1"/>
  <c r="J46" i="1" s="1"/>
  <c r="J44" i="1"/>
  <c r="J45" i="1"/>
  <c r="J40" i="1" l="1"/>
  <c r="J41" i="1"/>
  <c r="J42" i="1"/>
  <c r="J43" i="1"/>
  <c r="J38" i="1" l="1"/>
  <c r="J37" i="1" l="1"/>
  <c r="J33" i="1" l="1"/>
  <c r="J34" i="1"/>
  <c r="J35" i="1"/>
  <c r="J36" i="1"/>
  <c r="J12" i="1" l="1"/>
  <c r="H31" i="1"/>
  <c r="J31" i="1" l="1"/>
  <c r="J29" i="1" l="1"/>
  <c r="J17" i="1" l="1"/>
  <c r="J18" i="1"/>
  <c r="J19" i="1"/>
  <c r="J20" i="1"/>
  <c r="J21" i="1"/>
  <c r="J22" i="1"/>
  <c r="J23" i="1"/>
  <c r="J24" i="1"/>
  <c r="J25" i="1"/>
  <c r="J26" i="1"/>
  <c r="J27" i="1"/>
  <c r="J28" i="1"/>
  <c r="J14" i="1" l="1"/>
  <c r="J15" i="1"/>
  <c r="J16" i="1"/>
</calcChain>
</file>

<file path=xl/sharedStrings.xml><?xml version="1.0" encoding="utf-8"?>
<sst xmlns="http://schemas.openxmlformats.org/spreadsheetml/2006/main" count="201" uniqueCount="163">
  <si>
    <t>ADITEG CODE</t>
  </si>
  <si>
    <t>ISKA CODE</t>
  </si>
  <si>
    <t>DESC. OF GOOD</t>
  </si>
  <si>
    <t>PRICE</t>
  </si>
  <si>
    <t>QUANTITIY</t>
  </si>
  <si>
    <t>NOTES</t>
  </si>
  <si>
    <t>ADITEG ORDER NO</t>
  </si>
  <si>
    <t>NETSIS</t>
  </si>
  <si>
    <t>Sertlik belirtilmediyse 60 shore olarak dikkate alınacaktır.</t>
  </si>
  <si>
    <t>Numune gönderilirken çekilistesi ve proforma invoice isteniyor</t>
  </si>
  <si>
    <t>Vade 30 gün</t>
  </si>
  <si>
    <t>T3405</t>
  </si>
  <si>
    <t>01800504</t>
  </si>
  <si>
    <t>01800558</t>
  </si>
  <si>
    <t xml:space="preserve">D-NR-60-WH-100*65-M12*25 </t>
  </si>
  <si>
    <t>T4417</t>
  </si>
  <si>
    <t>01801017</t>
  </si>
  <si>
    <t>B-NR-80-WH-40*30-M8*14-M8*8</t>
  </si>
  <si>
    <t>T4430</t>
  </si>
  <si>
    <t>01800502-1</t>
  </si>
  <si>
    <t>B-NR-65-WH-30*15-M6*8-M6 (MONOBLOCK NUT)</t>
  </si>
  <si>
    <t>01800498</t>
  </si>
  <si>
    <t>T3283</t>
  </si>
  <si>
    <t>A-NR-40-WH-15*15-M4*13-M4*13</t>
  </si>
  <si>
    <t>01800500</t>
  </si>
  <si>
    <t>T3289</t>
  </si>
  <si>
    <t>B-NR-45-WH-20*15-M6*18-M6</t>
  </si>
  <si>
    <t>özel ürün / kapaklı takoz</t>
  </si>
  <si>
    <t>01800080</t>
  </si>
  <si>
    <t>T2085</t>
  </si>
  <si>
    <t>TYPE D 25*20 M6*18 60 SH.</t>
  </si>
  <si>
    <t>01800007</t>
  </si>
  <si>
    <t>T2292</t>
  </si>
  <si>
    <t>TYPE B 40*30 M8*23 60 SH.</t>
  </si>
  <si>
    <t>01800051</t>
  </si>
  <si>
    <t>T2643</t>
  </si>
  <si>
    <t>TYPE A 30*20 M8*20    60 SH.</t>
  </si>
  <si>
    <t>01800065</t>
  </si>
  <si>
    <t>T3030</t>
  </si>
  <si>
    <t>TYPE A 100*40 M16*41 60 SH.</t>
  </si>
  <si>
    <t>01800006</t>
  </si>
  <si>
    <t>T2081</t>
  </si>
  <si>
    <t>TYPE A 50*20 M10*28 60 SH.</t>
  </si>
  <si>
    <t>01800424</t>
  </si>
  <si>
    <t>T3012</t>
  </si>
  <si>
    <t>TYPE A 30*30 M8*20 35 SH.</t>
  </si>
  <si>
    <t>IHR-0779</t>
  </si>
  <si>
    <t>01800245</t>
  </si>
  <si>
    <t>D-NR-60-WH-100*40-M16*42</t>
  </si>
  <si>
    <t>T2058</t>
  </si>
  <si>
    <t>IHR-0816</t>
  </si>
  <si>
    <t>01800012</t>
  </si>
  <si>
    <t>T2115</t>
  </si>
  <si>
    <t>TYPE A 20*20 M6*18 60 SH.</t>
  </si>
  <si>
    <t>01800068</t>
  </si>
  <si>
    <t>TYPE A 100*75 M16*41    60 SH.</t>
  </si>
  <si>
    <t>01800144</t>
  </si>
  <si>
    <t>T2407</t>
  </si>
  <si>
    <t>TYPE B 50*50 M10*28 60 SH.</t>
  </si>
  <si>
    <t>01800120</t>
  </si>
  <si>
    <t>T3632</t>
  </si>
  <si>
    <t>TYPE E 100*40 M16 60 SH.</t>
  </si>
  <si>
    <t>01800172</t>
  </si>
  <si>
    <t>TYPE C 75*50 M12 60 SH.</t>
  </si>
  <si>
    <t>01800039</t>
  </si>
  <si>
    <t>T2370</t>
  </si>
  <si>
    <t>TYPE A 15*10 M4*10 60 SH.</t>
  </si>
  <si>
    <t>01800041</t>
  </si>
  <si>
    <t>TYPE A 15*30 M4*10 60 SH.</t>
  </si>
  <si>
    <t>01800491</t>
  </si>
  <si>
    <t>T2917</t>
  </si>
  <si>
    <t>TYPE DP 50*50 M8*23 70 SH.</t>
  </si>
  <si>
    <t>70 SHORE</t>
  </si>
  <si>
    <t>T5039</t>
  </si>
  <si>
    <t>T1378</t>
  </si>
  <si>
    <t>T5040</t>
  </si>
  <si>
    <t>13.01.2026 SEVKİYATI</t>
  </si>
  <si>
    <t>IHR-0963</t>
  </si>
  <si>
    <t>IHR-0956</t>
  </si>
  <si>
    <t>IHR-0983</t>
  </si>
  <si>
    <t>08.01.2026 SEVKİYATI</t>
  </si>
  <si>
    <t>IHR-1046</t>
  </si>
  <si>
    <t>Sipariş miktarı 11.000'dir. 300 adedi 30.12'de; 2000 adedi 08.01'de gidecektir.</t>
  </si>
  <si>
    <t xml:space="preserve">özel ürün </t>
  </si>
  <si>
    <t>T3799</t>
  </si>
  <si>
    <t>E-NR-65-WH-30*15-M6</t>
  </si>
  <si>
    <t>12.02.2026 SEVKİYATI</t>
  </si>
  <si>
    <t>IHR-1077</t>
  </si>
  <si>
    <t>01800016</t>
  </si>
  <si>
    <t>T2061</t>
  </si>
  <si>
    <t>TYPE D 40*30 M8*23 60 SH.</t>
  </si>
  <si>
    <t>IHR-014</t>
  </si>
  <si>
    <t>01800164</t>
  </si>
  <si>
    <t>T1376</t>
  </si>
  <si>
    <t>C-NR-60-WH-40*30-M8-M8-CLOSED</t>
  </si>
  <si>
    <t>İPTAL EDİLDİ</t>
  </si>
  <si>
    <t>İPTAL</t>
  </si>
  <si>
    <r>
      <rPr>
        <b/>
        <sz val="11"/>
        <color rgb="FFFF0000"/>
        <rFont val="Calibri"/>
        <family val="2"/>
        <charset val="162"/>
        <scheme val="minor"/>
      </rPr>
      <t>23</t>
    </r>
    <r>
      <rPr>
        <b/>
        <sz val="11"/>
        <color theme="1"/>
        <rFont val="Calibri"/>
        <family val="2"/>
        <charset val="162"/>
        <scheme val="minor"/>
      </rPr>
      <t>.01.2026 SEVKİYATI</t>
    </r>
  </si>
  <si>
    <t>01800219</t>
  </si>
  <si>
    <t>T3112</t>
  </si>
  <si>
    <t>TYPE E 50*35 M10   60 SH.</t>
  </si>
  <si>
    <t>01800044</t>
  </si>
  <si>
    <t>01800220</t>
  </si>
  <si>
    <t>01800497</t>
  </si>
  <si>
    <t>T3140</t>
  </si>
  <si>
    <t>TYPE B 65*35 M10*20/M10  70 SH.NR</t>
  </si>
  <si>
    <t xml:space="preserve">metal parçalar galvanizli </t>
  </si>
  <si>
    <t>01800511</t>
  </si>
  <si>
    <t>T3441</t>
  </si>
  <si>
    <t>TYPE A 35*25 M8*10 M8*18 60 SH.</t>
  </si>
  <si>
    <t>T2320</t>
  </si>
  <si>
    <t>TYPE A 20*25  M6*18 60 SH.</t>
  </si>
  <si>
    <t>T2197</t>
  </si>
  <si>
    <t>TYPE D 50*50  M10*28 60 SH.</t>
  </si>
  <si>
    <t>01800597</t>
  </si>
  <si>
    <t>tekliften döndü (INQUIRY 26732) / 2 numune gidecek önce</t>
  </si>
  <si>
    <t>01200041</t>
  </si>
  <si>
    <t>--</t>
  </si>
  <si>
    <t>01800541</t>
  </si>
  <si>
    <t>T3889</t>
  </si>
  <si>
    <t>D-NR-75-WH-12*6,5-M5*6-AISI 304</t>
  </si>
  <si>
    <t>Mold cost for NR-60-WH-37*35-M8</t>
  </si>
  <si>
    <t>01800354</t>
  </si>
  <si>
    <t>T1787</t>
  </si>
  <si>
    <t>TYPE C 40*40 M10 60 SH.</t>
  </si>
  <si>
    <t>01800017</t>
  </si>
  <si>
    <t>T3019</t>
  </si>
  <si>
    <t>TYPE C 75*55 M12 60 SH.</t>
  </si>
  <si>
    <t>IHR-118</t>
  </si>
  <si>
    <t>T5127</t>
  </si>
  <si>
    <t>12.03.2026 SEVKİYATI</t>
  </si>
  <si>
    <t>IHR-128</t>
  </si>
  <si>
    <t>IHR-142</t>
  </si>
  <si>
    <t>özel ürün /sipariş ededi 2000 idi. 1700 adedi 12.02'de gitti.</t>
  </si>
  <si>
    <t>özel ürün -1700 adet gitti.</t>
  </si>
  <si>
    <t>31.03.2026 SEVKİYATI</t>
  </si>
  <si>
    <t>IHR-162</t>
  </si>
  <si>
    <t>TERMİN BEKLİYOR (KALIP YAPILACAK)</t>
  </si>
  <si>
    <t>01800512</t>
  </si>
  <si>
    <t>T3442</t>
  </si>
  <si>
    <t>TYPE A 40*25 M8*11 M8*18 60 SH.</t>
  </si>
  <si>
    <t>01800331</t>
  </si>
  <si>
    <t>T2609</t>
  </si>
  <si>
    <t>TYPE A 35*25 M8*16 60 SH.</t>
  </si>
  <si>
    <t>01800365</t>
  </si>
  <si>
    <t>T2841</t>
  </si>
  <si>
    <t>TYPE A 35*25 M8*16/M8*9    60 SH.</t>
  </si>
  <si>
    <t>01801015</t>
  </si>
  <si>
    <t>T3682</t>
  </si>
  <si>
    <t xml:space="preserve">TYPE A 100*70 M12*28 60 SH. </t>
  </si>
  <si>
    <t>01800216</t>
  </si>
  <si>
    <t>T2748</t>
  </si>
  <si>
    <t>TYPE B 50*35 M10*28 60 SH.</t>
  </si>
  <si>
    <t>01800551</t>
  </si>
  <si>
    <t>T4121</t>
  </si>
  <si>
    <t xml:space="preserve">B-NR-60-WH-75*30-M12*37-M12 </t>
  </si>
  <si>
    <t>01800596</t>
  </si>
  <si>
    <t>T4613</t>
  </si>
  <si>
    <t xml:space="preserve">D-NR-60-WH-25*10-M6*18-AISI 304 </t>
  </si>
  <si>
    <t>KE-NR-60-WH-37*30*35-M8*8-CLOSED</t>
  </si>
  <si>
    <t>12.03'de gitmeliydi.</t>
  </si>
  <si>
    <t>IHR-246</t>
  </si>
  <si>
    <t>21.04.2026 SEVKİYATI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</si>
</sst>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\ [$€-407]"/>
    <numFmt numFmtId="165" formatCode="#,##0.00\ [$€-407]"/>
  </numFmts>
  <fonts count="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"/>
    </font>
    <font>
      <b/>
      <sz val="11"/>
      <color rgb="FFFF0000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49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6" xfId="0" applyFill="1" applyBorder="1"/>
    <xf numFmtId="0" fontId="0" fillId="3" borderId="1" xfId="0" applyFill="1" applyBorder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0" fillId="0" borderId="1" xfId="0" quotePrefix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6" xfId="0" applyFont="1" applyBorder="1"/>
    <xf numFmtId="0" fontId="6" fillId="3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14" fontId="1" fillId="2" borderId="5" xfId="0" applyNumberFormat="1" applyFont="1" applyFill="1" applyBorder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14" fontId="1" fillId="2" borderId="6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</cellXfs>
  <cellStyles count="2">
    <cellStyle name="Excel Built-in Normal" xfId="1" xr:uid="{EDDEC3F0-8C50-4C44-B9C8-C700E015D722}"/>
    <cellStyle name="Normal" xfId="0" builtinId="0"/>
  </cellStyles>
  <dxfs count="0"/>
  <tableStyles count="0" defaultTableStyle="TableStyleMedium2" defaultPivotStyle="PivotStyleLight16"/>
  <colors>
    <mruColors>
      <color rgb="FF81F784"/>
      <color rgb="FFA4D86A"/>
      <color rgb="FFBEE3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382120</xdr:colOff>
      <xdr:row>2</xdr:row>
      <xdr:rowOff>122705</xdr:rowOff>
    </xdr:from>
    <xdr:to>
      <xdr:col>2</xdr:col>
      <xdr:colOff>832343</xdr:colOff>
      <xdr:row>6</xdr:row>
      <xdr:rowOff>52220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5561" y="503705"/>
          <a:ext cx="1220993" cy="691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6:J222"/>
  <sheetViews>
    <sheetView tabSelected="1" topLeftCell="A43" zoomScale="115" zoomScaleNormal="115" workbookViewId="0">
      <selection activeCell="J63" sqref="J63:J65"/>
    </sheetView>
  </sheetViews>
  <sheetFormatPr defaultRowHeight="15" x14ac:dyDescent="0.25"/>
  <cols>
    <col min="1" max="1" width="2.42578125" customWidth="1"/>
    <col min="2" max="2" width="11.42578125" style="6" customWidth="1"/>
    <col min="3" max="3" width="17.5703125" style="6" bestFit="1" customWidth="1"/>
    <col min="4" max="4" width="17.7109375" style="7" customWidth="1"/>
    <col min="5" max="5" width="10.28515625" style="6" bestFit="1" customWidth="1"/>
    <col min="6" max="6" width="52.85546875" style="6" customWidth="1"/>
    <col min="7" max="7" width="12.7109375" style="9" bestFit="1" customWidth="1"/>
    <col min="8" max="8" width="10.85546875" style="10" bestFit="1" customWidth="1"/>
    <col min="9" max="9" width="59.140625" customWidth="1"/>
    <col min="10" max="10" width="12.5703125" style="18" bestFit="1" customWidth="1"/>
    <col min="11" max="11" width="11.7109375" bestFit="1" customWidth="1"/>
  </cols>
  <sheetData>
    <row r="6" spans="2:10" x14ac:dyDescent="0.25">
      <c r="F6" s="8" t="s">
        <v>10</v>
      </c>
    </row>
    <row r="7" spans="2:10" x14ac:dyDescent="0.25">
      <c r="F7" s="8" t="s">
        <v>8</v>
      </c>
    </row>
    <row r="8" spans="2:10" x14ac:dyDescent="0.25">
      <c r="F8" s="8" t="s">
        <v>9</v>
      </c>
    </row>
    <row r="9" spans="2:10" ht="15.75" thickBot="1" x14ac:dyDescent="0.3"/>
    <row r="10" spans="2:10" ht="15.75" thickBot="1" x14ac:dyDescent="0.3">
      <c r="B10" s="12" t="s">
        <v>7</v>
      </c>
      <c r="C10" s="13" t="s">
        <v>6</v>
      </c>
      <c r="D10" s="14" t="s">
        <v>0</v>
      </c>
      <c r="E10" s="13" t="s">
        <v>1</v>
      </c>
      <c r="F10" s="15" t="s">
        <v>2</v>
      </c>
      <c r="G10" s="16" t="s">
        <v>3</v>
      </c>
      <c r="H10" s="17" t="s">
        <v>4</v>
      </c>
      <c r="I10" s="13" t="s">
        <v>5</v>
      </c>
    </row>
    <row r="11" spans="2:10" x14ac:dyDescent="0.25">
      <c r="B11" s="40" t="s">
        <v>80</v>
      </c>
      <c r="C11" s="41"/>
      <c r="D11" s="41"/>
      <c r="E11" s="41"/>
      <c r="F11" s="41"/>
      <c r="G11" s="41"/>
      <c r="H11" s="41"/>
      <c r="I11" s="42"/>
      <c r="J11" s="19"/>
    </row>
    <row r="12" spans="2:10" x14ac:dyDescent="0.25">
      <c r="B12" s="11" t="s">
        <v>79</v>
      </c>
      <c r="C12" s="11">
        <v>80616349</v>
      </c>
      <c r="D12" s="20" t="s">
        <v>21</v>
      </c>
      <c r="E12" s="11" t="s">
        <v>22</v>
      </c>
      <c r="F12" s="11" t="s">
        <v>23</v>
      </c>
      <c r="G12" s="21">
        <v>0.1275</v>
      </c>
      <c r="H12" s="22">
        <v>2000</v>
      </c>
      <c r="I12" s="23"/>
      <c r="J12" s="19">
        <f t="shared" ref="J12:J25" si="0">G12*H12</f>
        <v>255</v>
      </c>
    </row>
    <row r="13" spans="2:10" x14ac:dyDescent="0.25">
      <c r="B13" s="40" t="s">
        <v>76</v>
      </c>
      <c r="C13" s="41"/>
      <c r="D13" s="41"/>
      <c r="E13" s="41"/>
      <c r="F13" s="41"/>
      <c r="G13" s="41"/>
      <c r="H13" s="41"/>
      <c r="I13" s="42"/>
      <c r="J13" s="19"/>
    </row>
    <row r="14" spans="2:10" x14ac:dyDescent="0.25">
      <c r="B14" s="11" t="s">
        <v>46</v>
      </c>
      <c r="C14" s="11">
        <v>80616299</v>
      </c>
      <c r="D14" s="20" t="s">
        <v>37</v>
      </c>
      <c r="E14" s="11" t="s">
        <v>38</v>
      </c>
      <c r="F14" s="11" t="s">
        <v>39</v>
      </c>
      <c r="G14" s="21">
        <v>2.73</v>
      </c>
      <c r="H14" s="22">
        <v>30</v>
      </c>
      <c r="I14" s="24"/>
      <c r="J14" s="19">
        <f t="shared" si="0"/>
        <v>81.900000000000006</v>
      </c>
    </row>
    <row r="15" spans="2:10" x14ac:dyDescent="0.25">
      <c r="B15" s="11" t="s">
        <v>50</v>
      </c>
      <c r="C15" s="11">
        <v>80616311</v>
      </c>
      <c r="D15" s="20" t="s">
        <v>31</v>
      </c>
      <c r="E15" s="11" t="s">
        <v>32</v>
      </c>
      <c r="F15" s="11" t="s">
        <v>33</v>
      </c>
      <c r="G15" s="21">
        <v>0.46899999999999997</v>
      </c>
      <c r="H15" s="22">
        <v>2000</v>
      </c>
      <c r="I15" s="24"/>
      <c r="J15" s="19">
        <f t="shared" si="0"/>
        <v>938</v>
      </c>
    </row>
    <row r="16" spans="2:10" x14ac:dyDescent="0.25">
      <c r="B16" s="11" t="s">
        <v>50</v>
      </c>
      <c r="C16" s="11">
        <v>80616311</v>
      </c>
      <c r="D16" s="20" t="s">
        <v>47</v>
      </c>
      <c r="E16" s="11" t="s">
        <v>49</v>
      </c>
      <c r="F16" s="11" t="s">
        <v>48</v>
      </c>
      <c r="G16" s="21">
        <v>2.149</v>
      </c>
      <c r="H16" s="22">
        <v>20</v>
      </c>
      <c r="I16" s="24"/>
      <c r="J16" s="19">
        <f t="shared" si="0"/>
        <v>42.980000000000004</v>
      </c>
    </row>
    <row r="17" spans="2:10" x14ac:dyDescent="0.25">
      <c r="B17" s="11" t="s">
        <v>78</v>
      </c>
      <c r="C17" s="11">
        <v>80616335</v>
      </c>
      <c r="D17" s="20" t="s">
        <v>40</v>
      </c>
      <c r="E17" s="11" t="s">
        <v>41</v>
      </c>
      <c r="F17" s="11" t="s">
        <v>42</v>
      </c>
      <c r="G17" s="21">
        <v>0.65669999999999995</v>
      </c>
      <c r="H17" s="22">
        <v>1000</v>
      </c>
      <c r="I17" s="24"/>
      <c r="J17" s="19">
        <f t="shared" si="0"/>
        <v>656.69999999999993</v>
      </c>
    </row>
    <row r="18" spans="2:10" x14ac:dyDescent="0.25">
      <c r="B18" s="11" t="s">
        <v>78</v>
      </c>
      <c r="C18" s="11">
        <v>80616335</v>
      </c>
      <c r="D18" s="20" t="s">
        <v>51</v>
      </c>
      <c r="E18" s="11" t="s">
        <v>52</v>
      </c>
      <c r="F18" s="11" t="s">
        <v>53</v>
      </c>
      <c r="G18" s="21">
        <v>0.156</v>
      </c>
      <c r="H18" s="22">
        <v>500</v>
      </c>
      <c r="I18" s="24"/>
      <c r="J18" s="19">
        <f t="shared" si="0"/>
        <v>78</v>
      </c>
    </row>
    <row r="19" spans="2:10" x14ac:dyDescent="0.25">
      <c r="B19" s="11" t="s">
        <v>78</v>
      </c>
      <c r="C19" s="11">
        <v>80616335</v>
      </c>
      <c r="D19" s="20" t="s">
        <v>34</v>
      </c>
      <c r="E19" s="11" t="s">
        <v>35</v>
      </c>
      <c r="F19" s="11" t="s">
        <v>36</v>
      </c>
      <c r="G19" s="21">
        <v>0.2944</v>
      </c>
      <c r="H19" s="22">
        <v>800</v>
      </c>
      <c r="I19" s="24"/>
      <c r="J19" s="19">
        <f t="shared" si="0"/>
        <v>235.51999999999998</v>
      </c>
    </row>
    <row r="20" spans="2:10" x14ac:dyDescent="0.25">
      <c r="B20" s="11" t="s">
        <v>78</v>
      </c>
      <c r="C20" s="11">
        <v>80616335</v>
      </c>
      <c r="D20" s="20" t="s">
        <v>54</v>
      </c>
      <c r="E20" s="11" t="s">
        <v>73</v>
      </c>
      <c r="F20" s="11" t="s">
        <v>55</v>
      </c>
      <c r="G20" s="21">
        <v>4.0250000000000004</v>
      </c>
      <c r="H20" s="22">
        <v>10</v>
      </c>
      <c r="I20" s="24"/>
      <c r="J20" s="19">
        <f t="shared" si="0"/>
        <v>40.25</v>
      </c>
    </row>
    <row r="21" spans="2:10" x14ac:dyDescent="0.25">
      <c r="B21" s="11" t="s">
        <v>78</v>
      </c>
      <c r="C21" s="11">
        <v>80616335</v>
      </c>
      <c r="D21" s="20" t="s">
        <v>43</v>
      </c>
      <c r="E21" s="11" t="s">
        <v>44</v>
      </c>
      <c r="F21" s="11" t="s">
        <v>45</v>
      </c>
      <c r="G21" s="21">
        <v>0.28299999999999997</v>
      </c>
      <c r="H21" s="22">
        <v>2000</v>
      </c>
      <c r="I21" s="24"/>
      <c r="J21" s="19">
        <f t="shared" si="0"/>
        <v>566</v>
      </c>
    </row>
    <row r="22" spans="2:10" x14ac:dyDescent="0.25">
      <c r="B22" s="11" t="s">
        <v>78</v>
      </c>
      <c r="C22" s="11">
        <v>80616335</v>
      </c>
      <c r="D22" s="20" t="s">
        <v>56</v>
      </c>
      <c r="E22" s="11" t="s">
        <v>57</v>
      </c>
      <c r="F22" s="11" t="s">
        <v>58</v>
      </c>
      <c r="G22" s="21">
        <v>0.77390000000000003</v>
      </c>
      <c r="H22" s="22">
        <v>300</v>
      </c>
      <c r="I22" s="24"/>
      <c r="J22" s="19">
        <f t="shared" si="0"/>
        <v>232.17000000000002</v>
      </c>
    </row>
    <row r="23" spans="2:10" x14ac:dyDescent="0.25">
      <c r="B23" s="11" t="s">
        <v>78</v>
      </c>
      <c r="C23" s="11">
        <v>80616335</v>
      </c>
      <c r="D23" s="20" t="s">
        <v>28</v>
      </c>
      <c r="E23" s="11" t="s">
        <v>29</v>
      </c>
      <c r="F23" s="11" t="s">
        <v>30</v>
      </c>
      <c r="G23" s="21">
        <v>0.1469</v>
      </c>
      <c r="H23" s="22">
        <v>1000</v>
      </c>
      <c r="I23" s="24"/>
      <c r="J23" s="19">
        <f t="shared" si="0"/>
        <v>146.9</v>
      </c>
    </row>
    <row r="24" spans="2:10" x14ac:dyDescent="0.25">
      <c r="B24" s="11" t="s">
        <v>78</v>
      </c>
      <c r="C24" s="11">
        <v>80616335</v>
      </c>
      <c r="D24" s="20" t="s">
        <v>59</v>
      </c>
      <c r="E24" s="11" t="s">
        <v>60</v>
      </c>
      <c r="F24" s="11" t="s">
        <v>61</v>
      </c>
      <c r="G24" s="21">
        <v>2.5939999999999999</v>
      </c>
      <c r="H24" s="22">
        <v>10</v>
      </c>
      <c r="I24" s="24"/>
      <c r="J24" s="19">
        <f t="shared" si="0"/>
        <v>25.939999999999998</v>
      </c>
    </row>
    <row r="25" spans="2:10" x14ac:dyDescent="0.25">
      <c r="B25" s="11" t="s">
        <v>78</v>
      </c>
      <c r="C25" s="11">
        <v>80616335</v>
      </c>
      <c r="D25" s="20" t="s">
        <v>62</v>
      </c>
      <c r="E25" s="11" t="s">
        <v>74</v>
      </c>
      <c r="F25" s="11" t="s">
        <v>63</v>
      </c>
      <c r="G25" s="21">
        <v>1.73</v>
      </c>
      <c r="H25" s="22">
        <v>200</v>
      </c>
      <c r="I25" s="24"/>
      <c r="J25" s="19">
        <f t="shared" si="0"/>
        <v>346</v>
      </c>
    </row>
    <row r="26" spans="2:10" x14ac:dyDescent="0.25">
      <c r="B26" s="11" t="s">
        <v>78</v>
      </c>
      <c r="C26" s="11">
        <v>80616335</v>
      </c>
      <c r="D26" s="20" t="s">
        <v>64</v>
      </c>
      <c r="E26" s="11" t="s">
        <v>65</v>
      </c>
      <c r="F26" s="11" t="s">
        <v>66</v>
      </c>
      <c r="G26" s="21">
        <v>0.14699999999999999</v>
      </c>
      <c r="H26" s="22">
        <v>1000</v>
      </c>
      <c r="I26" s="24"/>
      <c r="J26" s="19">
        <f>G26*H26</f>
        <v>147</v>
      </c>
    </row>
    <row r="27" spans="2:10" x14ac:dyDescent="0.25">
      <c r="B27" s="11" t="s">
        <v>78</v>
      </c>
      <c r="C27" s="11">
        <v>80616335</v>
      </c>
      <c r="D27" s="20" t="s">
        <v>67</v>
      </c>
      <c r="E27" s="11" t="s">
        <v>75</v>
      </c>
      <c r="F27" s="11" t="s">
        <v>68</v>
      </c>
      <c r="G27" s="21">
        <v>0.313</v>
      </c>
      <c r="H27" s="22">
        <v>200</v>
      </c>
      <c r="I27" s="24"/>
      <c r="J27" s="19">
        <f>G27*H27</f>
        <v>62.6</v>
      </c>
    </row>
    <row r="28" spans="2:10" x14ac:dyDescent="0.25">
      <c r="B28" s="11" t="s">
        <v>78</v>
      </c>
      <c r="C28" s="11">
        <v>80616335</v>
      </c>
      <c r="D28" s="20" t="s">
        <v>69</v>
      </c>
      <c r="E28" s="11" t="s">
        <v>70</v>
      </c>
      <c r="F28" s="11" t="s">
        <v>71</v>
      </c>
      <c r="G28" s="21">
        <v>0.55940000000000001</v>
      </c>
      <c r="H28" s="22">
        <v>500</v>
      </c>
      <c r="I28" s="24" t="s">
        <v>72</v>
      </c>
      <c r="J28" s="19">
        <f>G28*H28</f>
        <v>279.7</v>
      </c>
    </row>
    <row r="29" spans="2:10" x14ac:dyDescent="0.25">
      <c r="B29" s="11" t="s">
        <v>77</v>
      </c>
      <c r="C29" s="11">
        <v>80616345</v>
      </c>
      <c r="D29" s="20" t="s">
        <v>13</v>
      </c>
      <c r="E29" s="11" t="s">
        <v>15</v>
      </c>
      <c r="F29" s="11" t="s">
        <v>14</v>
      </c>
      <c r="G29" s="21">
        <v>3.6272000000000002</v>
      </c>
      <c r="H29" s="22">
        <v>250</v>
      </c>
      <c r="I29" s="24"/>
      <c r="J29" s="19">
        <f>G29*H29</f>
        <v>906.80000000000007</v>
      </c>
    </row>
    <row r="30" spans="2:10" x14ac:dyDescent="0.25">
      <c r="B30" s="40" t="s">
        <v>97</v>
      </c>
      <c r="C30" s="41"/>
      <c r="D30" s="41"/>
      <c r="E30" s="41"/>
      <c r="F30" s="41"/>
      <c r="G30" s="41"/>
      <c r="H30" s="41"/>
      <c r="I30" s="42"/>
      <c r="J30" s="19"/>
    </row>
    <row r="31" spans="2:10" x14ac:dyDescent="0.25">
      <c r="B31" s="11" t="s">
        <v>79</v>
      </c>
      <c r="C31" s="11">
        <v>80616349</v>
      </c>
      <c r="D31" s="20" t="s">
        <v>21</v>
      </c>
      <c r="E31" s="11" t="s">
        <v>22</v>
      </c>
      <c r="F31" s="11" t="s">
        <v>23</v>
      </c>
      <c r="G31" s="21">
        <v>0.1275</v>
      </c>
      <c r="H31" s="22">
        <f>11000-2000-300</f>
        <v>8700</v>
      </c>
      <c r="I31" s="24" t="s">
        <v>82</v>
      </c>
      <c r="J31" s="19">
        <f>G31*H31</f>
        <v>1109.25</v>
      </c>
    </row>
    <row r="32" spans="2:10" x14ac:dyDescent="0.25">
      <c r="B32" s="40" t="s">
        <v>86</v>
      </c>
      <c r="C32" s="41"/>
      <c r="D32" s="41"/>
      <c r="E32" s="41"/>
      <c r="F32" s="41"/>
      <c r="G32" s="41"/>
      <c r="H32" s="41"/>
      <c r="I32" s="42"/>
      <c r="J32" s="19"/>
    </row>
    <row r="33" spans="2:10" x14ac:dyDescent="0.25">
      <c r="B33" s="11" t="s">
        <v>87</v>
      </c>
      <c r="C33" s="11">
        <v>80616377</v>
      </c>
      <c r="D33" s="20" t="s">
        <v>21</v>
      </c>
      <c r="E33" s="11" t="s">
        <v>22</v>
      </c>
      <c r="F33" s="11" t="s">
        <v>23</v>
      </c>
      <c r="G33" s="21">
        <v>0.1275</v>
      </c>
      <c r="H33" s="22">
        <v>7500</v>
      </c>
      <c r="I33" s="24" t="s">
        <v>83</v>
      </c>
      <c r="J33" s="19">
        <f t="shared" ref="J33:J38" si="1">G33*H33</f>
        <v>956.25</v>
      </c>
    </row>
    <row r="34" spans="2:10" x14ac:dyDescent="0.25">
      <c r="B34" s="11" t="s">
        <v>87</v>
      </c>
      <c r="C34" s="11">
        <v>80616377</v>
      </c>
      <c r="D34" s="20" t="s">
        <v>19</v>
      </c>
      <c r="E34" s="11" t="s">
        <v>11</v>
      </c>
      <c r="F34" s="11" t="s">
        <v>20</v>
      </c>
      <c r="G34" s="21">
        <v>0.66339999999999999</v>
      </c>
      <c r="H34" s="22">
        <v>2000</v>
      </c>
      <c r="I34" s="24" t="s">
        <v>134</v>
      </c>
      <c r="J34" s="19">
        <f t="shared" si="1"/>
        <v>1326.8</v>
      </c>
    </row>
    <row r="35" spans="2:10" x14ac:dyDescent="0.25">
      <c r="B35" s="11" t="s">
        <v>87</v>
      </c>
      <c r="C35" s="11">
        <v>80616377</v>
      </c>
      <c r="D35" s="20" t="s">
        <v>12</v>
      </c>
      <c r="E35" s="11" t="s">
        <v>84</v>
      </c>
      <c r="F35" s="11" t="s">
        <v>85</v>
      </c>
      <c r="G35" s="21">
        <v>0.2135</v>
      </c>
      <c r="H35" s="22">
        <v>2000</v>
      </c>
      <c r="I35" s="24" t="s">
        <v>27</v>
      </c>
      <c r="J35" s="19">
        <f t="shared" si="1"/>
        <v>427</v>
      </c>
    </row>
    <row r="36" spans="2:10" x14ac:dyDescent="0.25">
      <c r="B36" s="11" t="s">
        <v>87</v>
      </c>
      <c r="C36" s="11">
        <v>80616377</v>
      </c>
      <c r="D36" s="20" t="s">
        <v>24</v>
      </c>
      <c r="E36" s="11" t="s">
        <v>25</v>
      </c>
      <c r="F36" s="20" t="s">
        <v>26</v>
      </c>
      <c r="G36" s="21">
        <v>0.1555</v>
      </c>
      <c r="H36" s="11">
        <v>2000</v>
      </c>
      <c r="I36" s="24" t="s">
        <v>27</v>
      </c>
      <c r="J36" s="19">
        <f t="shared" si="1"/>
        <v>311</v>
      </c>
    </row>
    <row r="37" spans="2:10" x14ac:dyDescent="0.25">
      <c r="B37" s="11" t="s">
        <v>91</v>
      </c>
      <c r="C37" s="11">
        <v>80616387</v>
      </c>
      <c r="D37" s="20" t="s">
        <v>88</v>
      </c>
      <c r="E37" s="11" t="s">
        <v>89</v>
      </c>
      <c r="F37" s="11" t="s">
        <v>90</v>
      </c>
      <c r="G37" s="21">
        <v>0.34110000000000001</v>
      </c>
      <c r="H37" s="22">
        <v>1000</v>
      </c>
      <c r="I37" s="24"/>
      <c r="J37" s="19">
        <f t="shared" si="1"/>
        <v>341.1</v>
      </c>
    </row>
    <row r="38" spans="2:10" x14ac:dyDescent="0.25">
      <c r="B38" s="11" t="s">
        <v>81</v>
      </c>
      <c r="C38" s="11">
        <v>80616370</v>
      </c>
      <c r="D38" s="20" t="s">
        <v>16</v>
      </c>
      <c r="E38" s="11" t="s">
        <v>18</v>
      </c>
      <c r="F38" s="11" t="s">
        <v>17</v>
      </c>
      <c r="G38" s="21">
        <v>0.50839999999999996</v>
      </c>
      <c r="H38" s="22">
        <v>2000</v>
      </c>
      <c r="I38" s="24"/>
      <c r="J38" s="19">
        <f t="shared" si="1"/>
        <v>1016.8</v>
      </c>
    </row>
    <row r="39" spans="2:10" x14ac:dyDescent="0.25">
      <c r="B39" s="40" t="s">
        <v>130</v>
      </c>
      <c r="C39" s="41"/>
      <c r="D39" s="41"/>
      <c r="E39" s="41"/>
      <c r="F39" s="41"/>
      <c r="G39" s="41"/>
      <c r="H39" s="41"/>
      <c r="I39" s="42"/>
      <c r="J39" s="19"/>
    </row>
    <row r="40" spans="2:10" x14ac:dyDescent="0.25">
      <c r="B40" s="11" t="s">
        <v>128</v>
      </c>
      <c r="C40" s="11">
        <v>80616412</v>
      </c>
      <c r="D40" s="20" t="s">
        <v>98</v>
      </c>
      <c r="E40" s="11" t="s">
        <v>99</v>
      </c>
      <c r="F40" s="11" t="s">
        <v>100</v>
      </c>
      <c r="G40" s="21">
        <v>0.50939999999999996</v>
      </c>
      <c r="H40" s="22">
        <v>1000</v>
      </c>
      <c r="I40" s="24"/>
      <c r="J40" s="19">
        <f t="shared" ref="J40:J65" si="2">G40*H40</f>
        <v>509.4</v>
      </c>
    </row>
    <row r="41" spans="2:10" x14ac:dyDescent="0.25">
      <c r="B41" s="11" t="s">
        <v>128</v>
      </c>
      <c r="C41" s="11">
        <v>80616412</v>
      </c>
      <c r="D41" s="20" t="s">
        <v>102</v>
      </c>
      <c r="E41" s="11" t="s">
        <v>112</v>
      </c>
      <c r="F41" s="11" t="s">
        <v>113</v>
      </c>
      <c r="G41" s="21">
        <v>0.56699999999999995</v>
      </c>
      <c r="H41" s="22">
        <v>300</v>
      </c>
      <c r="I41" s="24"/>
      <c r="J41" s="19">
        <f t="shared" si="2"/>
        <v>170.1</v>
      </c>
    </row>
    <row r="42" spans="2:10" x14ac:dyDescent="0.25">
      <c r="B42" s="11" t="s">
        <v>128</v>
      </c>
      <c r="C42" s="11">
        <v>80616412</v>
      </c>
      <c r="D42" s="20" t="s">
        <v>103</v>
      </c>
      <c r="E42" s="11" t="s">
        <v>104</v>
      </c>
      <c r="F42" s="11" t="s">
        <v>105</v>
      </c>
      <c r="G42" s="21">
        <v>1.0052000000000001</v>
      </c>
      <c r="H42" s="22">
        <v>800</v>
      </c>
      <c r="I42" s="24" t="s">
        <v>106</v>
      </c>
      <c r="J42" s="19">
        <f t="shared" si="2"/>
        <v>804.16000000000008</v>
      </c>
    </row>
    <row r="43" spans="2:10" x14ac:dyDescent="0.25">
      <c r="B43" s="11" t="s">
        <v>128</v>
      </c>
      <c r="C43" s="11">
        <v>80616412</v>
      </c>
      <c r="D43" s="20" t="s">
        <v>107</v>
      </c>
      <c r="E43" s="11" t="s">
        <v>108</v>
      </c>
      <c r="F43" s="11" t="s">
        <v>109</v>
      </c>
      <c r="G43" s="21">
        <v>0.39689999999999998</v>
      </c>
      <c r="H43" s="22">
        <v>5000</v>
      </c>
      <c r="I43" s="24"/>
      <c r="J43" s="19">
        <f t="shared" si="2"/>
        <v>1984.4999999999998</v>
      </c>
    </row>
    <row r="44" spans="2:10" x14ac:dyDescent="0.25">
      <c r="B44" s="11" t="s">
        <v>131</v>
      </c>
      <c r="C44" s="11">
        <v>80616431</v>
      </c>
      <c r="D44" s="20" t="s">
        <v>122</v>
      </c>
      <c r="E44" s="11" t="s">
        <v>123</v>
      </c>
      <c r="F44" s="11" t="s">
        <v>124</v>
      </c>
      <c r="G44" s="21">
        <v>0.44729999999999998</v>
      </c>
      <c r="H44" s="22">
        <v>1500</v>
      </c>
      <c r="I44" s="23"/>
      <c r="J44" s="19">
        <f t="shared" si="2"/>
        <v>670.94999999999993</v>
      </c>
    </row>
    <row r="45" spans="2:10" x14ac:dyDescent="0.25">
      <c r="B45" s="11" t="s">
        <v>131</v>
      </c>
      <c r="C45" s="11">
        <v>80616431</v>
      </c>
      <c r="D45" s="20" t="s">
        <v>125</v>
      </c>
      <c r="E45" s="11" t="s">
        <v>126</v>
      </c>
      <c r="F45" s="11" t="s">
        <v>127</v>
      </c>
      <c r="G45" s="21">
        <v>1.7430000000000001</v>
      </c>
      <c r="H45" s="22">
        <v>2600</v>
      </c>
      <c r="I45" s="23"/>
      <c r="J45" s="19">
        <f t="shared" si="2"/>
        <v>4531.8</v>
      </c>
    </row>
    <row r="46" spans="2:10" x14ac:dyDescent="0.25">
      <c r="B46" s="35" t="s">
        <v>87</v>
      </c>
      <c r="C46" s="35">
        <v>80616377</v>
      </c>
      <c r="D46" s="36" t="s">
        <v>19</v>
      </c>
      <c r="E46" s="35" t="s">
        <v>11</v>
      </c>
      <c r="F46" s="35" t="s">
        <v>20</v>
      </c>
      <c r="G46" s="37">
        <v>0.66339999999999999</v>
      </c>
      <c r="H46" s="38">
        <f>2000-1700</f>
        <v>300</v>
      </c>
      <c r="I46" s="39" t="s">
        <v>133</v>
      </c>
      <c r="J46" s="19">
        <f t="shared" si="2"/>
        <v>199.02</v>
      </c>
    </row>
    <row r="47" spans="2:10" x14ac:dyDescent="0.25">
      <c r="B47" s="40" t="s">
        <v>135</v>
      </c>
      <c r="C47" s="41"/>
      <c r="D47" s="41"/>
      <c r="E47" s="41"/>
      <c r="F47" s="41"/>
      <c r="G47" s="41"/>
      <c r="H47" s="41"/>
      <c r="I47" s="42"/>
      <c r="J47" s="19"/>
    </row>
    <row r="48" spans="2:10" x14ac:dyDescent="0.25">
      <c r="B48" s="3" t="s">
        <v>132</v>
      </c>
      <c r="C48" s="3">
        <v>80616429</v>
      </c>
      <c r="D48" s="2" t="s">
        <v>118</v>
      </c>
      <c r="E48" s="3" t="s">
        <v>119</v>
      </c>
      <c r="F48" s="3" t="s">
        <v>120</v>
      </c>
      <c r="G48" s="4">
        <v>0.1268</v>
      </c>
      <c r="H48" s="5">
        <v>50000</v>
      </c>
      <c r="I48" s="1"/>
      <c r="J48" s="19">
        <f t="shared" si="2"/>
        <v>6340</v>
      </c>
    </row>
    <row r="49" spans="2:10" x14ac:dyDescent="0.25">
      <c r="B49" s="3" t="s">
        <v>128</v>
      </c>
      <c r="C49" s="3">
        <v>80616412</v>
      </c>
      <c r="D49" s="2" t="s">
        <v>101</v>
      </c>
      <c r="E49" s="3" t="s">
        <v>110</v>
      </c>
      <c r="F49" s="3" t="s">
        <v>111</v>
      </c>
      <c r="G49" s="4">
        <v>0.16500000000000001</v>
      </c>
      <c r="H49" s="5">
        <v>500</v>
      </c>
      <c r="I49" s="34" t="s">
        <v>160</v>
      </c>
      <c r="J49" s="19">
        <f t="shared" si="2"/>
        <v>82.5</v>
      </c>
    </row>
    <row r="50" spans="2:10" x14ac:dyDescent="0.25">
      <c r="B50" s="3" t="s">
        <v>161</v>
      </c>
      <c r="C50" s="3">
        <v>80616441</v>
      </c>
      <c r="D50" s="2" t="s">
        <v>141</v>
      </c>
      <c r="E50" s="3" t="s">
        <v>142</v>
      </c>
      <c r="F50" s="32" t="s">
        <v>143</v>
      </c>
      <c r="G50" s="4">
        <v>0.33560000000000001</v>
      </c>
      <c r="H50" s="5">
        <v>2000</v>
      </c>
      <c r="I50" s="34"/>
      <c r="J50" s="19">
        <f t="shared" si="2"/>
        <v>671.2</v>
      </c>
    </row>
    <row r="51" spans="2:10" x14ac:dyDescent="0.25">
      <c r="B51" s="3" t="s">
        <v>161</v>
      </c>
      <c r="C51" s="3">
        <v>80616441</v>
      </c>
      <c r="D51" s="2" t="s">
        <v>144</v>
      </c>
      <c r="E51" s="3" t="s">
        <v>145</v>
      </c>
      <c r="F51" s="32" t="s">
        <v>146</v>
      </c>
      <c r="G51" s="4">
        <v>0.33560000000000001</v>
      </c>
      <c r="H51" s="5">
        <v>300</v>
      </c>
      <c r="I51" s="34"/>
      <c r="J51" s="19">
        <f t="shared" si="2"/>
        <v>100.68</v>
      </c>
    </row>
    <row r="52" spans="2:10" x14ac:dyDescent="0.25">
      <c r="B52" s="3" t="s">
        <v>161</v>
      </c>
      <c r="C52" s="3">
        <v>80616441</v>
      </c>
      <c r="D52" s="2" t="s">
        <v>147</v>
      </c>
      <c r="E52" s="3" t="s">
        <v>148</v>
      </c>
      <c r="F52" s="32" t="s">
        <v>149</v>
      </c>
      <c r="G52" s="4">
        <v>3.95</v>
      </c>
      <c r="H52" s="5">
        <v>30</v>
      </c>
      <c r="I52" s="34"/>
      <c r="J52" s="19">
        <f t="shared" si="2"/>
        <v>118.5</v>
      </c>
    </row>
    <row r="53" spans="2:10" x14ac:dyDescent="0.25">
      <c r="B53" s="3" t="s">
        <v>161</v>
      </c>
      <c r="C53" s="3">
        <v>80616441</v>
      </c>
      <c r="D53" s="2" t="s">
        <v>150</v>
      </c>
      <c r="E53" s="3" t="s">
        <v>151</v>
      </c>
      <c r="F53" s="32" t="s">
        <v>152</v>
      </c>
      <c r="G53" s="4">
        <v>0.65569999999999995</v>
      </c>
      <c r="H53" s="5">
        <v>500</v>
      </c>
      <c r="I53" s="34"/>
      <c r="J53" s="19">
        <f t="shared" si="2"/>
        <v>327.84999999999997</v>
      </c>
    </row>
    <row r="54" spans="2:10" x14ac:dyDescent="0.25">
      <c r="B54" s="3" t="s">
        <v>161</v>
      </c>
      <c r="C54" s="3">
        <v>80616441</v>
      </c>
      <c r="D54" s="2" t="s">
        <v>153</v>
      </c>
      <c r="E54" s="3" t="s">
        <v>154</v>
      </c>
      <c r="F54" s="32" t="s">
        <v>155</v>
      </c>
      <c r="G54" s="4">
        <v>1.3918999999999999</v>
      </c>
      <c r="H54" s="5">
        <v>200</v>
      </c>
      <c r="I54" s="34"/>
      <c r="J54" s="19">
        <f t="shared" si="2"/>
        <v>278.38</v>
      </c>
    </row>
    <row r="55" spans="2:10" x14ac:dyDescent="0.25">
      <c r="B55" s="3" t="s">
        <v>161</v>
      </c>
      <c r="C55" s="3">
        <v>80616441</v>
      </c>
      <c r="D55" s="2" t="s">
        <v>156</v>
      </c>
      <c r="E55" s="3" t="s">
        <v>157</v>
      </c>
      <c r="F55" s="32" t="s">
        <v>158</v>
      </c>
      <c r="G55" s="4">
        <v>0.2873</v>
      </c>
      <c r="H55" s="5">
        <v>800</v>
      </c>
      <c r="I55" s="34"/>
      <c r="J55" s="19">
        <f t="shared" si="2"/>
        <v>229.84</v>
      </c>
    </row>
    <row r="56" spans="2:10" x14ac:dyDescent="0.25">
      <c r="B56" s="40" t="s">
        <v>162</v>
      </c>
      <c r="C56" s="41"/>
      <c r="D56" s="41"/>
      <c r="E56" s="41"/>
      <c r="F56" s="41"/>
      <c r="G56" s="41"/>
      <c r="H56" s="41"/>
      <c r="I56" s="42"/>
      <c r="J56" s="19"/>
    </row>
    <row r="57" spans="2:10" x14ac:dyDescent="0.25">
      <c r="B57" s="3" t="s">
        <v>161</v>
      </c>
      <c r="C57" s="3">
        <v>80616441</v>
      </c>
      <c r="D57" s="2" t="s">
        <v>138</v>
      </c>
      <c r="E57" s="3" t="s">
        <v>139</v>
      </c>
      <c r="F57" s="32" t="s">
        <v>140</v>
      </c>
      <c r="G57" s="4">
        <v>0.39</v>
      </c>
      <c r="H57" s="5">
        <v>5500</v>
      </c>
      <c r="I57" s="34"/>
      <c r="J57" s="19">
        <f t="shared" si="2"/>
        <v>2145</v>
      </c>
    </row>
    <row r="58" spans="2:10" x14ac:dyDescent="0.25">
      <c r="B58" s="43"/>
      <c r="C58" s="44"/>
      <c r="D58" s="45"/>
      <c r="E58" s="44"/>
      <c r="F58" s="44"/>
      <c r="G58" s="46"/>
      <c r="H58" s="47"/>
      <c r="I58" s="34"/>
      <c r="J58" s="19">
        <f t="shared" si="2"/>
        <v>0</v>
      </c>
    </row>
    <row r="59" spans="2:10" x14ac:dyDescent="0.25">
      <c r="B59" s="40" t="s">
        <v>137</v>
      </c>
      <c r="C59" s="41"/>
      <c r="D59" s="41"/>
      <c r="E59" s="41"/>
      <c r="F59" s="41"/>
      <c r="G59" s="41"/>
      <c r="H59" s="41"/>
      <c r="I59" s="42"/>
      <c r="J59" s="19"/>
    </row>
    <row r="60" spans="2:10" x14ac:dyDescent="0.25">
      <c r="B60" s="3" t="s">
        <v>136</v>
      </c>
      <c r="C60" s="3">
        <v>80616417</v>
      </c>
      <c r="D60" s="2" t="s">
        <v>114</v>
      </c>
      <c r="E60" s="3" t="s">
        <v>129</v>
      </c>
      <c r="F60" s="32" t="s">
        <v>159</v>
      </c>
      <c r="G60" s="4">
        <v>0.37930000000000003</v>
      </c>
      <c r="H60" s="5">
        <v>8000</v>
      </c>
      <c r="I60" s="1" t="s">
        <v>115</v>
      </c>
      <c r="J60" s="19">
        <f t="shared" si="2"/>
        <v>3034.4</v>
      </c>
    </row>
    <row r="61" spans="2:10" x14ac:dyDescent="0.25">
      <c r="B61" s="3"/>
      <c r="C61" s="3">
        <v>80616417</v>
      </c>
      <c r="D61" s="2" t="s">
        <v>116</v>
      </c>
      <c r="E61" s="31" t="s">
        <v>117</v>
      </c>
      <c r="F61" s="32" t="s">
        <v>121</v>
      </c>
      <c r="G61" s="33">
        <v>1500</v>
      </c>
      <c r="H61" s="5">
        <v>1</v>
      </c>
      <c r="I61" s="1"/>
      <c r="J61" s="19">
        <f t="shared" si="2"/>
        <v>1500</v>
      </c>
    </row>
    <row r="62" spans="2:10" x14ac:dyDescent="0.25">
      <c r="B62" s="3"/>
      <c r="C62" s="3"/>
      <c r="D62" s="2"/>
      <c r="E62" s="3"/>
      <c r="F62" s="3"/>
      <c r="G62" s="4"/>
      <c r="H62" s="5"/>
      <c r="I62" s="1"/>
      <c r="J62" s="19"/>
    </row>
    <row r="63" spans="2:10" x14ac:dyDescent="0.25">
      <c r="B63" s="3"/>
      <c r="C63" s="3"/>
      <c r="D63" s="2"/>
      <c r="E63" s="3"/>
      <c r="F63" s="32"/>
      <c r="G63" s="4"/>
      <c r="H63" s="5"/>
      <c r="I63" s="1"/>
      <c r="J63" s="19"/>
    </row>
    <row r="64" spans="2:10" x14ac:dyDescent="0.25">
      <c r="B64" s="3"/>
      <c r="C64" s="3"/>
      <c r="D64" s="2"/>
      <c r="E64" s="3"/>
      <c r="F64" s="32"/>
      <c r="G64" s="4"/>
      <c r="H64" s="5"/>
      <c r="I64" s="1"/>
      <c r="J64" s="19"/>
    </row>
    <row r="65" spans="2:10" x14ac:dyDescent="0.25">
      <c r="B65" s="3"/>
      <c r="C65" s="3"/>
      <c r="D65" s="2"/>
      <c r="E65" s="3"/>
      <c r="F65" s="32"/>
      <c r="G65" s="4"/>
      <c r="H65" s="5"/>
      <c r="I65" s="1"/>
      <c r="J65" s="19"/>
    </row>
    <row r="66" spans="2:10" x14ac:dyDescent="0.25">
      <c r="B66" s="3"/>
      <c r="C66" s="3"/>
      <c r="D66" s="2"/>
      <c r="E66" s="3"/>
      <c r="F66" s="32"/>
      <c r="G66" s="4"/>
      <c r="H66" s="5"/>
      <c r="I66" s="1"/>
    </row>
    <row r="67" spans="2:10" x14ac:dyDescent="0.25">
      <c r="B67" s="3"/>
      <c r="C67" s="3"/>
      <c r="D67" s="2"/>
      <c r="E67" s="3"/>
      <c r="F67" s="32"/>
      <c r="G67" s="4"/>
      <c r="H67" s="5"/>
      <c r="I67" s="1"/>
    </row>
    <row r="68" spans="2:10" x14ac:dyDescent="0.25">
      <c r="B68" s="3"/>
      <c r="C68" s="3"/>
      <c r="D68" s="2"/>
      <c r="E68" s="3"/>
      <c r="F68" s="32"/>
      <c r="G68" s="4"/>
      <c r="H68" s="5"/>
      <c r="I68" s="1"/>
    </row>
    <row r="69" spans="2:10" x14ac:dyDescent="0.25">
      <c r="B69" s="3"/>
      <c r="C69" s="3"/>
      <c r="D69" s="2"/>
      <c r="E69" s="3"/>
      <c r="F69" s="32"/>
      <c r="G69" s="4"/>
      <c r="H69" s="5"/>
      <c r="I69" s="1"/>
    </row>
    <row r="70" spans="2:10" x14ac:dyDescent="0.25">
      <c r="B70" s="3"/>
      <c r="C70" s="3"/>
      <c r="D70" s="2"/>
      <c r="E70" s="3"/>
      <c r="F70" s="32"/>
      <c r="G70" s="4"/>
      <c r="H70" s="5"/>
      <c r="I70" s="1"/>
    </row>
    <row r="71" spans="2:10" x14ac:dyDescent="0.25">
      <c r="B71" s="3"/>
      <c r="C71" s="3"/>
      <c r="D71" s="2"/>
      <c r="E71" s="3"/>
      <c r="F71" s="32"/>
      <c r="G71" s="4"/>
      <c r="H71" s="5"/>
      <c r="I71" s="1"/>
    </row>
    <row r="72" spans="2:10" x14ac:dyDescent="0.25">
      <c r="B72" s="3"/>
      <c r="C72" s="3"/>
      <c r="D72" s="2"/>
      <c r="E72" s="3"/>
      <c r="F72" s="32"/>
      <c r="G72" s="4"/>
      <c r="H72" s="5"/>
      <c r="I72" s="1"/>
    </row>
    <row r="73" spans="2:10" x14ac:dyDescent="0.25">
      <c r="B73" s="3"/>
      <c r="C73" s="3"/>
      <c r="D73" s="2"/>
      <c r="E73" s="3"/>
      <c r="F73" s="32"/>
      <c r="G73" s="4"/>
      <c r="H73" s="5"/>
      <c r="I73" s="1"/>
    </row>
    <row r="74" spans="2:10" x14ac:dyDescent="0.25">
      <c r="B74" s="3"/>
      <c r="C74" s="3"/>
      <c r="D74" s="2"/>
      <c r="E74" s="3"/>
      <c r="F74" s="32"/>
      <c r="G74" s="4"/>
      <c r="H74" s="5"/>
      <c r="I74" s="1"/>
    </row>
    <row r="75" spans="2:10" x14ac:dyDescent="0.25">
      <c r="B75" s="3"/>
      <c r="C75" s="3"/>
      <c r="D75" s="2"/>
      <c r="E75" s="3"/>
      <c r="F75" s="32"/>
      <c r="G75" s="4"/>
      <c r="H75" s="5"/>
      <c r="I75" s="1"/>
    </row>
    <row r="76" spans="2:10" x14ac:dyDescent="0.25">
      <c r="B76" s="3"/>
      <c r="C76" s="3"/>
      <c r="D76" s="2"/>
      <c r="E76" s="3"/>
      <c r="F76" s="32"/>
      <c r="G76" s="4"/>
      <c r="H76" s="5"/>
      <c r="I76" s="1"/>
    </row>
    <row r="77" spans="2:10" x14ac:dyDescent="0.25">
      <c r="B77" s="3"/>
      <c r="C77" s="3"/>
      <c r="D77" s="2"/>
      <c r="E77" s="3"/>
      <c r="F77" s="32"/>
      <c r="G77" s="4"/>
      <c r="H77" s="5"/>
      <c r="I77" s="1"/>
    </row>
    <row r="78" spans="2:10" x14ac:dyDescent="0.25">
      <c r="B78" s="3"/>
      <c r="C78" s="3"/>
      <c r="D78" s="2"/>
      <c r="E78" s="3"/>
      <c r="F78" s="32"/>
      <c r="G78" s="4"/>
      <c r="H78" s="5"/>
      <c r="I78" s="1"/>
    </row>
    <row r="79" spans="2:10" x14ac:dyDescent="0.25">
      <c r="B79" s="3"/>
      <c r="C79" s="3"/>
      <c r="D79" s="2"/>
      <c r="E79" s="3"/>
      <c r="F79" s="32"/>
      <c r="G79" s="4"/>
      <c r="H79" s="5"/>
      <c r="I79" s="1"/>
    </row>
    <row r="80" spans="2:10" x14ac:dyDescent="0.25">
      <c r="B80" s="3"/>
      <c r="C80" s="3"/>
      <c r="D80" s="2"/>
      <c r="E80" s="3"/>
      <c r="F80" s="32"/>
      <c r="G80" s="4"/>
      <c r="H80" s="5"/>
      <c r="I80" s="1"/>
    </row>
    <row r="81" spans="2:9" x14ac:dyDescent="0.25">
      <c r="B81" s="3"/>
      <c r="C81" s="3"/>
      <c r="D81" s="2"/>
      <c r="E81" s="3"/>
      <c r="F81" s="32"/>
      <c r="G81" s="4"/>
      <c r="H81" s="5"/>
      <c r="I81" s="1"/>
    </row>
    <row r="82" spans="2:9" x14ac:dyDescent="0.25">
      <c r="B82" s="3"/>
      <c r="C82" s="3"/>
      <c r="D82" s="2"/>
      <c r="E82" s="3"/>
      <c r="F82" s="32"/>
      <c r="G82" s="4"/>
      <c r="H82" s="5"/>
      <c r="I82" s="1"/>
    </row>
    <row r="83" spans="2:9" x14ac:dyDescent="0.25">
      <c r="B83" s="3"/>
      <c r="C83" s="3"/>
      <c r="D83" s="2"/>
      <c r="E83" s="3"/>
      <c r="F83" s="32"/>
      <c r="G83" s="4"/>
      <c r="H83" s="5"/>
      <c r="I83" s="1"/>
    </row>
    <row r="84" spans="2:9" x14ac:dyDescent="0.25">
      <c r="B84" s="3"/>
      <c r="C84" s="3"/>
      <c r="D84" s="2"/>
      <c r="E84" s="3"/>
      <c r="F84" s="32"/>
      <c r="G84" s="4"/>
      <c r="H84" s="5"/>
      <c r="I84" s="1"/>
    </row>
    <row r="85" spans="2:9" x14ac:dyDescent="0.25">
      <c r="B85" s="3"/>
      <c r="C85" s="3"/>
      <c r="D85" s="2"/>
      <c r="E85" s="3"/>
      <c r="F85" s="32"/>
      <c r="G85" s="4"/>
      <c r="H85" s="5"/>
      <c r="I85" s="1"/>
    </row>
    <row r="86" spans="2:9" x14ac:dyDescent="0.25">
      <c r="B86" s="3"/>
      <c r="C86" s="3"/>
      <c r="D86" s="2"/>
      <c r="E86" s="3"/>
      <c r="F86" s="32"/>
      <c r="G86" s="4"/>
      <c r="H86" s="5"/>
      <c r="I86" s="1"/>
    </row>
    <row r="87" spans="2:9" x14ac:dyDescent="0.25">
      <c r="B87" s="3"/>
      <c r="C87" s="3"/>
      <c r="D87" s="2"/>
      <c r="E87" s="3"/>
      <c r="F87" s="32"/>
      <c r="G87" s="4"/>
      <c r="H87" s="5"/>
      <c r="I87" s="1"/>
    </row>
    <row r="88" spans="2:9" x14ac:dyDescent="0.25">
      <c r="B88" s="3"/>
      <c r="C88" s="3"/>
      <c r="D88" s="2"/>
      <c r="E88" s="3"/>
      <c r="F88" s="32"/>
      <c r="G88" s="4"/>
      <c r="H88" s="5"/>
      <c r="I88" s="1"/>
    </row>
    <row r="89" spans="2:9" x14ac:dyDescent="0.25">
      <c r="B89" s="3"/>
      <c r="C89" s="3"/>
      <c r="D89" s="2"/>
      <c r="E89" s="3"/>
      <c r="F89" s="32"/>
      <c r="G89" s="4"/>
      <c r="H89" s="5"/>
      <c r="I89" s="1"/>
    </row>
    <row r="90" spans="2:9" x14ac:dyDescent="0.25">
      <c r="B90" s="3"/>
      <c r="C90" s="3"/>
      <c r="D90" s="2"/>
      <c r="E90" s="3"/>
      <c r="F90" s="32"/>
      <c r="G90" s="4"/>
      <c r="H90" s="5"/>
      <c r="I90" s="1"/>
    </row>
    <row r="91" spans="2:9" x14ac:dyDescent="0.25">
      <c r="B91" s="3"/>
      <c r="C91" s="3"/>
      <c r="D91" s="2"/>
      <c r="E91" s="3"/>
      <c r="F91" s="32"/>
      <c r="G91" s="4"/>
      <c r="H91" s="5"/>
      <c r="I91" s="1"/>
    </row>
    <row r="92" spans="2:9" x14ac:dyDescent="0.25">
      <c r="B92" s="3"/>
      <c r="C92" s="3"/>
      <c r="D92" s="2"/>
      <c r="E92" s="3"/>
      <c r="F92" s="32"/>
      <c r="G92" s="4"/>
      <c r="H92" s="5"/>
      <c r="I92" s="1"/>
    </row>
    <row r="93" spans="2:9" x14ac:dyDescent="0.25">
      <c r="B93" s="3"/>
      <c r="C93" s="3"/>
      <c r="D93" s="2"/>
      <c r="E93" s="3"/>
      <c r="F93" s="32"/>
      <c r="G93" s="4"/>
      <c r="H93" s="5"/>
      <c r="I93" s="1"/>
    </row>
    <row r="94" spans="2:9" x14ac:dyDescent="0.25">
      <c r="B94" s="3"/>
      <c r="C94" s="3"/>
      <c r="D94" s="2"/>
      <c r="E94" s="3"/>
      <c r="F94" s="32"/>
      <c r="G94" s="4"/>
      <c r="H94" s="5"/>
      <c r="I94" s="1"/>
    </row>
    <row r="95" spans="2:9" x14ac:dyDescent="0.25">
      <c r="B95" s="3"/>
      <c r="C95" s="3"/>
      <c r="D95" s="2"/>
      <c r="E95" s="3"/>
      <c r="F95" s="32"/>
      <c r="G95" s="4"/>
      <c r="H95" s="5"/>
      <c r="I95" s="1"/>
    </row>
    <row r="96" spans="2:9" x14ac:dyDescent="0.25">
      <c r="B96" s="3"/>
      <c r="C96" s="3"/>
      <c r="D96" s="2"/>
      <c r="E96" s="3"/>
      <c r="F96" s="32"/>
      <c r="G96" s="4"/>
      <c r="H96" s="5"/>
      <c r="I96" s="1"/>
    </row>
    <row r="97" spans="2:9" x14ac:dyDescent="0.25">
      <c r="B97" s="3"/>
      <c r="C97" s="3"/>
      <c r="D97" s="2"/>
      <c r="E97" s="3"/>
      <c r="F97" s="32"/>
      <c r="G97" s="4"/>
      <c r="H97" s="5"/>
      <c r="I97" s="1"/>
    </row>
    <row r="98" spans="2:9" x14ac:dyDescent="0.25">
      <c r="B98" s="3"/>
      <c r="C98" s="3"/>
      <c r="D98" s="2"/>
      <c r="E98" s="3"/>
      <c r="F98" s="32"/>
      <c r="G98" s="4"/>
      <c r="H98" s="5"/>
      <c r="I98" s="1"/>
    </row>
    <row r="99" spans="2:9" x14ac:dyDescent="0.25">
      <c r="B99" s="3"/>
      <c r="C99" s="3"/>
      <c r="D99" s="2"/>
      <c r="E99" s="3"/>
      <c r="F99" s="32"/>
      <c r="G99" s="4"/>
      <c r="H99" s="5"/>
      <c r="I99" s="1"/>
    </row>
    <row r="100" spans="2:9" x14ac:dyDescent="0.25">
      <c r="B100" s="3"/>
      <c r="C100" s="3"/>
      <c r="D100" s="2"/>
      <c r="E100" s="3"/>
      <c r="F100" s="32"/>
      <c r="G100" s="4"/>
      <c r="H100" s="5"/>
      <c r="I100" s="1"/>
    </row>
    <row r="101" spans="2:9" x14ac:dyDescent="0.25">
      <c r="B101" s="3"/>
      <c r="C101" s="3"/>
      <c r="D101" s="2"/>
      <c r="E101" s="3"/>
      <c r="F101" s="32"/>
      <c r="G101" s="4"/>
      <c r="H101" s="5"/>
      <c r="I101" s="1"/>
    </row>
    <row r="102" spans="2:9" x14ac:dyDescent="0.25">
      <c r="B102" s="3"/>
      <c r="C102" s="3"/>
      <c r="D102" s="2"/>
      <c r="E102" s="3"/>
      <c r="F102" s="32"/>
      <c r="G102" s="4"/>
      <c r="H102" s="5"/>
      <c r="I102" s="1"/>
    </row>
    <row r="103" spans="2:9" x14ac:dyDescent="0.25">
      <c r="B103" s="3"/>
      <c r="C103" s="3"/>
      <c r="D103" s="2"/>
      <c r="E103" s="3"/>
      <c r="F103" s="32"/>
      <c r="G103" s="4"/>
      <c r="H103" s="5"/>
      <c r="I103" s="1"/>
    </row>
    <row r="104" spans="2:9" x14ac:dyDescent="0.25">
      <c r="B104" s="3"/>
      <c r="C104" s="3"/>
      <c r="D104" s="2"/>
      <c r="E104" s="3"/>
      <c r="F104" s="32"/>
      <c r="G104" s="4"/>
      <c r="H104" s="5"/>
      <c r="I104" s="1"/>
    </row>
    <row r="105" spans="2:9" x14ac:dyDescent="0.25">
      <c r="B105" s="3"/>
      <c r="C105" s="3"/>
      <c r="D105" s="2"/>
      <c r="E105" s="3"/>
      <c r="F105" s="32"/>
      <c r="G105" s="4"/>
      <c r="H105" s="5"/>
      <c r="I105" s="1"/>
    </row>
    <row r="106" spans="2:9" x14ac:dyDescent="0.25">
      <c r="B106" s="3"/>
      <c r="C106" s="3"/>
      <c r="D106" s="2"/>
      <c r="E106" s="3"/>
      <c r="F106" s="32"/>
      <c r="G106" s="4"/>
      <c r="H106" s="5"/>
      <c r="I106" s="1"/>
    </row>
    <row r="107" spans="2:9" x14ac:dyDescent="0.25">
      <c r="B107" s="3"/>
      <c r="C107" s="3"/>
      <c r="D107" s="2"/>
      <c r="E107" s="3"/>
      <c r="F107" s="32"/>
      <c r="G107" s="4"/>
      <c r="H107" s="5"/>
      <c r="I107" s="1"/>
    </row>
    <row r="108" spans="2:9" x14ac:dyDescent="0.25">
      <c r="B108" s="3"/>
      <c r="C108" s="3"/>
      <c r="D108" s="2"/>
      <c r="E108" s="3"/>
      <c r="F108" s="32"/>
      <c r="G108" s="4"/>
      <c r="H108" s="5"/>
      <c r="I108" s="1"/>
    </row>
    <row r="109" spans="2:9" x14ac:dyDescent="0.25">
      <c r="B109" s="3"/>
      <c r="C109" s="3"/>
      <c r="D109" s="2"/>
      <c r="E109" s="3"/>
      <c r="F109" s="32"/>
      <c r="G109" s="4"/>
      <c r="H109" s="5"/>
      <c r="I109" s="1"/>
    </row>
    <row r="110" spans="2:9" x14ac:dyDescent="0.25">
      <c r="B110" s="3"/>
      <c r="C110" s="3"/>
      <c r="D110" s="2"/>
      <c r="E110" s="3"/>
      <c r="F110" s="32"/>
      <c r="G110" s="4"/>
      <c r="H110" s="5"/>
      <c r="I110" s="1"/>
    </row>
    <row r="111" spans="2:9" x14ac:dyDescent="0.25">
      <c r="B111" s="3"/>
      <c r="C111" s="3"/>
      <c r="D111" s="2"/>
      <c r="E111" s="3"/>
      <c r="F111" s="32"/>
      <c r="G111" s="4"/>
      <c r="H111" s="5"/>
      <c r="I111" s="1"/>
    </row>
    <row r="112" spans="2:9" x14ac:dyDescent="0.25">
      <c r="B112" s="3"/>
      <c r="C112" s="3"/>
      <c r="D112" s="2"/>
      <c r="E112" s="3"/>
      <c r="F112" s="32"/>
      <c r="G112" s="4"/>
      <c r="H112" s="5"/>
      <c r="I112" s="1"/>
    </row>
    <row r="113" spans="2:9" x14ac:dyDescent="0.25">
      <c r="B113" s="3"/>
      <c r="C113" s="3"/>
      <c r="D113" s="2"/>
      <c r="E113" s="3"/>
      <c r="F113" s="32"/>
      <c r="G113" s="4"/>
      <c r="H113" s="5"/>
      <c r="I113" s="1"/>
    </row>
    <row r="114" spans="2:9" x14ac:dyDescent="0.25">
      <c r="B114" s="3"/>
      <c r="C114" s="3"/>
      <c r="D114" s="2"/>
      <c r="E114" s="3"/>
      <c r="F114" s="32"/>
      <c r="G114" s="4"/>
      <c r="H114" s="5"/>
      <c r="I114" s="1"/>
    </row>
    <row r="115" spans="2:9" x14ac:dyDescent="0.25">
      <c r="B115" s="3"/>
      <c r="C115" s="3"/>
      <c r="D115" s="2"/>
      <c r="E115" s="3"/>
      <c r="F115" s="32"/>
      <c r="G115" s="4"/>
      <c r="H115" s="5"/>
      <c r="I115" s="1"/>
    </row>
    <row r="116" spans="2:9" x14ac:dyDescent="0.25">
      <c r="B116" s="3"/>
      <c r="C116" s="3"/>
      <c r="D116" s="2"/>
      <c r="E116" s="3"/>
      <c r="F116" s="32"/>
      <c r="G116" s="4"/>
      <c r="H116" s="5"/>
      <c r="I116" s="1"/>
    </row>
    <row r="117" spans="2:9" x14ac:dyDescent="0.25">
      <c r="B117" s="3"/>
      <c r="C117" s="3"/>
      <c r="D117" s="2"/>
      <c r="E117" s="3"/>
      <c r="F117" s="32"/>
      <c r="G117" s="4"/>
      <c r="H117" s="5"/>
      <c r="I117" s="1"/>
    </row>
    <row r="118" spans="2:9" x14ac:dyDescent="0.25">
      <c r="B118" s="3"/>
      <c r="C118" s="3"/>
      <c r="D118" s="2"/>
      <c r="E118" s="3"/>
      <c r="F118" s="32"/>
      <c r="G118" s="4"/>
      <c r="H118" s="5"/>
      <c r="I118" s="1"/>
    </row>
    <row r="119" spans="2:9" x14ac:dyDescent="0.25">
      <c r="B119" s="3"/>
      <c r="C119" s="3"/>
      <c r="D119" s="2"/>
      <c r="E119" s="3"/>
      <c r="F119" s="32"/>
      <c r="G119" s="4"/>
      <c r="H119" s="5"/>
      <c r="I119" s="1"/>
    </row>
    <row r="120" spans="2:9" x14ac:dyDescent="0.25">
      <c r="B120" s="3"/>
      <c r="C120" s="3"/>
      <c r="D120" s="2"/>
      <c r="E120" s="3"/>
      <c r="F120" s="32"/>
      <c r="G120" s="4"/>
      <c r="H120" s="5"/>
      <c r="I120" s="1"/>
    </row>
    <row r="121" spans="2:9" x14ac:dyDescent="0.25">
      <c r="B121" s="3"/>
      <c r="C121" s="3"/>
      <c r="D121" s="2"/>
      <c r="E121" s="3"/>
      <c r="F121" s="32"/>
      <c r="G121" s="4"/>
      <c r="H121" s="5"/>
      <c r="I121" s="1"/>
    </row>
    <row r="122" spans="2:9" x14ac:dyDescent="0.25">
      <c r="B122" s="3"/>
      <c r="C122" s="3"/>
      <c r="D122" s="2"/>
      <c r="E122" s="3"/>
      <c r="F122" s="32"/>
      <c r="G122" s="4"/>
      <c r="H122" s="5"/>
      <c r="I122" s="1"/>
    </row>
    <row r="123" spans="2:9" x14ac:dyDescent="0.25">
      <c r="B123" s="3"/>
      <c r="C123" s="3"/>
      <c r="D123" s="2"/>
      <c r="E123" s="3"/>
      <c r="F123" s="32"/>
      <c r="G123" s="4"/>
      <c r="H123" s="5"/>
      <c r="I123" s="1"/>
    </row>
    <row r="124" spans="2:9" x14ac:dyDescent="0.25">
      <c r="B124" s="3"/>
      <c r="C124" s="3"/>
      <c r="D124" s="2"/>
      <c r="E124" s="3"/>
      <c r="F124" s="32"/>
      <c r="G124" s="4"/>
      <c r="H124" s="5"/>
      <c r="I124" s="1"/>
    </row>
    <row r="125" spans="2:9" x14ac:dyDescent="0.25">
      <c r="B125" s="3"/>
      <c r="C125" s="3"/>
      <c r="D125" s="2"/>
      <c r="E125" s="3"/>
      <c r="F125" s="32"/>
      <c r="G125" s="4"/>
      <c r="H125" s="5"/>
      <c r="I125" s="1"/>
    </row>
    <row r="126" spans="2:9" x14ac:dyDescent="0.25">
      <c r="B126" s="3"/>
      <c r="C126" s="3"/>
      <c r="D126" s="2"/>
      <c r="E126" s="3"/>
      <c r="F126" s="32"/>
      <c r="G126" s="4"/>
      <c r="H126" s="5"/>
      <c r="I126" s="1"/>
    </row>
    <row r="127" spans="2:9" x14ac:dyDescent="0.25">
      <c r="B127" s="3"/>
      <c r="C127" s="3"/>
      <c r="D127" s="2"/>
      <c r="E127" s="3"/>
      <c r="F127" s="32"/>
      <c r="G127" s="4"/>
      <c r="H127" s="5"/>
      <c r="I127" s="1"/>
    </row>
    <row r="128" spans="2:9" x14ac:dyDescent="0.25">
      <c r="B128" s="3"/>
      <c r="C128" s="3"/>
      <c r="D128" s="2"/>
      <c r="E128" s="3"/>
      <c r="F128" s="32"/>
      <c r="G128" s="4"/>
      <c r="H128" s="5"/>
      <c r="I128" s="1"/>
    </row>
    <row r="129" spans="2:9" x14ac:dyDescent="0.25">
      <c r="B129" s="3"/>
      <c r="C129" s="3"/>
      <c r="D129" s="2"/>
      <c r="E129" s="3"/>
      <c r="F129" s="32"/>
      <c r="G129" s="4"/>
      <c r="H129" s="5"/>
      <c r="I129" s="1"/>
    </row>
    <row r="130" spans="2:9" x14ac:dyDescent="0.25">
      <c r="B130" s="3"/>
      <c r="C130" s="3"/>
      <c r="D130" s="2"/>
      <c r="E130" s="3"/>
      <c r="F130" s="32"/>
      <c r="G130" s="4"/>
      <c r="H130" s="5"/>
      <c r="I130" s="1"/>
    </row>
    <row r="131" spans="2:9" x14ac:dyDescent="0.25">
      <c r="B131" s="3"/>
      <c r="C131" s="3"/>
      <c r="D131" s="2"/>
      <c r="E131" s="3"/>
      <c r="F131" s="32"/>
      <c r="G131" s="4"/>
      <c r="H131" s="5"/>
      <c r="I131" s="1"/>
    </row>
    <row r="132" spans="2:9" x14ac:dyDescent="0.25">
      <c r="B132" s="3"/>
      <c r="C132" s="3"/>
      <c r="D132" s="2"/>
      <c r="E132" s="3"/>
      <c r="F132" s="32"/>
      <c r="G132" s="4"/>
      <c r="H132" s="5"/>
      <c r="I132" s="1"/>
    </row>
    <row r="133" spans="2:9" x14ac:dyDescent="0.25">
      <c r="B133" s="3"/>
      <c r="C133" s="3"/>
      <c r="D133" s="2"/>
      <c r="E133" s="3"/>
      <c r="F133" s="32"/>
      <c r="G133" s="4"/>
      <c r="H133" s="5"/>
      <c r="I133" s="1"/>
    </row>
    <row r="134" spans="2:9" x14ac:dyDescent="0.25">
      <c r="B134" s="3"/>
      <c r="C134" s="3"/>
      <c r="D134" s="2"/>
      <c r="E134" s="3"/>
      <c r="F134" s="32"/>
      <c r="G134" s="4"/>
      <c r="H134" s="5"/>
      <c r="I134" s="1"/>
    </row>
    <row r="135" spans="2:9" x14ac:dyDescent="0.25">
      <c r="B135" s="3"/>
      <c r="C135" s="3"/>
      <c r="D135" s="2"/>
      <c r="E135" s="3"/>
      <c r="F135" s="32"/>
      <c r="G135" s="4"/>
      <c r="H135" s="5"/>
      <c r="I135" s="1"/>
    </row>
    <row r="136" spans="2:9" x14ac:dyDescent="0.25">
      <c r="B136" s="3"/>
      <c r="C136" s="3"/>
      <c r="D136" s="2"/>
      <c r="E136" s="3"/>
      <c r="F136" s="32"/>
      <c r="G136" s="4"/>
      <c r="H136" s="5"/>
      <c r="I136" s="1"/>
    </row>
    <row r="137" spans="2:9" x14ac:dyDescent="0.25">
      <c r="B137" s="3"/>
      <c r="C137" s="3"/>
      <c r="D137" s="2"/>
      <c r="E137" s="3"/>
      <c r="F137" s="32"/>
      <c r="G137" s="4"/>
      <c r="H137" s="5"/>
      <c r="I137" s="1"/>
    </row>
    <row r="138" spans="2:9" x14ac:dyDescent="0.25">
      <c r="B138" s="3"/>
      <c r="C138" s="3"/>
      <c r="D138" s="2"/>
      <c r="E138" s="3"/>
      <c r="F138" s="32"/>
      <c r="G138" s="4"/>
      <c r="H138" s="5"/>
      <c r="I138" s="1"/>
    </row>
    <row r="139" spans="2:9" x14ac:dyDescent="0.25">
      <c r="B139" s="3"/>
      <c r="C139" s="3"/>
      <c r="D139" s="2"/>
      <c r="E139" s="3"/>
      <c r="F139" s="32"/>
      <c r="G139" s="4"/>
      <c r="H139" s="5"/>
      <c r="I139" s="1"/>
    </row>
    <row r="140" spans="2:9" x14ac:dyDescent="0.25">
      <c r="B140" s="3"/>
      <c r="C140" s="3"/>
      <c r="D140" s="2"/>
      <c r="E140" s="3"/>
      <c r="F140" s="32"/>
      <c r="G140" s="4"/>
      <c r="H140" s="5"/>
      <c r="I140" s="1"/>
    </row>
    <row r="141" spans="2:9" x14ac:dyDescent="0.25">
      <c r="B141" s="3"/>
      <c r="C141" s="3"/>
      <c r="D141" s="2"/>
      <c r="E141" s="3"/>
      <c r="F141" s="32"/>
      <c r="G141" s="4"/>
      <c r="H141" s="5"/>
      <c r="I141" s="1"/>
    </row>
    <row r="142" spans="2:9" x14ac:dyDescent="0.25">
      <c r="B142" s="3"/>
      <c r="C142" s="3"/>
      <c r="D142" s="2"/>
      <c r="E142" s="3"/>
      <c r="F142" s="32"/>
      <c r="G142" s="4"/>
      <c r="H142" s="5"/>
      <c r="I142" s="1"/>
    </row>
    <row r="143" spans="2:9" x14ac:dyDescent="0.25">
      <c r="B143" s="3"/>
      <c r="C143" s="3"/>
      <c r="D143" s="2"/>
      <c r="E143" s="3"/>
      <c r="F143" s="32"/>
      <c r="G143" s="4"/>
      <c r="H143" s="5"/>
      <c r="I143" s="1"/>
    </row>
    <row r="144" spans="2:9" x14ac:dyDescent="0.25">
      <c r="B144" s="3"/>
      <c r="C144" s="3"/>
      <c r="D144" s="2"/>
      <c r="E144" s="3"/>
      <c r="F144" s="32"/>
      <c r="G144" s="4"/>
      <c r="H144" s="5"/>
      <c r="I144" s="1"/>
    </row>
    <row r="145" spans="2:9" x14ac:dyDescent="0.25">
      <c r="B145" s="3"/>
      <c r="C145" s="3"/>
      <c r="D145" s="2"/>
      <c r="E145" s="3"/>
      <c r="F145" s="32"/>
      <c r="G145" s="4"/>
      <c r="H145" s="5"/>
      <c r="I145" s="1"/>
    </row>
    <row r="146" spans="2:9" x14ac:dyDescent="0.25">
      <c r="B146" s="3"/>
      <c r="C146" s="3"/>
      <c r="D146" s="2"/>
      <c r="E146" s="3"/>
      <c r="F146" s="32"/>
      <c r="G146" s="4"/>
      <c r="H146" s="5"/>
      <c r="I146" s="1"/>
    </row>
    <row r="147" spans="2:9" x14ac:dyDescent="0.25">
      <c r="B147" s="3"/>
      <c r="C147" s="3"/>
      <c r="D147" s="2"/>
      <c r="E147" s="3"/>
      <c r="F147" s="32"/>
      <c r="G147" s="4"/>
      <c r="H147" s="5"/>
      <c r="I147" s="1"/>
    </row>
    <row r="148" spans="2:9" x14ac:dyDescent="0.25">
      <c r="B148" s="3"/>
      <c r="C148" s="3"/>
      <c r="D148" s="2"/>
      <c r="E148" s="3"/>
      <c r="F148" s="32"/>
      <c r="G148" s="4"/>
      <c r="H148" s="5"/>
      <c r="I148" s="1"/>
    </row>
    <row r="149" spans="2:9" x14ac:dyDescent="0.25">
      <c r="B149" s="3"/>
      <c r="C149" s="3"/>
      <c r="D149" s="2"/>
      <c r="E149" s="3"/>
      <c r="F149" s="32"/>
      <c r="G149" s="4"/>
      <c r="H149" s="5"/>
      <c r="I149" s="1"/>
    </row>
    <row r="150" spans="2:9" x14ac:dyDescent="0.25">
      <c r="B150" s="3"/>
      <c r="C150" s="3"/>
      <c r="D150" s="2"/>
      <c r="E150" s="3"/>
      <c r="F150" s="32"/>
      <c r="G150" s="4"/>
      <c r="H150" s="5"/>
      <c r="I150" s="1"/>
    </row>
    <row r="151" spans="2:9" x14ac:dyDescent="0.25">
      <c r="B151" s="3"/>
      <c r="C151" s="3"/>
      <c r="D151" s="2"/>
      <c r="E151" s="3"/>
      <c r="F151" s="32"/>
      <c r="G151" s="4"/>
      <c r="H151" s="5"/>
      <c r="I151" s="1"/>
    </row>
    <row r="152" spans="2:9" x14ac:dyDescent="0.25">
      <c r="B152" s="3"/>
      <c r="C152" s="3"/>
      <c r="D152" s="2"/>
      <c r="E152" s="3"/>
      <c r="F152" s="32"/>
      <c r="G152" s="4"/>
      <c r="H152" s="5"/>
      <c r="I152" s="1"/>
    </row>
    <row r="153" spans="2:9" x14ac:dyDescent="0.25">
      <c r="B153" s="3"/>
      <c r="C153" s="3"/>
      <c r="D153" s="2"/>
      <c r="E153" s="3"/>
      <c r="F153" s="32"/>
      <c r="G153" s="4"/>
      <c r="H153" s="5"/>
      <c r="I153" s="1"/>
    </row>
    <row r="154" spans="2:9" x14ac:dyDescent="0.25">
      <c r="B154" s="3"/>
      <c r="C154" s="3"/>
      <c r="D154" s="2"/>
      <c r="E154" s="3"/>
      <c r="F154" s="32"/>
      <c r="G154" s="4"/>
      <c r="H154" s="5"/>
      <c r="I154" s="1"/>
    </row>
    <row r="155" spans="2:9" x14ac:dyDescent="0.25">
      <c r="B155" s="3"/>
      <c r="C155" s="3"/>
      <c r="D155" s="2"/>
      <c r="E155" s="3"/>
      <c r="F155" s="32"/>
      <c r="G155" s="4"/>
      <c r="H155" s="5"/>
      <c r="I155" s="1"/>
    </row>
    <row r="156" spans="2:9" x14ac:dyDescent="0.25">
      <c r="B156" s="3"/>
      <c r="C156" s="3"/>
      <c r="D156" s="2"/>
      <c r="E156" s="3"/>
      <c r="F156" s="32"/>
      <c r="G156" s="4"/>
      <c r="H156" s="5"/>
      <c r="I156" s="1"/>
    </row>
    <row r="157" spans="2:9" x14ac:dyDescent="0.25">
      <c r="B157" s="3"/>
      <c r="C157" s="3"/>
      <c r="D157" s="2"/>
      <c r="E157" s="3"/>
      <c r="F157" s="32"/>
      <c r="G157" s="4"/>
      <c r="H157" s="5"/>
      <c r="I157" s="1"/>
    </row>
    <row r="158" spans="2:9" x14ac:dyDescent="0.25">
      <c r="B158" s="3"/>
      <c r="C158" s="3"/>
      <c r="D158" s="2"/>
      <c r="E158" s="3"/>
      <c r="F158" s="32"/>
      <c r="G158" s="4"/>
      <c r="H158" s="5"/>
      <c r="I158" s="1"/>
    </row>
    <row r="159" spans="2:9" x14ac:dyDescent="0.25">
      <c r="B159" s="3"/>
      <c r="C159" s="3"/>
      <c r="D159" s="2"/>
      <c r="E159" s="3"/>
      <c r="F159" s="32"/>
      <c r="G159" s="4"/>
      <c r="H159" s="5"/>
      <c r="I159" s="1"/>
    </row>
    <row r="160" spans="2:9" x14ac:dyDescent="0.25">
      <c r="B160" s="3"/>
      <c r="C160" s="3"/>
      <c r="D160" s="2"/>
      <c r="E160" s="3"/>
      <c r="F160" s="32"/>
      <c r="G160" s="4"/>
      <c r="H160" s="5"/>
      <c r="I160" s="1"/>
    </row>
    <row r="161" spans="2:9" x14ac:dyDescent="0.25">
      <c r="B161" s="3"/>
      <c r="C161" s="3"/>
      <c r="D161" s="2"/>
      <c r="E161" s="3"/>
      <c r="F161" s="32"/>
      <c r="G161" s="4"/>
      <c r="H161" s="5"/>
      <c r="I161" s="1"/>
    </row>
    <row r="162" spans="2:9" x14ac:dyDescent="0.25">
      <c r="B162" s="3"/>
      <c r="C162" s="3"/>
      <c r="D162" s="2"/>
      <c r="E162" s="3"/>
      <c r="F162" s="32"/>
      <c r="G162" s="4"/>
      <c r="H162" s="5"/>
      <c r="I162" s="1"/>
    </row>
    <row r="163" spans="2:9" x14ac:dyDescent="0.25">
      <c r="B163" s="3"/>
      <c r="C163" s="3"/>
      <c r="D163" s="2"/>
      <c r="E163" s="3"/>
      <c r="F163" s="32"/>
      <c r="G163" s="4"/>
      <c r="H163" s="5"/>
      <c r="I163" s="1"/>
    </row>
    <row r="164" spans="2:9" x14ac:dyDescent="0.25">
      <c r="B164" s="3"/>
      <c r="C164" s="3"/>
      <c r="D164" s="2"/>
      <c r="E164" s="3"/>
      <c r="F164" s="32"/>
      <c r="G164" s="4"/>
      <c r="H164" s="5"/>
      <c r="I164" s="1"/>
    </row>
    <row r="165" spans="2:9" x14ac:dyDescent="0.25">
      <c r="B165" s="3"/>
      <c r="C165" s="3"/>
      <c r="D165" s="2"/>
      <c r="E165" s="3"/>
      <c r="F165" s="32"/>
      <c r="G165" s="4"/>
      <c r="H165" s="5"/>
      <c r="I165" s="1"/>
    </row>
    <row r="166" spans="2:9" x14ac:dyDescent="0.25">
      <c r="B166" s="3"/>
      <c r="C166" s="3"/>
      <c r="D166" s="2"/>
      <c r="E166" s="3"/>
      <c r="F166" s="32"/>
      <c r="G166" s="4"/>
      <c r="H166" s="5"/>
      <c r="I166" s="1"/>
    </row>
    <row r="167" spans="2:9" x14ac:dyDescent="0.25">
      <c r="B167" s="3"/>
      <c r="C167" s="3"/>
      <c r="D167" s="2"/>
      <c r="E167" s="3"/>
      <c r="F167" s="32"/>
      <c r="G167" s="4"/>
      <c r="H167" s="5"/>
      <c r="I167" s="1"/>
    </row>
    <row r="168" spans="2:9" x14ac:dyDescent="0.25">
      <c r="B168" s="3"/>
      <c r="C168" s="3"/>
      <c r="D168" s="2"/>
      <c r="E168" s="3"/>
      <c r="F168" s="32"/>
      <c r="G168" s="4"/>
      <c r="H168" s="5"/>
      <c r="I168" s="1"/>
    </row>
    <row r="169" spans="2:9" x14ac:dyDescent="0.25">
      <c r="B169" s="3"/>
      <c r="C169" s="3"/>
      <c r="D169" s="2"/>
      <c r="E169" s="3"/>
      <c r="F169" s="32"/>
      <c r="G169" s="4"/>
      <c r="H169" s="5"/>
      <c r="I169" s="1"/>
    </row>
    <row r="170" spans="2:9" x14ac:dyDescent="0.25">
      <c r="B170" s="3"/>
      <c r="C170" s="3"/>
      <c r="D170" s="2"/>
      <c r="E170" s="3"/>
      <c r="F170" s="32"/>
      <c r="G170" s="4"/>
      <c r="H170" s="5"/>
      <c r="I170" s="1"/>
    </row>
    <row r="171" spans="2:9" x14ac:dyDescent="0.25">
      <c r="B171" s="3"/>
      <c r="C171" s="3"/>
      <c r="D171" s="2"/>
      <c r="E171" s="3"/>
      <c r="F171" s="32"/>
      <c r="G171" s="4"/>
      <c r="H171" s="5"/>
      <c r="I171" s="1"/>
    </row>
    <row r="172" spans="2:9" x14ac:dyDescent="0.25">
      <c r="B172" s="3"/>
      <c r="C172" s="3"/>
      <c r="D172" s="2"/>
      <c r="E172" s="3"/>
      <c r="F172" s="32"/>
      <c r="G172" s="4"/>
      <c r="H172" s="5"/>
      <c r="I172" s="1"/>
    </row>
    <row r="173" spans="2:9" x14ac:dyDescent="0.25">
      <c r="B173" s="3"/>
      <c r="C173" s="3"/>
      <c r="D173" s="2"/>
      <c r="E173" s="3"/>
      <c r="F173" s="32"/>
      <c r="G173" s="4"/>
      <c r="H173" s="5"/>
      <c r="I173" s="1"/>
    </row>
    <row r="174" spans="2:9" x14ac:dyDescent="0.25">
      <c r="B174" s="3"/>
      <c r="C174" s="3"/>
      <c r="D174" s="2"/>
      <c r="E174" s="3"/>
      <c r="F174" s="32"/>
      <c r="G174" s="4"/>
      <c r="H174" s="5"/>
      <c r="I174" s="1"/>
    </row>
    <row r="175" spans="2:9" x14ac:dyDescent="0.25">
      <c r="B175" s="3"/>
      <c r="C175" s="3"/>
      <c r="D175" s="2"/>
      <c r="E175" s="3"/>
      <c r="F175" s="32"/>
      <c r="G175" s="4"/>
      <c r="H175" s="5"/>
      <c r="I175" s="1"/>
    </row>
    <row r="176" spans="2:9" x14ac:dyDescent="0.25">
      <c r="B176" s="3"/>
      <c r="C176" s="3"/>
      <c r="D176" s="2"/>
      <c r="E176" s="3"/>
      <c r="F176" s="32"/>
      <c r="G176" s="4"/>
      <c r="H176" s="5"/>
      <c r="I176" s="1"/>
    </row>
    <row r="177" spans="2:9" x14ac:dyDescent="0.25">
      <c r="B177" s="3"/>
      <c r="C177" s="3"/>
      <c r="D177" s="2"/>
      <c r="E177" s="3"/>
      <c r="F177" s="32"/>
      <c r="G177" s="4"/>
      <c r="H177" s="5"/>
      <c r="I177" s="1"/>
    </row>
    <row r="178" spans="2:9" x14ac:dyDescent="0.25">
      <c r="B178" s="3"/>
      <c r="C178" s="3"/>
      <c r="D178" s="2"/>
      <c r="E178" s="3"/>
      <c r="F178" s="32"/>
      <c r="G178" s="4"/>
      <c r="H178" s="5"/>
      <c r="I178" s="1"/>
    </row>
    <row r="179" spans="2:9" x14ac:dyDescent="0.25">
      <c r="B179" s="3"/>
      <c r="C179" s="3"/>
      <c r="D179" s="2"/>
      <c r="E179" s="3"/>
      <c r="F179" s="32"/>
      <c r="G179" s="4"/>
      <c r="H179" s="5"/>
      <c r="I179" s="1"/>
    </row>
    <row r="180" spans="2:9" x14ac:dyDescent="0.25">
      <c r="B180" s="3"/>
      <c r="C180" s="3"/>
      <c r="D180" s="2"/>
      <c r="E180" s="3"/>
      <c r="F180" s="32"/>
      <c r="G180" s="4"/>
      <c r="H180" s="5"/>
      <c r="I180" s="1"/>
    </row>
    <row r="181" spans="2:9" x14ac:dyDescent="0.25">
      <c r="B181" s="3"/>
      <c r="C181" s="3"/>
      <c r="D181" s="2"/>
      <c r="E181" s="3"/>
      <c r="F181" s="32"/>
      <c r="G181" s="4"/>
      <c r="H181" s="5"/>
      <c r="I181" s="1"/>
    </row>
    <row r="182" spans="2:9" x14ac:dyDescent="0.25">
      <c r="B182" s="3"/>
      <c r="C182" s="3"/>
      <c r="D182" s="2"/>
      <c r="E182" s="3"/>
      <c r="F182" s="32"/>
      <c r="G182" s="4"/>
      <c r="H182" s="5"/>
      <c r="I182" s="1"/>
    </row>
    <row r="183" spans="2:9" x14ac:dyDescent="0.25">
      <c r="B183" s="3"/>
      <c r="C183" s="3"/>
      <c r="D183" s="2"/>
      <c r="E183" s="3"/>
      <c r="F183" s="32"/>
      <c r="G183" s="4"/>
      <c r="H183" s="5"/>
      <c r="I183" s="1"/>
    </row>
    <row r="184" spans="2:9" x14ac:dyDescent="0.25">
      <c r="B184" s="3"/>
      <c r="C184" s="3"/>
      <c r="D184" s="2"/>
      <c r="E184" s="3"/>
      <c r="F184" s="32"/>
      <c r="G184" s="4"/>
      <c r="H184" s="5"/>
      <c r="I184" s="1"/>
    </row>
    <row r="185" spans="2:9" x14ac:dyDescent="0.25">
      <c r="B185" s="3"/>
      <c r="C185" s="3"/>
      <c r="D185" s="2"/>
      <c r="E185" s="3"/>
      <c r="F185" s="32"/>
      <c r="G185" s="4"/>
      <c r="H185" s="5"/>
      <c r="I185" s="1"/>
    </row>
    <row r="186" spans="2:9" x14ac:dyDescent="0.25">
      <c r="B186" s="3"/>
      <c r="C186" s="3"/>
      <c r="D186" s="2"/>
      <c r="E186" s="3"/>
      <c r="F186" s="32"/>
      <c r="G186" s="4"/>
      <c r="H186" s="5"/>
      <c r="I186" s="1"/>
    </row>
    <row r="187" spans="2:9" x14ac:dyDescent="0.25">
      <c r="B187" s="3"/>
      <c r="C187" s="3"/>
      <c r="D187" s="2"/>
      <c r="E187" s="3"/>
      <c r="F187" s="32"/>
      <c r="G187" s="4"/>
      <c r="H187" s="5"/>
      <c r="I187" s="1"/>
    </row>
    <row r="188" spans="2:9" x14ac:dyDescent="0.25">
      <c r="B188" s="3"/>
      <c r="C188" s="3"/>
      <c r="D188" s="2"/>
      <c r="E188" s="3"/>
      <c r="F188" s="32"/>
      <c r="G188" s="4"/>
      <c r="H188" s="5"/>
      <c r="I188" s="1"/>
    </row>
    <row r="189" spans="2:9" x14ac:dyDescent="0.25">
      <c r="B189" s="3"/>
      <c r="C189" s="3"/>
      <c r="D189" s="2"/>
      <c r="E189" s="3"/>
      <c r="F189" s="32"/>
      <c r="G189" s="4"/>
      <c r="H189" s="5"/>
      <c r="I189" s="1"/>
    </row>
    <row r="190" spans="2:9" x14ac:dyDescent="0.25">
      <c r="B190" s="3"/>
      <c r="C190" s="3"/>
      <c r="D190" s="2"/>
      <c r="E190" s="3"/>
      <c r="F190" s="32"/>
      <c r="G190" s="4"/>
      <c r="H190" s="5"/>
      <c r="I190" s="1"/>
    </row>
    <row r="191" spans="2:9" x14ac:dyDescent="0.25">
      <c r="B191" s="3"/>
      <c r="C191" s="3"/>
      <c r="D191" s="2"/>
      <c r="E191" s="3"/>
      <c r="F191" s="32"/>
      <c r="G191" s="4"/>
      <c r="H191" s="5"/>
      <c r="I191" s="1"/>
    </row>
    <row r="192" spans="2:9" x14ac:dyDescent="0.25">
      <c r="B192" s="3"/>
      <c r="C192" s="3"/>
      <c r="D192" s="2"/>
      <c r="E192" s="3"/>
      <c r="F192" s="32"/>
      <c r="G192" s="4"/>
      <c r="H192" s="5"/>
      <c r="I192" s="1"/>
    </row>
    <row r="193" spans="2:9" x14ac:dyDescent="0.25">
      <c r="B193" s="3"/>
      <c r="C193" s="3"/>
      <c r="D193" s="2"/>
      <c r="E193" s="3"/>
      <c r="F193" s="32"/>
      <c r="G193" s="4"/>
      <c r="H193" s="5"/>
      <c r="I193" s="1"/>
    </row>
    <row r="194" spans="2:9" x14ac:dyDescent="0.25">
      <c r="B194" s="3"/>
      <c r="C194" s="3"/>
      <c r="D194" s="2"/>
      <c r="E194" s="3"/>
      <c r="F194" s="32"/>
      <c r="G194" s="4"/>
      <c r="H194" s="5"/>
      <c r="I194" s="1"/>
    </row>
    <row r="195" spans="2:9" x14ac:dyDescent="0.25">
      <c r="B195" s="3"/>
      <c r="C195" s="3"/>
      <c r="D195" s="2"/>
      <c r="E195" s="3"/>
      <c r="F195" s="32"/>
      <c r="G195" s="4"/>
      <c r="H195" s="5"/>
      <c r="I195" s="1"/>
    </row>
    <row r="196" spans="2:9" x14ac:dyDescent="0.25">
      <c r="B196" s="3"/>
      <c r="C196" s="3"/>
      <c r="D196" s="2"/>
      <c r="E196" s="3"/>
      <c r="F196" s="32"/>
      <c r="G196" s="4"/>
      <c r="H196" s="5"/>
      <c r="I196" s="1"/>
    </row>
    <row r="197" spans="2:9" x14ac:dyDescent="0.25">
      <c r="B197" s="3"/>
      <c r="C197" s="3"/>
      <c r="D197" s="2"/>
      <c r="E197" s="3"/>
      <c r="F197" s="32"/>
      <c r="G197" s="4"/>
      <c r="H197" s="5"/>
      <c r="I197" s="1"/>
    </row>
    <row r="198" spans="2:9" x14ac:dyDescent="0.25">
      <c r="B198" s="3"/>
      <c r="C198" s="3"/>
      <c r="D198" s="2"/>
      <c r="E198" s="3"/>
      <c r="F198" s="32"/>
      <c r="G198" s="4"/>
      <c r="H198" s="5"/>
      <c r="I198" s="1"/>
    </row>
    <row r="199" spans="2:9" x14ac:dyDescent="0.25">
      <c r="B199" s="3"/>
      <c r="C199" s="3"/>
      <c r="D199" s="2"/>
      <c r="E199" s="3"/>
      <c r="F199" s="32"/>
      <c r="G199" s="4"/>
      <c r="H199" s="5"/>
      <c r="I199" s="1"/>
    </row>
    <row r="200" spans="2:9" x14ac:dyDescent="0.25">
      <c r="B200" s="3"/>
      <c r="C200" s="3"/>
      <c r="D200" s="2"/>
      <c r="E200" s="3"/>
      <c r="F200" s="32"/>
      <c r="G200" s="4"/>
      <c r="H200" s="5"/>
      <c r="I200" s="1"/>
    </row>
    <row r="201" spans="2:9" x14ac:dyDescent="0.25">
      <c r="B201" s="3"/>
      <c r="C201" s="3"/>
      <c r="D201" s="2"/>
      <c r="E201" s="3"/>
      <c r="F201" s="32"/>
      <c r="G201" s="4"/>
      <c r="H201" s="5"/>
      <c r="I201" s="1"/>
    </row>
    <row r="202" spans="2:9" x14ac:dyDescent="0.25">
      <c r="B202" s="3"/>
      <c r="C202" s="3"/>
      <c r="D202" s="2"/>
      <c r="E202" s="3"/>
      <c r="F202" s="32"/>
      <c r="G202" s="4"/>
      <c r="H202" s="5"/>
      <c r="I202" s="1"/>
    </row>
    <row r="203" spans="2:9" x14ac:dyDescent="0.25">
      <c r="B203" s="3"/>
      <c r="C203" s="3"/>
      <c r="D203" s="2"/>
      <c r="E203" s="3"/>
      <c r="F203" s="32"/>
      <c r="G203" s="4"/>
      <c r="H203" s="5"/>
      <c r="I203" s="1"/>
    </row>
    <row r="204" spans="2:9" x14ac:dyDescent="0.25">
      <c r="B204" s="3"/>
      <c r="C204" s="3"/>
      <c r="D204" s="2"/>
      <c r="E204" s="3"/>
      <c r="F204" s="32"/>
      <c r="G204" s="4"/>
      <c r="H204" s="5"/>
      <c r="I204" s="1"/>
    </row>
    <row r="205" spans="2:9" x14ac:dyDescent="0.25">
      <c r="B205" s="3"/>
      <c r="C205" s="3"/>
      <c r="D205" s="2"/>
      <c r="E205" s="3"/>
      <c r="F205" s="32"/>
      <c r="G205" s="4"/>
      <c r="H205" s="5"/>
      <c r="I205" s="1"/>
    </row>
    <row r="206" spans="2:9" x14ac:dyDescent="0.25">
      <c r="B206" s="3"/>
      <c r="C206" s="3"/>
      <c r="D206" s="2"/>
      <c r="E206" s="3"/>
      <c r="F206" s="32"/>
      <c r="G206" s="4"/>
      <c r="H206" s="5"/>
      <c r="I206" s="1"/>
    </row>
    <row r="207" spans="2:9" x14ac:dyDescent="0.25">
      <c r="B207" s="3"/>
      <c r="C207" s="3"/>
      <c r="D207" s="2"/>
      <c r="E207" s="3"/>
      <c r="F207" s="32"/>
      <c r="G207" s="4"/>
      <c r="H207" s="5"/>
      <c r="I207" s="1"/>
    </row>
    <row r="208" spans="2:9" x14ac:dyDescent="0.25">
      <c r="B208" s="3"/>
      <c r="C208" s="3"/>
      <c r="D208" s="2"/>
      <c r="E208" s="3"/>
      <c r="F208" s="32"/>
      <c r="G208" s="4"/>
      <c r="H208" s="5"/>
      <c r="I208" s="1"/>
    </row>
    <row r="209" spans="2:9" x14ac:dyDescent="0.25">
      <c r="B209" s="3"/>
      <c r="C209" s="3"/>
      <c r="D209" s="2"/>
      <c r="E209" s="3"/>
      <c r="F209" s="32"/>
      <c r="G209" s="4"/>
      <c r="H209" s="5"/>
      <c r="I209" s="1"/>
    </row>
    <row r="210" spans="2:9" x14ac:dyDescent="0.25">
      <c r="B210" s="3"/>
      <c r="C210" s="3"/>
      <c r="D210" s="2"/>
      <c r="E210" s="3"/>
      <c r="F210" s="32"/>
      <c r="G210" s="4"/>
      <c r="H210" s="5"/>
      <c r="I210" s="1"/>
    </row>
    <row r="211" spans="2:9" x14ac:dyDescent="0.25">
      <c r="B211" s="3"/>
      <c r="C211" s="3"/>
      <c r="D211" s="2"/>
      <c r="E211" s="3"/>
      <c r="F211" s="32"/>
      <c r="G211" s="4"/>
      <c r="H211" s="5"/>
      <c r="I211" s="1"/>
    </row>
    <row r="212" spans="2:9" x14ac:dyDescent="0.25">
      <c r="B212" s="3"/>
      <c r="C212" s="3"/>
      <c r="D212" s="2"/>
      <c r="E212" s="3"/>
      <c r="F212" s="32"/>
      <c r="G212" s="4"/>
      <c r="H212" s="5"/>
      <c r="I212" s="1"/>
    </row>
    <row r="213" spans="2:9" x14ac:dyDescent="0.25">
      <c r="B213" s="3"/>
      <c r="C213" s="3"/>
      <c r="D213" s="2"/>
      <c r="E213" s="3"/>
      <c r="F213" s="32"/>
      <c r="G213" s="4"/>
      <c r="H213" s="5"/>
      <c r="I213" s="1"/>
    </row>
    <row r="214" spans="2:9" x14ac:dyDescent="0.25">
      <c r="B214" s="3"/>
      <c r="C214" s="3"/>
      <c r="D214" s="2"/>
      <c r="E214" s="3"/>
      <c r="F214" s="32"/>
      <c r="G214" s="4"/>
      <c r="H214" s="5"/>
      <c r="I214" s="1"/>
    </row>
    <row r="215" spans="2:9" x14ac:dyDescent="0.25">
      <c r="B215" s="3"/>
      <c r="C215" s="3"/>
      <c r="D215" s="2"/>
      <c r="E215" s="3"/>
      <c r="F215" s="32"/>
      <c r="G215" s="4"/>
      <c r="H215" s="5"/>
      <c r="I215" s="1"/>
    </row>
    <row r="216" spans="2:9" x14ac:dyDescent="0.25">
      <c r="B216" s="3"/>
      <c r="C216" s="3"/>
      <c r="D216" s="2"/>
      <c r="E216" s="3"/>
      <c r="F216" s="32"/>
      <c r="G216" s="4"/>
      <c r="H216" s="5"/>
      <c r="I216" s="1"/>
    </row>
    <row r="217" spans="2:9" x14ac:dyDescent="0.25">
      <c r="B217" s="3"/>
      <c r="C217" s="3"/>
      <c r="D217" s="2"/>
      <c r="E217" s="3"/>
      <c r="F217" s="32"/>
      <c r="G217" s="4"/>
      <c r="H217" s="5"/>
      <c r="I217" s="1"/>
    </row>
    <row r="218" spans="2:9" x14ac:dyDescent="0.25">
      <c r="B218" s="3"/>
      <c r="C218" s="3"/>
      <c r="D218" s="2"/>
      <c r="E218" s="3"/>
      <c r="F218" s="32"/>
      <c r="G218" s="4"/>
      <c r="H218" s="5"/>
      <c r="I218" s="1"/>
    </row>
    <row r="219" spans="2:9" x14ac:dyDescent="0.25">
      <c r="B219" s="3"/>
      <c r="C219" s="3"/>
      <c r="D219" s="2"/>
      <c r="E219" s="3"/>
      <c r="F219" s="32"/>
      <c r="G219" s="4"/>
      <c r="H219" s="5"/>
      <c r="I219" s="1"/>
    </row>
    <row r="220" spans="2:9" x14ac:dyDescent="0.25">
      <c r="B220" s="3"/>
      <c r="C220" s="3"/>
      <c r="D220" s="2"/>
      <c r="E220" s="3"/>
      <c r="F220" s="32"/>
      <c r="G220" s="4"/>
      <c r="H220" s="5"/>
      <c r="I220" s="1"/>
    </row>
    <row r="221" spans="2:9" x14ac:dyDescent="0.25">
      <c r="B221" s="3"/>
      <c r="C221" s="3"/>
      <c r="D221" s="2"/>
      <c r="E221" s="3"/>
      <c r="F221" s="32"/>
      <c r="G221" s="4"/>
      <c r="H221" s="5"/>
      <c r="I221" s="1"/>
    </row>
    <row r="222" spans="2:9" x14ac:dyDescent="0.25">
      <c r="B222" s="3"/>
      <c r="C222" s="3"/>
      <c r="D222" s="2"/>
      <c r="E222" s="3"/>
      <c r="F222" s="32"/>
      <c r="G222" s="4"/>
      <c r="H222" s="5"/>
      <c r="I222" s="1"/>
    </row>
  </sheetData>
  <mergeCells count="8">
    <mergeCell ref="B11:I11"/>
    <mergeCell ref="B59:I59"/>
    <mergeCell ref="B39:I39"/>
    <mergeCell ref="B32:I32"/>
    <mergeCell ref="B13:I13"/>
    <mergeCell ref="B30:I30"/>
    <mergeCell ref="B47:I47"/>
    <mergeCell ref="B56:I56"/>
  </mergeCells>
  <phoneticPr fontId="7" type="noConversion"/>
  <pageMargins left="0.7" right="0.7" top="0.75" bottom="0.75" header="0.3" footer="0.3"/>
  <pageSetup paperSize="9" scale="1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5452-E4FC-4CAC-BB8D-E0466DE9DA15}">
  <dimension ref="A4:H4"/>
  <sheetViews>
    <sheetView workbookViewId="0">
      <selection activeCell="I11" sqref="I11"/>
    </sheetView>
  </sheetViews>
  <sheetFormatPr defaultRowHeight="15" x14ac:dyDescent="0.25"/>
  <cols>
    <col min="1" max="1" width="10.28515625" bestFit="1" customWidth="1"/>
    <col min="2" max="3" width="17.85546875" bestFit="1" customWidth="1"/>
    <col min="4" max="4" width="11.42578125" bestFit="1" customWidth="1"/>
    <col min="5" max="5" width="60.28515625" bestFit="1" customWidth="1"/>
    <col min="6" max="6" width="15.5703125" bestFit="1" customWidth="1"/>
    <col min="7" max="7" width="12.5703125" bestFit="1" customWidth="1"/>
    <col min="8" max="8" width="21.7109375" bestFit="1" customWidth="1"/>
  </cols>
  <sheetData>
    <row r="4" spans="1:8" ht="26.25" x14ac:dyDescent="0.4">
      <c r="A4" s="25" t="s">
        <v>96</v>
      </c>
      <c r="B4" s="26">
        <v>80616390</v>
      </c>
      <c r="C4" s="27" t="s">
        <v>92</v>
      </c>
      <c r="D4" s="26" t="s">
        <v>93</v>
      </c>
      <c r="E4" s="26" t="s">
        <v>94</v>
      </c>
      <c r="F4" s="28">
        <v>0.35899999999999999</v>
      </c>
      <c r="G4" s="29">
        <v>11000</v>
      </c>
      <c r="H4" s="3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iptaller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cp:lastPrinted>2023-01-16T08:36:38Z</cp:lastPrinted>
  <dcterms:created xsi:type="dcterms:W3CDTF">2017-12-05T14:03:28Z</dcterms:created>
  <dcterms:modified xsi:type="dcterms:W3CDTF">2026-03-13T11:27:07Z</dcterms:modified>
</cp:coreProperties>
</file>