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B15B09EE-5D37-44B6-9499-5FA5C1861F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4" r:id="rId2"/>
    <sheet name="Sayfa3" sheetId="5" r:id="rId3"/>
  </sheets>
  <definedNames>
    <definedName name="_xlnm._FilterDatabase" localSheetId="1" hidden="1">Sayfa2!$B$7:$H$118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7" i="1" l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186" i="1"/>
  <c r="K232" i="1" l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42" i="1"/>
  <c r="K184" i="1" l="1"/>
  <c r="J136" i="1"/>
  <c r="J137" i="1"/>
  <c r="J138" i="1"/>
  <c r="J139" i="1"/>
  <c r="J140" i="1"/>
  <c r="J89" i="1" l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88" i="1"/>
  <c r="K140" i="1" l="1"/>
  <c r="J51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50" i="1"/>
  <c r="L86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8" i="1"/>
  <c r="K51" i="1" s="1"/>
  <c r="L9" i="4" l="1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8" i="4"/>
  <c r="L7" i="4"/>
</calcChain>
</file>

<file path=xl/sharedStrings.xml><?xml version="1.0" encoding="utf-8"?>
<sst xmlns="http://schemas.openxmlformats.org/spreadsheetml/2006/main" count="675" uniqueCount="284">
  <si>
    <t>ISKA CODE</t>
  </si>
  <si>
    <t>DESC. OF GOOD</t>
  </si>
  <si>
    <t>PRICE</t>
  </si>
  <si>
    <t>QUANTITIY</t>
  </si>
  <si>
    <t>NOTES</t>
  </si>
  <si>
    <t>NETSIS</t>
  </si>
  <si>
    <t>30 gün vade</t>
  </si>
  <si>
    <t>GUFERO NO</t>
  </si>
  <si>
    <t>GUFERO CODE</t>
  </si>
  <si>
    <t xml:space="preserve">Adetlerin tutanağı tutulacak </t>
  </si>
  <si>
    <t>DAP</t>
  </si>
  <si>
    <t>D-NR-55-WH-20*10-M6*15</t>
  </si>
  <si>
    <t>E-NR-55-WH-30*20-M10</t>
  </si>
  <si>
    <t>A-NR-55-WH-30*20-M8*20</t>
  </si>
  <si>
    <t>A-NR-55-WH-20*15-M5*15</t>
  </si>
  <si>
    <t>A-NR-55-WH-20*20-M6*10</t>
  </si>
  <si>
    <t>A-NR-55-WH-25*20-M8*18</t>
  </si>
  <si>
    <t>A-NR-55-WH-25*22-M8*13</t>
  </si>
  <si>
    <t>B-NR-55-WH-65*35-M10*18-M10</t>
  </si>
  <si>
    <t>DP-NR-55-WH-35*35-M8*16</t>
  </si>
  <si>
    <t>A-NR-55-WH-35*25-M8*18</t>
  </si>
  <si>
    <t>C-NR-55-WH-50*28-M10</t>
  </si>
  <si>
    <t>D-NR-55-WH-12*3,5-M5*15</t>
  </si>
  <si>
    <t>A-NR-55-WH-40*30-M8*25</t>
  </si>
  <si>
    <t>D-NR-55-WH-20*10-M6*18</t>
  </si>
  <si>
    <t>D-NR-55-WH-25*30-M6*18</t>
  </si>
  <si>
    <t>D-NR-55-WH-40*30-M8*20</t>
  </si>
  <si>
    <t>D-NR-55-WH-30*30-M8*20</t>
  </si>
  <si>
    <t>A-NR-55-WH-20*25-M6*15</t>
  </si>
  <si>
    <t>A-NR-55-WH-25*20-M6*12</t>
  </si>
  <si>
    <t>A-NR-55-WH-25*20-M6*15</t>
  </si>
  <si>
    <t>A-NR-55-WH-25*20-M8*25</t>
  </si>
  <si>
    <t>A-NR-55-WH-30*20-M8*15</t>
  </si>
  <si>
    <t>A-NR-55-WH-36*26 (35 -25)-M8*22 + M8*10</t>
  </si>
  <si>
    <t>A-NR-55-WH-40*25-M8*23</t>
  </si>
  <si>
    <t>A-NR-55-WH-60*35-M10*25</t>
  </si>
  <si>
    <t>C-NR-55-WH-25*25-M6</t>
  </si>
  <si>
    <t>C-NR-55-WH-25*30-M8</t>
  </si>
  <si>
    <t>D-NR-55-WH-15*10-M5*10</t>
  </si>
  <si>
    <t>D-NR-55-WH-25*10-M6*12</t>
  </si>
  <si>
    <t>D-NR-55-WH-30*17-M6*18</t>
  </si>
  <si>
    <t>D-NR-55-WH-40*25-M8*20</t>
  </si>
  <si>
    <t>D-NR-55-WH-50*12-M10*23</t>
  </si>
  <si>
    <t>KD-NR-55-WH-25*17-M6*20</t>
  </si>
  <si>
    <t>B-NR-55-WH-25*15-M6*18 -M6</t>
  </si>
  <si>
    <t>B-NR-55-WH-30*25-M8*18-M8</t>
  </si>
  <si>
    <t>B-NR-55-WH-40*15-M8*20-M8</t>
  </si>
  <si>
    <t>B-NR-55-WH-40*20-M8*15-M8</t>
  </si>
  <si>
    <t>B-NR-55-WH-40*25-M10*18-M10</t>
  </si>
  <si>
    <t>B-NR-55-WH-70*45-M12*37-M12</t>
  </si>
  <si>
    <t>2/2024</t>
  </si>
  <si>
    <t>A-NR-55-WH-20*20-M6*20</t>
  </si>
  <si>
    <t>A-NR-55-WH-25*20-M6*20</t>
  </si>
  <si>
    <t>A-NR-55-WH-30*20-M8*18</t>
  </si>
  <si>
    <t xml:space="preserve">A-NR-55-WH-30*30-M8*20 </t>
  </si>
  <si>
    <t>A-NR-55-WH-35*25-M8*16</t>
  </si>
  <si>
    <t>A-NR-55-WH-40*24-M8*15-M8*23</t>
  </si>
  <si>
    <t>A-NR-55-WH-40*30-M10*28</t>
  </si>
  <si>
    <t>A-NR-55-WH-40*40-M8*23</t>
  </si>
  <si>
    <t>A-NR-55-WH-50*40-M10*18</t>
  </si>
  <si>
    <t>A-NR-55-WH-50*40-M10*25</t>
  </si>
  <si>
    <t>A-NR-55-WH-50*40-M10*28</t>
  </si>
  <si>
    <t>B-NR-55-WH-20*10-M6*15-M6</t>
  </si>
  <si>
    <t>B-NR-55-WH-25*20-M6*15-M6</t>
  </si>
  <si>
    <t>B-NR-55-WH-30*20-M8*18-M8</t>
  </si>
  <si>
    <t>B-NR-55-WH-30*20-M8*23-M8</t>
  </si>
  <si>
    <t>B-NR-55-WH-30*22-M8*15-M8</t>
  </si>
  <si>
    <t>B-NR-55-WH-40*40-M8*23-M8</t>
  </si>
  <si>
    <t>B-NR-55-WH-40*40-M8*33-M8</t>
  </si>
  <si>
    <t>B-NR-55-WH-50*20-M12*43-M12</t>
  </si>
  <si>
    <t>B-NR-55-WH-75*30-M12*37-M12</t>
  </si>
  <si>
    <t>D-NR-55-WH-30*20-M8*23</t>
  </si>
  <si>
    <t>D-NR-55-WH-40*20-M8*20</t>
  </si>
  <si>
    <t>D-NR-55-WH-50*25-M10*25</t>
  </si>
  <si>
    <t>D-NR-55-WH-50*30-M10*28</t>
  </si>
  <si>
    <t>D-NR-55-WH-60*50-M10*25</t>
  </si>
  <si>
    <t>DP-NR-55-WH-70*70-M12*24</t>
  </si>
  <si>
    <t>T2572</t>
  </si>
  <si>
    <t>T3085</t>
  </si>
  <si>
    <t>T1955</t>
  </si>
  <si>
    <t>T3198</t>
  </si>
  <si>
    <t>T2826</t>
  </si>
  <si>
    <t>T2905</t>
  </si>
  <si>
    <t>T2573</t>
  </si>
  <si>
    <t>T1910</t>
  </si>
  <si>
    <t>T2575</t>
  </si>
  <si>
    <t>T3203</t>
  </si>
  <si>
    <t>T2949</t>
  </si>
  <si>
    <t>T2984</t>
  </si>
  <si>
    <t>T3169</t>
  </si>
  <si>
    <t>T3092</t>
  </si>
  <si>
    <t>T2896</t>
  </si>
  <si>
    <t>T3820</t>
  </si>
  <si>
    <t>T3259</t>
  </si>
  <si>
    <t>B-NR-55-WH-50*30-M10*28-M10</t>
  </si>
  <si>
    <t>T2831</t>
  </si>
  <si>
    <t>T2187</t>
  </si>
  <si>
    <t>T3177</t>
  </si>
  <si>
    <t>T3255</t>
  </si>
  <si>
    <t>T3596</t>
  </si>
  <si>
    <t>T2106</t>
  </si>
  <si>
    <t>T3401</t>
  </si>
  <si>
    <t>T3197</t>
  </si>
  <si>
    <t>T3161</t>
  </si>
  <si>
    <t>T3162</t>
  </si>
  <si>
    <t>T3090</t>
  </si>
  <si>
    <t>T3594</t>
  </si>
  <si>
    <t>T3167</t>
  </si>
  <si>
    <t>T3075</t>
  </si>
  <si>
    <t>T3247</t>
  </si>
  <si>
    <t>B-NR-55-WH-25*25-M6*18-M6</t>
  </si>
  <si>
    <t>T3248</t>
  </si>
  <si>
    <t>T2504</t>
  </si>
  <si>
    <t>T3211</t>
  </si>
  <si>
    <t>T3173</t>
  </si>
  <si>
    <t>T3743</t>
  </si>
  <si>
    <t>T2104</t>
  </si>
  <si>
    <t>T3649</t>
  </si>
  <si>
    <t>T2582</t>
  </si>
  <si>
    <t>T2833</t>
  </si>
  <si>
    <t>T4074</t>
  </si>
  <si>
    <t>T4076</t>
  </si>
  <si>
    <t>IHR-027</t>
  </si>
  <si>
    <t>3/2024</t>
  </si>
  <si>
    <t>T3204</t>
  </si>
  <si>
    <t>A-NR-55-WH-50*15-M8*20</t>
  </si>
  <si>
    <t>T2577</t>
  </si>
  <si>
    <t>A-NR-55-WH-70*48-M12*21</t>
  </si>
  <si>
    <t>T3170</t>
  </si>
  <si>
    <t>B-NR-55-WH-40*30-M8*25-M8</t>
  </si>
  <si>
    <t>T3260</t>
  </si>
  <si>
    <t>B-NR-55-WH-60*40-M10*28-M10</t>
  </si>
  <si>
    <t>T3949</t>
  </si>
  <si>
    <t>B-NR-55-WH-100*60-M16*41-M16</t>
  </si>
  <si>
    <t>T0314</t>
  </si>
  <si>
    <t>C-NR-55-WH-30*40-M8</t>
  </si>
  <si>
    <t>T3076</t>
  </si>
  <si>
    <t>T3175</t>
  </si>
  <si>
    <t>D-NR-55-WH-15*10-M6*18</t>
  </si>
  <si>
    <t>T3595</t>
  </si>
  <si>
    <t>D-NR-55-WH-20*10-M6*12</t>
  </si>
  <si>
    <t>T3252</t>
  </si>
  <si>
    <t>T3176</t>
  </si>
  <si>
    <t>D-NR-55-WH-25*20-M6*18</t>
  </si>
  <si>
    <t>T3133</t>
  </si>
  <si>
    <t>D-NR-55-WH-25*25-M6*18</t>
  </si>
  <si>
    <t>T3214</t>
  </si>
  <si>
    <t>D-NR-55-WH-30*10-M8*20</t>
  </si>
  <si>
    <t>T2832</t>
  </si>
  <si>
    <t>T2581</t>
  </si>
  <si>
    <t>DP-NR-55-WH-25*25-M6*13</t>
  </si>
  <si>
    <t>T2583</t>
  </si>
  <si>
    <t>DP-NR-55-WH-50*50-M10*20</t>
  </si>
  <si>
    <t>T3202</t>
  </si>
  <si>
    <t>A-NR-55-WH-30*30-M8*23</t>
  </si>
  <si>
    <t>T3091</t>
  </si>
  <si>
    <t>A-NR-55-WH-35*25-M8*23</t>
  </si>
  <si>
    <t>T3879</t>
  </si>
  <si>
    <t>A-NR-55-WH-15*15-M5*10</t>
  </si>
  <si>
    <t>T2324</t>
  </si>
  <si>
    <t>A-NR-55-WH-25*20-M6*18</t>
  </si>
  <si>
    <t>T3072</t>
  </si>
  <si>
    <t>A-NR-55-WH-55*40-M10*33</t>
  </si>
  <si>
    <t>T3073</t>
  </si>
  <si>
    <t>A-NR-55-WH-65*35-M10*18-M10*18</t>
  </si>
  <si>
    <t>T3327</t>
  </si>
  <si>
    <t>B-NR-55-WH-15*15-M4*10-M4</t>
  </si>
  <si>
    <t>T2681</t>
  </si>
  <si>
    <t>B-NR-55-WH-20*15-M6*15-M6</t>
  </si>
  <si>
    <t>T3093</t>
  </si>
  <si>
    <t>T3249</t>
  </si>
  <si>
    <t>T3174</t>
  </si>
  <si>
    <t>T0336</t>
  </si>
  <si>
    <t>C-NR-55-WH-50*50-M10</t>
  </si>
  <si>
    <t>T3529</t>
  </si>
  <si>
    <t>T3329</t>
  </si>
  <si>
    <t>D-NR-55-WH-40*20-M10*15</t>
  </si>
  <si>
    <t>T3027</t>
  </si>
  <si>
    <t>T3256</t>
  </si>
  <si>
    <t>D-NR-55-WH-50*20-M10*25</t>
  </si>
  <si>
    <t>T0523</t>
  </si>
  <si>
    <t>E-NR-55-WH-20*10-M6</t>
  </si>
  <si>
    <t>T2368</t>
  </si>
  <si>
    <t>D-NR-55-WH-30*15-M8*23</t>
  </si>
  <si>
    <t>B-NR-55-WH-20*20-M8*12-M8-CLOSED</t>
  </si>
  <si>
    <t>T4222</t>
  </si>
  <si>
    <t>D-NR-55-WH-30*15-M8*25</t>
  </si>
  <si>
    <t>T4223</t>
  </si>
  <si>
    <t>IHR-0326</t>
  </si>
  <si>
    <t>4/24</t>
  </si>
  <si>
    <t>T2571</t>
  </si>
  <si>
    <t>T3156</t>
  </si>
  <si>
    <t>A-NR-55-WH-20*20-M6*18</t>
  </si>
  <si>
    <t>T3200</t>
  </si>
  <si>
    <t xml:space="preserve">A-NR-55-WH-30*20-M10*20 </t>
  </si>
  <si>
    <t>T2574</t>
  </si>
  <si>
    <t>A-NR-55-WH-36*26-M8*22-M8*10</t>
  </si>
  <si>
    <t>T2828</t>
  </si>
  <si>
    <t>A-NR-55-WH-40*25-M8*28-M8*28</t>
  </si>
  <si>
    <t>T2441</t>
  </si>
  <si>
    <t>A-NR-55-WH-50*50-M10*28</t>
  </si>
  <si>
    <t>T3171</t>
  </si>
  <si>
    <t>B-NR-55-WH-40*30-M10*28-M10</t>
  </si>
  <si>
    <t>T0312</t>
  </si>
  <si>
    <t>C-NR-55-WH-30*30-M8</t>
  </si>
  <si>
    <t>T3250</t>
  </si>
  <si>
    <t>T3215</t>
  </si>
  <si>
    <t>D-NR-55-WH-30*10-M8*28</t>
  </si>
  <si>
    <t>T3080</t>
  </si>
  <si>
    <t>T2912</t>
  </si>
  <si>
    <t>D-NR-55-WH-30*17-M8*20</t>
  </si>
  <si>
    <t>T3744</t>
  </si>
  <si>
    <t>A-NR-55-WH-25*20-M6*23</t>
  </si>
  <si>
    <t>T2940</t>
  </si>
  <si>
    <t>A-NR-55-WH-40*30-M8*23</t>
  </si>
  <si>
    <t>T4287</t>
  </si>
  <si>
    <t>  D-NR-55-WH-70*20-M12*25</t>
  </si>
  <si>
    <t>T4286</t>
  </si>
  <si>
    <t>A-NR-55-WH-35*20-M8*25-M8*25</t>
  </si>
  <si>
    <t>T4292</t>
  </si>
  <si>
    <t>IHR-0532</t>
  </si>
  <si>
    <t>T3088</t>
  </si>
  <si>
    <t>A-NR-55-WH-20*15-M6*12</t>
  </si>
  <si>
    <t>T3084</t>
  </si>
  <si>
    <t>A-NR-55-WH-20*15-M6*20</t>
  </si>
  <si>
    <t>T2918</t>
  </si>
  <si>
    <t>T3324</t>
  </si>
  <si>
    <t>A-NR-55-WH-25*20-M8*20</t>
  </si>
  <si>
    <t>T3067</t>
  </si>
  <si>
    <t>A-NR-55-WH-30*15-M8*10</t>
  </si>
  <si>
    <t>T3164</t>
  </si>
  <si>
    <t>A-NR-55-WH-30*20-M6*20</t>
  </si>
  <si>
    <t>T2982</t>
  </si>
  <si>
    <t>A-NR-55-WH-30*20-M8*25-M8*25</t>
  </si>
  <si>
    <t>T3068</t>
  </si>
  <si>
    <t>A-NR-55-WH-30*25-M8*10-M8*10</t>
  </si>
  <si>
    <t>T3921</t>
  </si>
  <si>
    <t>A-NR-55-WH-40*40-M8*33</t>
  </si>
  <si>
    <t>T2983</t>
  </si>
  <si>
    <t>A-NR-55-WH-43*24-M8*15-M8*15</t>
  </si>
  <si>
    <t>T3071</t>
  </si>
  <si>
    <t>A-NR-55-WH-50*42-M12*25</t>
  </si>
  <si>
    <t>T3213</t>
  </si>
  <si>
    <t>C-NR-55-WH-50*50-M8</t>
  </si>
  <si>
    <t>T3258</t>
  </si>
  <si>
    <t>DP-NR-55-WH-30*30-M6*20</t>
  </si>
  <si>
    <t>T2834</t>
  </si>
  <si>
    <t>KD-NR-55-WH-50*20-M10*28</t>
  </si>
  <si>
    <t>T1858</t>
  </si>
  <si>
    <t>AH-NR-55-WH-90*60*38-M12*27</t>
  </si>
  <si>
    <t>IHR-0749</t>
  </si>
  <si>
    <t>5/2024</t>
  </si>
  <si>
    <r>
      <t>B-NR-55-WH-100*60-M16*</t>
    </r>
    <r>
      <rPr>
        <sz val="11"/>
        <color rgb="FFFF0000"/>
        <rFont val="Bookman Old Style"/>
        <family val="1"/>
        <charset val="162"/>
      </rPr>
      <t>41</t>
    </r>
    <r>
      <rPr>
        <sz val="11"/>
        <rFont val="Bookman Old Style"/>
        <family val="1"/>
        <charset val="162"/>
      </rPr>
      <t>-M16-CLOSED</t>
    </r>
  </si>
  <si>
    <t>1/2026</t>
  </si>
  <si>
    <t>26.03.2026 SEVKİYATI</t>
  </si>
  <si>
    <t>T3945</t>
  </si>
  <si>
    <t>A-NR-55-WH-20*10-M6*20</t>
  </si>
  <si>
    <t>T3425</t>
  </si>
  <si>
    <t>A-NR-55-WH-20*20-M6*12</t>
  </si>
  <si>
    <t>T3160</t>
  </si>
  <si>
    <t>A-NR-55-WH-20*20-M6*15-M6*15</t>
  </si>
  <si>
    <t>A-NR-55-WH-25*10-M8*20</t>
  </si>
  <si>
    <t>T3593</t>
  </si>
  <si>
    <t>A-NR-55-WH-40*40-M10*25</t>
  </si>
  <si>
    <t>T3168</t>
  </si>
  <si>
    <t>A-NR-55-WH-75*50-M10*23-M10*23</t>
  </si>
  <si>
    <t>T3074</t>
  </si>
  <si>
    <t>B-NR-55-WH-20*13-M6*10-M6</t>
  </si>
  <si>
    <t>B-NR-55-WH-20*20-M6*15-M6</t>
  </si>
  <si>
    <t>T2947</t>
  </si>
  <si>
    <t>T2941</t>
  </si>
  <si>
    <t>B-NR-55-WH-25*15-M6*18-M6</t>
  </si>
  <si>
    <t>B-NR-55-WH-30*40-M8*25-M8</t>
  </si>
  <si>
    <t>T3210</t>
  </si>
  <si>
    <t>B-NR-55-WH-35*25-M8*20-M8</t>
  </si>
  <si>
    <t>T3924</t>
  </si>
  <si>
    <t>B-NR-55-WH-40*40-M10*25-M10</t>
  </si>
  <si>
    <t>T3077</t>
  </si>
  <si>
    <t>D-NR-55-WH-20*5-M6*18</t>
  </si>
  <si>
    <t>T1832</t>
  </si>
  <si>
    <t>DP-NR-55-WH-18*18-M6*10</t>
  </si>
  <si>
    <t>T5155</t>
  </si>
  <si>
    <t>T5156</t>
  </si>
  <si>
    <t>IHR-247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</si>
</sst>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€-1]"/>
    <numFmt numFmtId="165" formatCode="#,##0.0000\ [$€-407]"/>
    <numFmt numFmtId="166" formatCode="#,##0.0000\ [$€-1];[Red]\-#,##0.0000\ [$€-1]"/>
    <numFmt numFmtId="167" formatCode="0.0000"/>
    <numFmt numFmtId="168" formatCode="0.00000"/>
    <numFmt numFmtId="169" formatCode="[$€-2]\ #,##0.00"/>
  </numFmts>
  <fonts count="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Bookman Old Style"/>
      <family val="1"/>
      <charset val="162"/>
    </font>
    <font>
      <b/>
      <sz val="11"/>
      <color theme="1"/>
      <name val="Bookman Old Style"/>
      <family val="1"/>
      <charset val="162"/>
    </font>
    <font>
      <sz val="11"/>
      <color rgb="FFFF0000"/>
      <name val="Bookman Old Style"/>
      <family val="1"/>
      <charset val="162"/>
    </font>
    <font>
      <sz val="11"/>
      <name val="Bookman Old Style"/>
      <family val="1"/>
      <charset val="16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2" fillId="0" borderId="0" xfId="0" applyNumberFormat="1" applyFont="1"/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65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/>
    </xf>
    <xf numFmtId="2" fontId="2" fillId="0" borderId="0" xfId="0" applyNumberFormat="1" applyFont="1"/>
    <xf numFmtId="3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168" fontId="6" fillId="0" borderId="0" xfId="0" applyNumberFormat="1" applyFont="1" applyAlignment="1">
      <alignment horizontal="right"/>
    </xf>
    <xf numFmtId="169" fontId="8" fillId="0" borderId="0" xfId="0" applyNumberFormat="1" applyFont="1" applyAlignment="1">
      <alignment horizontal="center"/>
    </xf>
    <xf numFmtId="2" fontId="3" fillId="0" borderId="0" xfId="0" applyNumberFormat="1" applyFont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291353</xdr:colOff>
      <xdr:row>1</xdr:row>
      <xdr:rowOff>0</xdr:rowOff>
    </xdr:from>
    <xdr:to>
      <xdr:col>2</xdr:col>
      <xdr:colOff>676835</xdr:colOff>
      <xdr:row>4</xdr:row>
      <xdr:rowOff>110490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11824" y="1501588"/>
          <a:ext cx="1210235" cy="681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237"/>
  <sheetViews>
    <sheetView tabSelected="1" zoomScaleNormal="100" workbookViewId="0">
      <selection activeCell="D22" sqref="D22"/>
    </sheetView>
  </sheetViews>
  <sheetFormatPr defaultRowHeight="15" x14ac:dyDescent="0.25"/>
  <cols>
    <col min="1" max="1" width="3.28515625" style="2" customWidth="1"/>
    <col min="2" max="2" width="12.42578125" style="1" customWidth="1"/>
    <col min="3" max="3" width="19" style="11" customWidth="1"/>
    <col min="4" max="4" width="20.28515625" style="1" customWidth="1"/>
    <col min="5" max="5" width="14.42578125" style="1" customWidth="1"/>
    <col min="6" max="6" width="49.7109375" style="1" customWidth="1"/>
    <col min="7" max="7" width="14.140625" style="1" customWidth="1"/>
    <col min="8" max="8" width="18.5703125" style="1" customWidth="1"/>
    <col min="9" max="9" width="51.7109375" style="1" customWidth="1"/>
    <col min="10" max="10" width="14.140625" style="20" bestFit="1" customWidth="1"/>
    <col min="11" max="11" width="16" style="2" customWidth="1"/>
    <col min="12" max="12" width="15.140625" style="2" bestFit="1" customWidth="1"/>
    <col min="13" max="13" width="17.28515625" style="2" bestFit="1" customWidth="1"/>
    <col min="14" max="14" width="30.42578125" style="2" bestFit="1" customWidth="1"/>
    <col min="15" max="16384" width="9.140625" style="2"/>
  </cols>
  <sheetData>
    <row r="1" spans="2:10" x14ac:dyDescent="0.25">
      <c r="C1" s="1"/>
    </row>
    <row r="2" spans="2:10" x14ac:dyDescent="0.25">
      <c r="C2" s="1"/>
    </row>
    <row r="3" spans="2:10" x14ac:dyDescent="0.25">
      <c r="C3" s="1"/>
      <c r="F3" s="1" t="s">
        <v>10</v>
      </c>
    </row>
    <row r="4" spans="2:10" x14ac:dyDescent="0.25">
      <c r="C4" s="1"/>
      <c r="F4" s="1" t="s">
        <v>6</v>
      </c>
      <c r="I4" s="3" t="s">
        <v>9</v>
      </c>
    </row>
    <row r="5" spans="2:10" x14ac:dyDescent="0.25">
      <c r="C5" s="1"/>
    </row>
    <row r="6" spans="2:10" x14ac:dyDescent="0.25">
      <c r="B6" s="4" t="s">
        <v>5</v>
      </c>
      <c r="C6" s="4" t="s">
        <v>7</v>
      </c>
      <c r="D6" s="4" t="s">
        <v>8</v>
      </c>
      <c r="E6" s="4" t="s">
        <v>0</v>
      </c>
      <c r="F6" s="4" t="s">
        <v>1</v>
      </c>
      <c r="G6" s="5" t="s">
        <v>2</v>
      </c>
      <c r="H6" s="4" t="s">
        <v>3</v>
      </c>
      <c r="I6" s="4" t="s">
        <v>4</v>
      </c>
    </row>
    <row r="7" spans="2:10" x14ac:dyDescent="0.25">
      <c r="B7" s="43" t="s">
        <v>254</v>
      </c>
      <c r="C7" s="44"/>
      <c r="D7" s="44"/>
      <c r="E7" s="44"/>
      <c r="F7" s="44"/>
      <c r="G7" s="44"/>
      <c r="H7" s="44"/>
      <c r="I7" s="45"/>
    </row>
    <row r="8" spans="2:10" x14ac:dyDescent="0.25">
      <c r="B8" s="47" t="s">
        <v>283</v>
      </c>
      <c r="C8" s="29" t="s">
        <v>253</v>
      </c>
      <c r="D8" s="28">
        <v>332863</v>
      </c>
      <c r="E8" s="28" t="s">
        <v>255</v>
      </c>
      <c r="F8" s="28" t="s">
        <v>256</v>
      </c>
      <c r="G8" s="30">
        <v>0.2112</v>
      </c>
      <c r="H8" s="31">
        <v>100</v>
      </c>
      <c r="I8" s="28"/>
      <c r="J8" s="20">
        <f>G8*H8</f>
        <v>21.12</v>
      </c>
    </row>
    <row r="9" spans="2:10" x14ac:dyDescent="0.25">
      <c r="B9" s="47" t="s">
        <v>283</v>
      </c>
      <c r="C9" s="29" t="s">
        <v>253</v>
      </c>
      <c r="D9" s="28">
        <v>332970</v>
      </c>
      <c r="E9" s="28" t="s">
        <v>221</v>
      </c>
      <c r="F9" s="28" t="s">
        <v>222</v>
      </c>
      <c r="G9" s="30">
        <v>0.13900000000000001</v>
      </c>
      <c r="H9" s="31">
        <v>100</v>
      </c>
      <c r="I9" s="28"/>
      <c r="J9" s="20">
        <f t="shared" ref="J9:J49" si="0">G9*H9</f>
        <v>13.900000000000002</v>
      </c>
    </row>
    <row r="10" spans="2:10" x14ac:dyDescent="0.25">
      <c r="B10" s="47" t="s">
        <v>283</v>
      </c>
      <c r="C10" s="29" t="s">
        <v>253</v>
      </c>
      <c r="D10" s="28">
        <v>332973</v>
      </c>
      <c r="E10" s="28" t="s">
        <v>223</v>
      </c>
      <c r="F10" s="28" t="s">
        <v>224</v>
      </c>
      <c r="G10" s="30">
        <v>0.18729999999999999</v>
      </c>
      <c r="H10" s="31">
        <v>400</v>
      </c>
      <c r="I10" s="28"/>
      <c r="J10" s="20">
        <f t="shared" si="0"/>
        <v>74.92</v>
      </c>
    </row>
    <row r="11" spans="2:10" x14ac:dyDescent="0.25">
      <c r="B11" s="47" t="s">
        <v>283</v>
      </c>
      <c r="C11" s="29" t="s">
        <v>253</v>
      </c>
      <c r="D11" s="28">
        <v>333058</v>
      </c>
      <c r="E11" s="28" t="s">
        <v>257</v>
      </c>
      <c r="F11" s="28" t="s">
        <v>258</v>
      </c>
      <c r="G11" s="30">
        <v>0.16339999999999999</v>
      </c>
      <c r="H11" s="31">
        <v>200</v>
      </c>
      <c r="I11" s="28"/>
      <c r="J11" s="20">
        <f t="shared" si="0"/>
        <v>32.68</v>
      </c>
    </row>
    <row r="12" spans="2:10" x14ac:dyDescent="0.25">
      <c r="B12" s="47" t="s">
        <v>283</v>
      </c>
      <c r="C12" s="29" t="s">
        <v>253</v>
      </c>
      <c r="D12" s="28">
        <v>333059</v>
      </c>
      <c r="E12" s="28" t="s">
        <v>259</v>
      </c>
      <c r="F12" s="28" t="s">
        <v>260</v>
      </c>
      <c r="G12" s="30">
        <v>0.14599999999999999</v>
      </c>
      <c r="H12" s="31">
        <v>200</v>
      </c>
      <c r="I12" s="28"/>
      <c r="J12" s="20">
        <f t="shared" si="0"/>
        <v>29.2</v>
      </c>
    </row>
    <row r="13" spans="2:10" x14ac:dyDescent="0.25">
      <c r="B13" s="47" t="s">
        <v>283</v>
      </c>
      <c r="C13" s="29" t="s">
        <v>253</v>
      </c>
      <c r="D13" s="28">
        <v>333061</v>
      </c>
      <c r="E13" s="28" t="s">
        <v>103</v>
      </c>
      <c r="F13" s="28" t="s">
        <v>51</v>
      </c>
      <c r="G13" s="30">
        <v>0.17699999999999999</v>
      </c>
      <c r="H13" s="31">
        <v>100</v>
      </c>
      <c r="I13" s="28"/>
      <c r="J13" s="20">
        <f t="shared" si="0"/>
        <v>17.7</v>
      </c>
    </row>
    <row r="14" spans="2:10" x14ac:dyDescent="0.25">
      <c r="B14" s="47" t="s">
        <v>283</v>
      </c>
      <c r="C14" s="29" t="s">
        <v>253</v>
      </c>
      <c r="D14" s="28">
        <v>333236</v>
      </c>
      <c r="E14" s="28" t="s">
        <v>281</v>
      </c>
      <c r="F14" s="28" t="s">
        <v>261</v>
      </c>
      <c r="G14" s="30">
        <v>0.23799999999999999</v>
      </c>
      <c r="H14" s="31">
        <v>100</v>
      </c>
      <c r="I14" s="28"/>
      <c r="J14" s="20">
        <f t="shared" si="0"/>
        <v>23.799999999999997</v>
      </c>
    </row>
    <row r="15" spans="2:10" x14ac:dyDescent="0.25">
      <c r="B15" s="47" t="s">
        <v>283</v>
      </c>
      <c r="C15" s="29" t="s">
        <v>253</v>
      </c>
      <c r="D15" s="28">
        <v>333405</v>
      </c>
      <c r="E15" s="28" t="s">
        <v>78</v>
      </c>
      <c r="F15" s="28" t="s">
        <v>52</v>
      </c>
      <c r="G15" s="30">
        <v>0.23980000000000001</v>
      </c>
      <c r="H15" s="31">
        <v>200</v>
      </c>
      <c r="I15" s="28"/>
      <c r="J15" s="20">
        <f t="shared" si="0"/>
        <v>47.96</v>
      </c>
    </row>
    <row r="16" spans="2:10" x14ac:dyDescent="0.25">
      <c r="B16" s="47" t="s">
        <v>283</v>
      </c>
      <c r="C16" s="29" t="s">
        <v>253</v>
      </c>
      <c r="D16" s="28">
        <v>333659</v>
      </c>
      <c r="E16" s="28" t="s">
        <v>228</v>
      </c>
      <c r="F16" s="28" t="s">
        <v>229</v>
      </c>
      <c r="G16" s="30">
        <v>0.24929999999999999</v>
      </c>
      <c r="H16" s="31">
        <v>600</v>
      </c>
      <c r="I16" s="28"/>
      <c r="J16" s="20">
        <f t="shared" si="0"/>
        <v>149.57999999999998</v>
      </c>
    </row>
    <row r="17" spans="2:10" x14ac:dyDescent="0.25">
      <c r="B17" s="47" t="s">
        <v>283</v>
      </c>
      <c r="C17" s="29" t="s">
        <v>253</v>
      </c>
      <c r="D17" s="28">
        <v>333753</v>
      </c>
      <c r="E17" s="28" t="s">
        <v>81</v>
      </c>
      <c r="F17" s="28" t="s">
        <v>13</v>
      </c>
      <c r="G17" s="30">
        <v>0.33289999999999997</v>
      </c>
      <c r="H17" s="31">
        <v>600</v>
      </c>
      <c r="I17" s="28"/>
      <c r="J17" s="20">
        <f t="shared" si="0"/>
        <v>199.73999999999998</v>
      </c>
    </row>
    <row r="18" spans="2:10" x14ac:dyDescent="0.25">
      <c r="B18" s="47" t="s">
        <v>283</v>
      </c>
      <c r="C18" s="29" t="s">
        <v>253</v>
      </c>
      <c r="D18" s="28">
        <v>333762</v>
      </c>
      <c r="E18" s="28" t="s">
        <v>193</v>
      </c>
      <c r="F18" s="28" t="s">
        <v>194</v>
      </c>
      <c r="G18" s="30">
        <v>0.32650000000000001</v>
      </c>
      <c r="H18" s="31">
        <v>100</v>
      </c>
      <c r="I18" s="28"/>
      <c r="J18" s="20">
        <f t="shared" si="0"/>
        <v>32.65</v>
      </c>
    </row>
    <row r="19" spans="2:10" x14ac:dyDescent="0.25">
      <c r="B19" s="47" t="s">
        <v>283</v>
      </c>
      <c r="C19" s="29" t="s">
        <v>253</v>
      </c>
      <c r="D19" s="28">
        <v>349782</v>
      </c>
      <c r="E19" s="28" t="s">
        <v>83</v>
      </c>
      <c r="F19" s="28" t="s">
        <v>55</v>
      </c>
      <c r="G19" s="30">
        <v>0.43209999999999998</v>
      </c>
      <c r="H19" s="31">
        <v>1700</v>
      </c>
      <c r="I19" s="28"/>
      <c r="J19" s="20">
        <f t="shared" si="0"/>
        <v>734.56999999999994</v>
      </c>
    </row>
    <row r="20" spans="2:10" x14ac:dyDescent="0.25">
      <c r="B20" s="47" t="s">
        <v>283</v>
      </c>
      <c r="C20" s="29" t="s">
        <v>253</v>
      </c>
      <c r="D20" s="28">
        <v>334183</v>
      </c>
      <c r="E20" s="28" t="s">
        <v>155</v>
      </c>
      <c r="F20" s="28" t="s">
        <v>156</v>
      </c>
      <c r="G20" s="30">
        <v>0.4007</v>
      </c>
      <c r="H20" s="31">
        <v>100</v>
      </c>
      <c r="I20" s="28"/>
      <c r="J20" s="20">
        <f t="shared" si="0"/>
        <v>40.07</v>
      </c>
    </row>
    <row r="21" spans="2:10" x14ac:dyDescent="0.25">
      <c r="B21" s="47" t="s">
        <v>283</v>
      </c>
      <c r="C21" s="29" t="s">
        <v>253</v>
      </c>
      <c r="D21" s="28">
        <v>334515</v>
      </c>
      <c r="E21" s="28" t="s">
        <v>213</v>
      </c>
      <c r="F21" s="34" t="s">
        <v>214</v>
      </c>
      <c r="G21" s="30">
        <v>0.48799999999999999</v>
      </c>
      <c r="H21" s="31">
        <v>100</v>
      </c>
      <c r="I21" s="28"/>
      <c r="J21" s="20">
        <f t="shared" si="0"/>
        <v>48.8</v>
      </c>
    </row>
    <row r="22" spans="2:10" x14ac:dyDescent="0.25">
      <c r="B22" s="47" t="s">
        <v>283</v>
      </c>
      <c r="C22" s="29" t="s">
        <v>253</v>
      </c>
      <c r="D22" s="28">
        <v>334645</v>
      </c>
      <c r="E22" s="28" t="s">
        <v>262</v>
      </c>
      <c r="F22" s="28" t="s">
        <v>263</v>
      </c>
      <c r="G22" s="30">
        <v>0.63629999999999998</v>
      </c>
      <c r="H22" s="31">
        <v>100</v>
      </c>
      <c r="I22" s="28"/>
      <c r="J22" s="20">
        <f t="shared" si="0"/>
        <v>63.629999999999995</v>
      </c>
    </row>
    <row r="23" spans="2:10" x14ac:dyDescent="0.25">
      <c r="B23" s="47" t="s">
        <v>283</v>
      </c>
      <c r="C23" s="29" t="s">
        <v>253</v>
      </c>
      <c r="D23" s="28">
        <v>349838</v>
      </c>
      <c r="E23" s="28" t="s">
        <v>88</v>
      </c>
      <c r="F23" s="28" t="s">
        <v>59</v>
      </c>
      <c r="G23" s="30">
        <v>0.71730000000000005</v>
      </c>
      <c r="H23" s="31">
        <v>100</v>
      </c>
      <c r="I23" s="28"/>
      <c r="J23" s="20">
        <f t="shared" si="0"/>
        <v>71.73</v>
      </c>
    </row>
    <row r="24" spans="2:10" x14ac:dyDescent="0.25">
      <c r="B24" s="47" t="s">
        <v>283</v>
      </c>
      <c r="C24" s="29" t="s">
        <v>253</v>
      </c>
      <c r="D24" s="28">
        <v>336622</v>
      </c>
      <c r="E24" s="28" t="s">
        <v>264</v>
      </c>
      <c r="F24" s="28" t="s">
        <v>265</v>
      </c>
      <c r="G24" s="30">
        <v>1.3835</v>
      </c>
      <c r="H24" s="31">
        <v>100</v>
      </c>
      <c r="I24" s="28"/>
      <c r="J24" s="20">
        <f t="shared" si="0"/>
        <v>138.35</v>
      </c>
    </row>
    <row r="25" spans="2:10" x14ac:dyDescent="0.25">
      <c r="B25" s="47" t="s">
        <v>283</v>
      </c>
      <c r="C25" s="29" t="s">
        <v>253</v>
      </c>
      <c r="D25" s="28">
        <v>338183</v>
      </c>
      <c r="E25" s="28" t="s">
        <v>89</v>
      </c>
      <c r="F25" s="28" t="s">
        <v>62</v>
      </c>
      <c r="G25" s="30">
        <v>0.1585</v>
      </c>
      <c r="H25" s="31">
        <v>1000</v>
      </c>
      <c r="I25" s="28"/>
      <c r="J25" s="20">
        <f t="shared" si="0"/>
        <v>158.5</v>
      </c>
    </row>
    <row r="26" spans="2:10" x14ac:dyDescent="0.25">
      <c r="B26" s="47" t="s">
        <v>283</v>
      </c>
      <c r="C26" s="29" t="s">
        <v>253</v>
      </c>
      <c r="D26" s="28">
        <v>338217</v>
      </c>
      <c r="E26" s="28" t="s">
        <v>266</v>
      </c>
      <c r="F26" s="28" t="s">
        <v>267</v>
      </c>
      <c r="G26" s="30">
        <v>0.15939999999999999</v>
      </c>
      <c r="H26" s="31">
        <v>500</v>
      </c>
      <c r="I26" s="28"/>
      <c r="J26" s="20">
        <f t="shared" si="0"/>
        <v>79.699999999999989</v>
      </c>
    </row>
    <row r="27" spans="2:10" x14ac:dyDescent="0.25">
      <c r="B27" s="47" t="s">
        <v>283</v>
      </c>
      <c r="C27" s="29" t="s">
        <v>253</v>
      </c>
      <c r="D27" s="28">
        <v>338253</v>
      </c>
      <c r="E27" s="28" t="s">
        <v>167</v>
      </c>
      <c r="F27" s="28" t="s">
        <v>168</v>
      </c>
      <c r="G27" s="30">
        <v>0.1653</v>
      </c>
      <c r="H27" s="31">
        <v>500</v>
      </c>
      <c r="I27" s="28"/>
      <c r="J27" s="20">
        <f t="shared" si="0"/>
        <v>82.65</v>
      </c>
    </row>
    <row r="28" spans="2:10" x14ac:dyDescent="0.25">
      <c r="B28" s="47" t="s">
        <v>283</v>
      </c>
      <c r="C28" s="29" t="s">
        <v>253</v>
      </c>
      <c r="D28" s="28">
        <v>338341</v>
      </c>
      <c r="E28" s="28" t="s">
        <v>269</v>
      </c>
      <c r="F28" s="28" t="s">
        <v>268</v>
      </c>
      <c r="G28" s="30">
        <v>0.22090000000000001</v>
      </c>
      <c r="H28" s="31">
        <v>300</v>
      </c>
      <c r="I28" s="28"/>
      <c r="J28" s="20">
        <f t="shared" si="0"/>
        <v>66.27000000000001</v>
      </c>
    </row>
    <row r="29" spans="2:10" x14ac:dyDescent="0.25">
      <c r="B29" s="47" t="s">
        <v>283</v>
      </c>
      <c r="C29" s="29" t="s">
        <v>253</v>
      </c>
      <c r="D29" s="28">
        <v>338508</v>
      </c>
      <c r="E29" s="28" t="s">
        <v>270</v>
      </c>
      <c r="F29" s="28" t="s">
        <v>271</v>
      </c>
      <c r="G29" s="30">
        <v>0.2334</v>
      </c>
      <c r="H29" s="31">
        <v>100</v>
      </c>
      <c r="I29" s="28"/>
      <c r="J29" s="20">
        <f t="shared" si="0"/>
        <v>23.34</v>
      </c>
    </row>
    <row r="30" spans="2:10" x14ac:dyDescent="0.25">
      <c r="B30" s="47" t="s">
        <v>283</v>
      </c>
      <c r="C30" s="29" t="s">
        <v>253</v>
      </c>
      <c r="D30" s="28">
        <v>338973</v>
      </c>
      <c r="E30" s="28" t="s">
        <v>169</v>
      </c>
      <c r="F30" s="28" t="s">
        <v>45</v>
      </c>
      <c r="G30" s="30">
        <v>0.29699999999999999</v>
      </c>
      <c r="H30" s="31">
        <v>200</v>
      </c>
      <c r="I30" s="28"/>
      <c r="J30" s="20">
        <f t="shared" si="0"/>
        <v>59.4</v>
      </c>
    </row>
    <row r="31" spans="2:10" x14ac:dyDescent="0.25">
      <c r="B31" s="47" t="s">
        <v>283</v>
      </c>
      <c r="C31" s="29" t="s">
        <v>253</v>
      </c>
      <c r="D31" s="28">
        <v>339156</v>
      </c>
      <c r="E31" s="28" t="s">
        <v>282</v>
      </c>
      <c r="F31" s="28" t="s">
        <v>272</v>
      </c>
      <c r="G31" s="30">
        <v>0.43259999999999998</v>
      </c>
      <c r="H31" s="31">
        <v>50</v>
      </c>
      <c r="I31" s="28"/>
      <c r="J31" s="20">
        <f t="shared" si="0"/>
        <v>21.63</v>
      </c>
    </row>
    <row r="32" spans="2:10" x14ac:dyDescent="0.25">
      <c r="B32" s="47" t="s">
        <v>283</v>
      </c>
      <c r="C32" s="29" t="s">
        <v>253</v>
      </c>
      <c r="D32" s="28">
        <v>339343</v>
      </c>
      <c r="E32" s="28" t="s">
        <v>273</v>
      </c>
      <c r="F32" s="28" t="s">
        <v>274</v>
      </c>
      <c r="G32" s="30">
        <v>0.40360000000000001</v>
      </c>
      <c r="H32" s="31">
        <v>50</v>
      </c>
      <c r="I32" s="28"/>
      <c r="J32" s="20">
        <f t="shared" si="0"/>
        <v>20.18</v>
      </c>
    </row>
    <row r="33" spans="2:10" x14ac:dyDescent="0.25">
      <c r="B33" s="47" t="s">
        <v>283</v>
      </c>
      <c r="C33" s="29" t="s">
        <v>253</v>
      </c>
      <c r="D33" s="28">
        <v>339463</v>
      </c>
      <c r="E33" s="28" t="s">
        <v>170</v>
      </c>
      <c r="F33" s="28" t="s">
        <v>46</v>
      </c>
      <c r="G33" s="30">
        <v>0.40079999999999999</v>
      </c>
      <c r="H33" s="31">
        <v>100</v>
      </c>
      <c r="I33" s="28"/>
      <c r="J33" s="20">
        <f t="shared" si="0"/>
        <v>40.08</v>
      </c>
    </row>
    <row r="34" spans="2:10" x14ac:dyDescent="0.25">
      <c r="B34" s="47" t="s">
        <v>283</v>
      </c>
      <c r="C34" s="29" t="s">
        <v>253</v>
      </c>
      <c r="D34" s="28">
        <v>339774</v>
      </c>
      <c r="E34" s="28" t="s">
        <v>275</v>
      </c>
      <c r="F34" s="28" t="s">
        <v>276</v>
      </c>
      <c r="G34" s="30">
        <v>0.6492</v>
      </c>
      <c r="H34" s="31">
        <v>100</v>
      </c>
      <c r="I34" s="28"/>
      <c r="J34" s="20">
        <f t="shared" si="0"/>
        <v>64.92</v>
      </c>
    </row>
    <row r="35" spans="2:10" x14ac:dyDescent="0.25">
      <c r="B35" s="47" t="s">
        <v>283</v>
      </c>
      <c r="C35" s="29" t="s">
        <v>253</v>
      </c>
      <c r="D35" s="28">
        <v>339989</v>
      </c>
      <c r="E35" s="28" t="s">
        <v>113</v>
      </c>
      <c r="F35" s="28" t="s">
        <v>69</v>
      </c>
      <c r="G35" s="30">
        <v>0.74470000000000003</v>
      </c>
      <c r="H35" s="31">
        <v>800</v>
      </c>
      <c r="I35" s="28"/>
      <c r="J35" s="20">
        <f t="shared" si="0"/>
        <v>595.76</v>
      </c>
    </row>
    <row r="36" spans="2:10" x14ac:dyDescent="0.25">
      <c r="B36" s="47" t="s">
        <v>283</v>
      </c>
      <c r="C36" s="29" t="s">
        <v>253</v>
      </c>
      <c r="D36" s="28">
        <v>340721</v>
      </c>
      <c r="E36" s="28" t="s">
        <v>130</v>
      </c>
      <c r="F36" s="28" t="s">
        <v>131</v>
      </c>
      <c r="G36" s="30">
        <v>1.1323000000000001</v>
      </c>
      <c r="H36" s="31">
        <v>300</v>
      </c>
      <c r="I36" s="33"/>
      <c r="J36" s="20">
        <f t="shared" si="0"/>
        <v>339.69</v>
      </c>
    </row>
    <row r="37" spans="2:10" x14ac:dyDescent="0.25">
      <c r="B37" s="47" t="s">
        <v>283</v>
      </c>
      <c r="C37" s="29" t="s">
        <v>253</v>
      </c>
      <c r="D37" s="28">
        <v>349821</v>
      </c>
      <c r="E37" s="28" t="s">
        <v>95</v>
      </c>
      <c r="F37" s="28" t="s">
        <v>18</v>
      </c>
      <c r="G37" s="30">
        <v>1.1293</v>
      </c>
      <c r="H37" s="31">
        <v>100</v>
      </c>
      <c r="I37" s="28"/>
      <c r="J37" s="20">
        <f t="shared" si="0"/>
        <v>112.92999999999999</v>
      </c>
    </row>
    <row r="38" spans="2:10" x14ac:dyDescent="0.25">
      <c r="B38" s="47" t="s">
        <v>283</v>
      </c>
      <c r="C38" s="29" t="s">
        <v>253</v>
      </c>
      <c r="D38" s="28">
        <v>342069</v>
      </c>
      <c r="E38" s="28" t="s">
        <v>132</v>
      </c>
      <c r="F38" s="28" t="s">
        <v>133</v>
      </c>
      <c r="G38" s="30">
        <v>4.3099999999999996</v>
      </c>
      <c r="H38" s="31">
        <v>20</v>
      </c>
      <c r="I38" s="28"/>
      <c r="J38" s="20">
        <f t="shared" si="0"/>
        <v>86.199999999999989</v>
      </c>
    </row>
    <row r="39" spans="2:10" x14ac:dyDescent="0.25">
      <c r="B39" s="47" t="s">
        <v>283</v>
      </c>
      <c r="C39" s="29" t="s">
        <v>253</v>
      </c>
      <c r="D39" s="28">
        <v>342592</v>
      </c>
      <c r="E39" s="28" t="s">
        <v>134</v>
      </c>
      <c r="F39" s="28" t="s">
        <v>135</v>
      </c>
      <c r="G39" s="30">
        <v>0.4204</v>
      </c>
      <c r="H39" s="31">
        <v>50</v>
      </c>
      <c r="I39" s="28"/>
      <c r="J39" s="20">
        <f t="shared" si="0"/>
        <v>21.02</v>
      </c>
    </row>
    <row r="40" spans="2:10" x14ac:dyDescent="0.25">
      <c r="B40" s="47" t="s">
        <v>283</v>
      </c>
      <c r="C40" s="29" t="s">
        <v>253</v>
      </c>
      <c r="D40" s="28">
        <v>342704</v>
      </c>
      <c r="E40" s="28" t="s">
        <v>242</v>
      </c>
      <c r="F40" s="28" t="s">
        <v>243</v>
      </c>
      <c r="G40" s="30">
        <v>0.98040000000000005</v>
      </c>
      <c r="H40" s="31">
        <v>100</v>
      </c>
      <c r="I40" s="28"/>
      <c r="J40" s="20">
        <f t="shared" si="0"/>
        <v>98.04</v>
      </c>
    </row>
    <row r="41" spans="2:10" x14ac:dyDescent="0.25">
      <c r="B41" s="47" t="s">
        <v>283</v>
      </c>
      <c r="C41" s="29" t="s">
        <v>253</v>
      </c>
      <c r="D41" s="28">
        <v>342705</v>
      </c>
      <c r="E41" s="28" t="s">
        <v>172</v>
      </c>
      <c r="F41" s="28" t="s">
        <v>173</v>
      </c>
      <c r="G41" s="30">
        <v>0.69979999999999998</v>
      </c>
      <c r="H41" s="31">
        <v>600</v>
      </c>
      <c r="I41" s="28"/>
      <c r="J41" s="20">
        <f t="shared" si="0"/>
        <v>419.88</v>
      </c>
    </row>
    <row r="42" spans="2:10" x14ac:dyDescent="0.25">
      <c r="B42" s="47" t="s">
        <v>283</v>
      </c>
      <c r="C42" s="29" t="s">
        <v>253</v>
      </c>
      <c r="D42" s="28">
        <v>343733</v>
      </c>
      <c r="E42" s="28" t="s">
        <v>277</v>
      </c>
      <c r="F42" s="28" t="s">
        <v>278</v>
      </c>
      <c r="G42" s="30">
        <v>0.1187</v>
      </c>
      <c r="H42" s="31">
        <v>1000</v>
      </c>
      <c r="I42" s="28"/>
      <c r="J42" s="20">
        <f t="shared" si="0"/>
        <v>118.7</v>
      </c>
    </row>
    <row r="43" spans="2:10" x14ac:dyDescent="0.25">
      <c r="B43" s="47" t="s">
        <v>283</v>
      </c>
      <c r="C43" s="29" t="s">
        <v>253</v>
      </c>
      <c r="D43" s="28">
        <v>344424</v>
      </c>
      <c r="E43" s="28" t="s">
        <v>142</v>
      </c>
      <c r="F43" s="28" t="s">
        <v>143</v>
      </c>
      <c r="G43" s="30">
        <v>0.16</v>
      </c>
      <c r="H43" s="31">
        <v>200</v>
      </c>
      <c r="I43" s="28"/>
      <c r="J43" s="20">
        <f t="shared" si="0"/>
        <v>32</v>
      </c>
    </row>
    <row r="44" spans="2:10" x14ac:dyDescent="0.25">
      <c r="B44" s="47" t="s">
        <v>283</v>
      </c>
      <c r="C44" s="29" t="s">
        <v>253</v>
      </c>
      <c r="D44" s="28">
        <v>344838</v>
      </c>
      <c r="E44" s="28" t="s">
        <v>208</v>
      </c>
      <c r="F44" s="28" t="s">
        <v>40</v>
      </c>
      <c r="G44" s="30">
        <v>0.19420000000000001</v>
      </c>
      <c r="H44" s="31">
        <v>200</v>
      </c>
      <c r="I44" s="28"/>
      <c r="J44" s="20">
        <f t="shared" si="0"/>
        <v>38.840000000000003</v>
      </c>
    </row>
    <row r="45" spans="2:10" x14ac:dyDescent="0.25">
      <c r="B45" s="47" t="s">
        <v>283</v>
      </c>
      <c r="C45" s="29" t="s">
        <v>253</v>
      </c>
      <c r="D45" s="28">
        <v>344878</v>
      </c>
      <c r="E45" s="28" t="s">
        <v>96</v>
      </c>
      <c r="F45" s="28" t="s">
        <v>71</v>
      </c>
      <c r="G45" s="30">
        <v>0.2205</v>
      </c>
      <c r="H45" s="31">
        <v>150</v>
      </c>
      <c r="I45" s="28"/>
      <c r="J45" s="20">
        <f t="shared" si="0"/>
        <v>33.075000000000003</v>
      </c>
    </row>
    <row r="46" spans="2:10" x14ac:dyDescent="0.25">
      <c r="B46" s="47" t="s">
        <v>283</v>
      </c>
      <c r="C46" s="29" t="s">
        <v>253</v>
      </c>
      <c r="D46" s="28">
        <v>346042</v>
      </c>
      <c r="E46" s="28" t="s">
        <v>98</v>
      </c>
      <c r="F46" s="28" t="s">
        <v>42</v>
      </c>
      <c r="G46" s="30">
        <v>0.43230000000000002</v>
      </c>
      <c r="H46" s="31">
        <v>100</v>
      </c>
      <c r="I46" s="28"/>
      <c r="J46" s="20">
        <f t="shared" si="0"/>
        <v>43.230000000000004</v>
      </c>
    </row>
    <row r="47" spans="2:10" x14ac:dyDescent="0.25">
      <c r="B47" s="47" t="s">
        <v>283</v>
      </c>
      <c r="C47" s="29" t="s">
        <v>253</v>
      </c>
      <c r="D47" s="28">
        <v>346354</v>
      </c>
      <c r="E47" s="28" t="s">
        <v>100</v>
      </c>
      <c r="F47" s="28" t="s">
        <v>74</v>
      </c>
      <c r="G47" s="30">
        <v>0.48199999999999998</v>
      </c>
      <c r="H47" s="31">
        <v>100</v>
      </c>
      <c r="I47" s="28"/>
      <c r="J47" s="20">
        <f t="shared" si="0"/>
        <v>48.199999999999996</v>
      </c>
    </row>
    <row r="48" spans="2:10" x14ac:dyDescent="0.25">
      <c r="B48" s="47" t="s">
        <v>283</v>
      </c>
      <c r="C48" s="29" t="s">
        <v>253</v>
      </c>
      <c r="D48" s="28">
        <v>349846</v>
      </c>
      <c r="E48" s="28" t="s">
        <v>279</v>
      </c>
      <c r="F48" s="28" t="s">
        <v>280</v>
      </c>
      <c r="G48" s="30">
        <v>0.15579999999999999</v>
      </c>
      <c r="H48" s="31">
        <v>100</v>
      </c>
      <c r="I48" s="28"/>
      <c r="J48" s="20">
        <f t="shared" si="0"/>
        <v>15.58</v>
      </c>
    </row>
    <row r="49" spans="2:12" x14ac:dyDescent="0.25">
      <c r="B49" s="47" t="s">
        <v>283</v>
      </c>
      <c r="C49" s="29" t="s">
        <v>253</v>
      </c>
      <c r="D49" s="28">
        <v>349844</v>
      </c>
      <c r="E49" s="28" t="s">
        <v>118</v>
      </c>
      <c r="F49" s="28" t="s">
        <v>19</v>
      </c>
      <c r="G49" s="30">
        <v>0.30549999999999999</v>
      </c>
      <c r="H49" s="31">
        <v>100</v>
      </c>
      <c r="I49" s="28"/>
      <c r="J49" s="20">
        <f t="shared" si="0"/>
        <v>30.55</v>
      </c>
      <c r="L49" s="6"/>
    </row>
    <row r="50" spans="2:12" x14ac:dyDescent="0.25">
      <c r="B50" s="47" t="s">
        <v>283</v>
      </c>
      <c r="C50" s="29" t="s">
        <v>253</v>
      </c>
      <c r="D50" s="28">
        <v>349849</v>
      </c>
      <c r="E50" s="28" t="s">
        <v>151</v>
      </c>
      <c r="F50" s="28" t="s">
        <v>152</v>
      </c>
      <c r="G50" s="30">
        <v>0.5706</v>
      </c>
      <c r="H50" s="31">
        <v>100</v>
      </c>
      <c r="I50" s="28"/>
      <c r="J50" s="20">
        <f>G50*H50</f>
        <v>57.06</v>
      </c>
    </row>
    <row r="51" spans="2:12" x14ac:dyDescent="0.25">
      <c r="B51" s="47" t="s">
        <v>283</v>
      </c>
      <c r="C51" s="29" t="s">
        <v>253</v>
      </c>
      <c r="D51" s="28">
        <v>349852</v>
      </c>
      <c r="E51" s="28" t="s">
        <v>101</v>
      </c>
      <c r="F51" s="28" t="s">
        <v>76</v>
      </c>
      <c r="G51" s="30">
        <v>1.5001</v>
      </c>
      <c r="H51" s="28">
        <v>200</v>
      </c>
      <c r="I51" s="28"/>
      <c r="J51" s="20">
        <f t="shared" ref="J51:J86" si="1">G51*H51</f>
        <v>300.02</v>
      </c>
      <c r="K51" s="20">
        <f>SUM(J8:J51)</f>
        <v>4747.8449999999993</v>
      </c>
    </row>
    <row r="52" spans="2:12" x14ac:dyDescent="0.25">
      <c r="B52" s="43"/>
      <c r="C52" s="44"/>
      <c r="D52" s="44"/>
      <c r="E52" s="44"/>
      <c r="F52" s="44"/>
      <c r="G52" s="44"/>
      <c r="H52" s="44"/>
      <c r="I52" s="45"/>
    </row>
    <row r="53" spans="2:12" x14ac:dyDescent="0.25">
      <c r="B53" s="28"/>
      <c r="C53" s="29"/>
      <c r="D53" s="28"/>
      <c r="E53" s="28"/>
      <c r="F53" s="28"/>
      <c r="G53" s="30"/>
      <c r="H53" s="28"/>
      <c r="I53" s="28"/>
      <c r="J53" s="20">
        <f t="shared" si="1"/>
        <v>0</v>
      </c>
    </row>
    <row r="54" spans="2:12" x14ac:dyDescent="0.25">
      <c r="B54" s="28"/>
      <c r="C54" s="29"/>
      <c r="D54" s="28"/>
      <c r="E54" s="28"/>
      <c r="F54" s="28"/>
      <c r="G54" s="30"/>
      <c r="H54" s="28"/>
      <c r="I54" s="28"/>
      <c r="J54" s="20">
        <f t="shared" si="1"/>
        <v>0</v>
      </c>
    </row>
    <row r="55" spans="2:12" x14ac:dyDescent="0.25">
      <c r="B55" s="28"/>
      <c r="C55" s="29"/>
      <c r="D55" s="28"/>
      <c r="E55" s="28"/>
      <c r="F55" s="28"/>
      <c r="G55" s="30"/>
      <c r="H55" s="31"/>
      <c r="I55" s="28"/>
      <c r="J55" s="20">
        <f t="shared" si="1"/>
        <v>0</v>
      </c>
    </row>
    <row r="56" spans="2:12" x14ac:dyDescent="0.25">
      <c r="B56" s="28"/>
      <c r="C56" s="29"/>
      <c r="D56" s="28"/>
      <c r="E56" s="28"/>
      <c r="F56" s="28"/>
      <c r="G56" s="30"/>
      <c r="H56" s="28"/>
      <c r="I56" s="28"/>
      <c r="J56" s="20">
        <f t="shared" si="1"/>
        <v>0</v>
      </c>
    </row>
    <row r="57" spans="2:12" x14ac:dyDescent="0.25">
      <c r="B57" s="28"/>
      <c r="C57" s="29"/>
      <c r="D57" s="28"/>
      <c r="E57" s="28"/>
      <c r="F57" s="28"/>
      <c r="G57" s="30"/>
      <c r="H57" s="28"/>
      <c r="I57" s="28"/>
      <c r="J57" s="20">
        <f t="shared" si="1"/>
        <v>0</v>
      </c>
    </row>
    <row r="58" spans="2:12" x14ac:dyDescent="0.25">
      <c r="B58" s="28"/>
      <c r="C58" s="29"/>
      <c r="D58" s="28"/>
      <c r="E58" s="28"/>
      <c r="F58" s="28"/>
      <c r="G58" s="30"/>
      <c r="H58" s="28"/>
      <c r="I58" s="28"/>
      <c r="J58" s="20">
        <f t="shared" si="1"/>
        <v>0</v>
      </c>
    </row>
    <row r="59" spans="2:12" x14ac:dyDescent="0.25">
      <c r="B59" s="28"/>
      <c r="C59" s="29"/>
      <c r="D59" s="28"/>
      <c r="E59" s="28"/>
      <c r="F59" s="28"/>
      <c r="G59" s="30"/>
      <c r="H59" s="28"/>
      <c r="I59" s="28"/>
      <c r="J59" s="20">
        <f t="shared" si="1"/>
        <v>0</v>
      </c>
    </row>
    <row r="60" spans="2:12" x14ac:dyDescent="0.25">
      <c r="B60" s="28"/>
      <c r="C60" s="29"/>
      <c r="D60" s="28"/>
      <c r="E60" s="28"/>
      <c r="F60" s="28"/>
      <c r="G60" s="30"/>
      <c r="H60" s="28"/>
      <c r="I60" s="28"/>
      <c r="J60" s="20">
        <f t="shared" si="1"/>
        <v>0</v>
      </c>
    </row>
    <row r="61" spans="2:12" x14ac:dyDescent="0.25">
      <c r="B61" s="28"/>
      <c r="C61" s="29"/>
      <c r="D61" s="28"/>
      <c r="E61" s="28"/>
      <c r="F61" s="28"/>
      <c r="G61" s="30"/>
      <c r="H61" s="28"/>
      <c r="I61" s="28"/>
      <c r="J61" s="20">
        <f t="shared" si="1"/>
        <v>0</v>
      </c>
    </row>
    <row r="62" spans="2:12" x14ac:dyDescent="0.25">
      <c r="B62" s="28"/>
      <c r="C62" s="29"/>
      <c r="D62" s="28"/>
      <c r="E62" s="28"/>
      <c r="F62" s="28"/>
      <c r="G62" s="30"/>
      <c r="H62" s="28"/>
      <c r="I62" s="28"/>
      <c r="J62" s="20">
        <f t="shared" si="1"/>
        <v>0</v>
      </c>
    </row>
    <row r="63" spans="2:12" x14ac:dyDescent="0.25">
      <c r="B63" s="28"/>
      <c r="C63" s="29"/>
      <c r="D63" s="28"/>
      <c r="E63" s="28"/>
      <c r="F63" s="28"/>
      <c r="G63" s="30"/>
      <c r="H63" s="28"/>
      <c r="I63" s="28"/>
      <c r="J63" s="20">
        <f t="shared" si="1"/>
        <v>0</v>
      </c>
    </row>
    <row r="64" spans="2:12" x14ac:dyDescent="0.25">
      <c r="B64" s="28"/>
      <c r="C64" s="29"/>
      <c r="D64" s="28"/>
      <c r="E64" s="28"/>
      <c r="F64" s="28"/>
      <c r="G64" s="30"/>
      <c r="H64" s="31"/>
      <c r="I64" s="28"/>
      <c r="J64" s="20">
        <f t="shared" si="1"/>
        <v>0</v>
      </c>
    </row>
    <row r="65" spans="2:10" x14ac:dyDescent="0.25">
      <c r="B65" s="28"/>
      <c r="C65" s="29"/>
      <c r="D65" s="28"/>
      <c r="E65" s="28"/>
      <c r="F65" s="28"/>
      <c r="G65" s="30"/>
      <c r="H65" s="28"/>
      <c r="I65" s="28"/>
      <c r="J65" s="20">
        <f t="shared" si="1"/>
        <v>0</v>
      </c>
    </row>
    <row r="66" spans="2:10" x14ac:dyDescent="0.25">
      <c r="B66" s="28"/>
      <c r="C66" s="29"/>
      <c r="D66" s="28"/>
      <c r="E66" s="28"/>
      <c r="F66" s="28"/>
      <c r="G66" s="30"/>
      <c r="H66" s="28"/>
      <c r="I66" s="28"/>
      <c r="J66" s="20">
        <f t="shared" si="1"/>
        <v>0</v>
      </c>
    </row>
    <row r="67" spans="2:10" x14ac:dyDescent="0.25">
      <c r="B67" s="28"/>
      <c r="C67" s="29"/>
      <c r="D67" s="28"/>
      <c r="E67" s="28"/>
      <c r="F67" s="28"/>
      <c r="G67" s="30"/>
      <c r="H67" s="28"/>
      <c r="I67" s="28"/>
      <c r="J67" s="20">
        <f t="shared" si="1"/>
        <v>0</v>
      </c>
    </row>
    <row r="68" spans="2:10" x14ac:dyDescent="0.25">
      <c r="B68" s="28"/>
      <c r="C68" s="29"/>
      <c r="D68" s="28"/>
      <c r="E68" s="28"/>
      <c r="F68" s="28"/>
      <c r="G68" s="30"/>
      <c r="H68" s="28"/>
      <c r="I68" s="28"/>
      <c r="J68" s="20">
        <f t="shared" si="1"/>
        <v>0</v>
      </c>
    </row>
    <row r="69" spans="2:10" x14ac:dyDescent="0.25">
      <c r="B69" s="28"/>
      <c r="C69" s="29"/>
      <c r="D69" s="28"/>
      <c r="E69" s="28"/>
      <c r="F69" s="28"/>
      <c r="G69" s="30"/>
      <c r="H69" s="28"/>
      <c r="I69" s="28"/>
      <c r="J69" s="20">
        <f t="shared" si="1"/>
        <v>0</v>
      </c>
    </row>
    <row r="70" spans="2:10" x14ac:dyDescent="0.25">
      <c r="B70" s="28"/>
      <c r="C70" s="29"/>
      <c r="D70" s="28"/>
      <c r="E70" s="28"/>
      <c r="F70" s="28"/>
      <c r="G70" s="30"/>
      <c r="H70" s="28"/>
      <c r="I70" s="28"/>
      <c r="J70" s="20">
        <f t="shared" si="1"/>
        <v>0</v>
      </c>
    </row>
    <row r="71" spans="2:10" x14ac:dyDescent="0.25">
      <c r="B71" s="28"/>
      <c r="C71" s="29"/>
      <c r="D71" s="28"/>
      <c r="E71" s="28"/>
      <c r="F71" s="28"/>
      <c r="G71" s="30"/>
      <c r="H71" s="31"/>
      <c r="I71" s="28"/>
      <c r="J71" s="20">
        <f t="shared" si="1"/>
        <v>0</v>
      </c>
    </row>
    <row r="72" spans="2:10" x14ac:dyDescent="0.25">
      <c r="B72" s="28"/>
      <c r="C72" s="29"/>
      <c r="D72" s="28"/>
      <c r="E72" s="28"/>
      <c r="F72" s="28"/>
      <c r="G72" s="30"/>
      <c r="H72" s="28"/>
      <c r="I72" s="28"/>
      <c r="J72" s="20">
        <f t="shared" si="1"/>
        <v>0</v>
      </c>
    </row>
    <row r="73" spans="2:10" x14ac:dyDescent="0.25">
      <c r="B73" s="28"/>
      <c r="C73" s="29"/>
      <c r="D73" s="28"/>
      <c r="E73" s="28"/>
      <c r="F73" s="28"/>
      <c r="G73" s="30"/>
      <c r="H73" s="28"/>
      <c r="I73" s="28"/>
      <c r="J73" s="20">
        <f t="shared" si="1"/>
        <v>0</v>
      </c>
    </row>
    <row r="74" spans="2:10" x14ac:dyDescent="0.25">
      <c r="B74" s="28"/>
      <c r="C74" s="29"/>
      <c r="D74" s="28"/>
      <c r="E74" s="28"/>
      <c r="F74" s="28"/>
      <c r="G74" s="30"/>
      <c r="H74" s="28"/>
      <c r="I74" s="28"/>
      <c r="J74" s="20">
        <f t="shared" si="1"/>
        <v>0</v>
      </c>
    </row>
    <row r="75" spans="2:10" x14ac:dyDescent="0.25">
      <c r="B75" s="28"/>
      <c r="C75" s="29"/>
      <c r="D75" s="28"/>
      <c r="E75" s="28"/>
      <c r="F75" s="28"/>
      <c r="G75" s="30"/>
      <c r="H75" s="28"/>
      <c r="I75" s="28"/>
      <c r="J75" s="20">
        <f t="shared" si="1"/>
        <v>0</v>
      </c>
    </row>
    <row r="76" spans="2:10" x14ac:dyDescent="0.25">
      <c r="B76" s="28"/>
      <c r="C76" s="29"/>
      <c r="D76" s="28"/>
      <c r="E76" s="28"/>
      <c r="F76" s="28"/>
      <c r="G76" s="30"/>
      <c r="H76" s="28"/>
      <c r="I76" s="28"/>
      <c r="J76" s="20">
        <f t="shared" si="1"/>
        <v>0</v>
      </c>
    </row>
    <row r="77" spans="2:10" x14ac:dyDescent="0.25">
      <c r="B77" s="28"/>
      <c r="C77" s="29"/>
      <c r="D77" s="28"/>
      <c r="E77" s="28"/>
      <c r="F77" s="28"/>
      <c r="G77" s="30"/>
      <c r="H77" s="28"/>
      <c r="I77" s="28"/>
      <c r="J77" s="20">
        <f t="shared" si="1"/>
        <v>0</v>
      </c>
    </row>
    <row r="78" spans="2:10" x14ac:dyDescent="0.25">
      <c r="B78" s="28"/>
      <c r="C78" s="29"/>
      <c r="D78" s="28"/>
      <c r="E78" s="28"/>
      <c r="F78" s="28"/>
      <c r="G78" s="30"/>
      <c r="H78" s="28"/>
      <c r="I78" s="28"/>
      <c r="J78" s="20">
        <f t="shared" si="1"/>
        <v>0</v>
      </c>
    </row>
    <row r="79" spans="2:10" x14ac:dyDescent="0.25">
      <c r="B79" s="28"/>
      <c r="C79" s="29"/>
      <c r="D79" s="28"/>
      <c r="E79" s="28"/>
      <c r="F79" s="28"/>
      <c r="G79" s="30"/>
      <c r="H79" s="28"/>
      <c r="I79" s="28"/>
      <c r="J79" s="20">
        <f t="shared" si="1"/>
        <v>0</v>
      </c>
    </row>
    <row r="80" spans="2:10" x14ac:dyDescent="0.25">
      <c r="B80" s="28"/>
      <c r="C80" s="29"/>
      <c r="D80" s="28"/>
      <c r="E80" s="28"/>
      <c r="F80" s="28"/>
      <c r="G80" s="30"/>
      <c r="H80" s="28"/>
      <c r="I80" s="28"/>
      <c r="J80" s="20">
        <f t="shared" si="1"/>
        <v>0</v>
      </c>
    </row>
    <row r="81" spans="2:12" x14ac:dyDescent="0.25">
      <c r="B81" s="28"/>
      <c r="C81" s="29"/>
      <c r="D81" s="28"/>
      <c r="E81" s="28"/>
      <c r="F81" s="34"/>
      <c r="G81" s="35"/>
      <c r="H81" s="28"/>
      <c r="I81" s="28"/>
      <c r="J81" s="20">
        <f t="shared" si="1"/>
        <v>0</v>
      </c>
    </row>
    <row r="82" spans="2:12" x14ac:dyDescent="0.25">
      <c r="B82" s="28"/>
      <c r="C82" s="29"/>
      <c r="D82" s="28"/>
      <c r="E82" s="28"/>
      <c r="F82" s="28"/>
      <c r="G82" s="30"/>
      <c r="H82" s="28"/>
      <c r="I82" s="28"/>
      <c r="J82" s="20">
        <f t="shared" si="1"/>
        <v>0</v>
      </c>
    </row>
    <row r="83" spans="2:12" x14ac:dyDescent="0.25">
      <c r="B83" s="28"/>
      <c r="C83" s="29"/>
      <c r="D83" s="28"/>
      <c r="E83" s="28"/>
      <c r="F83" s="28"/>
      <c r="G83" s="30"/>
      <c r="H83" s="28"/>
      <c r="I83" s="28"/>
      <c r="J83" s="20">
        <f t="shared" si="1"/>
        <v>0</v>
      </c>
    </row>
    <row r="84" spans="2:12" x14ac:dyDescent="0.25">
      <c r="B84" s="28"/>
      <c r="C84" s="29"/>
      <c r="D84" s="28"/>
      <c r="E84" s="28"/>
      <c r="F84" s="28"/>
      <c r="G84" s="30"/>
      <c r="H84" s="28"/>
      <c r="I84" s="28"/>
      <c r="J84" s="20">
        <f t="shared" si="1"/>
        <v>0</v>
      </c>
    </row>
    <row r="85" spans="2:12" x14ac:dyDescent="0.25">
      <c r="B85" s="28"/>
      <c r="C85" s="29"/>
      <c r="D85" s="28"/>
      <c r="E85" s="28"/>
      <c r="F85" s="28"/>
      <c r="G85" s="30"/>
      <c r="H85" s="28"/>
      <c r="I85" s="28"/>
      <c r="J85" s="20">
        <f t="shared" si="1"/>
        <v>0</v>
      </c>
    </row>
    <row r="86" spans="2:12" x14ac:dyDescent="0.25">
      <c r="B86" s="28"/>
      <c r="C86" s="29"/>
      <c r="D86" s="28"/>
      <c r="E86" s="28"/>
      <c r="F86" s="28"/>
      <c r="G86" s="30"/>
      <c r="H86" s="28"/>
      <c r="I86" s="28"/>
      <c r="J86" s="20">
        <f t="shared" si="1"/>
        <v>0</v>
      </c>
      <c r="L86" s="6">
        <f>SUM(J50:J86)</f>
        <v>357.08</v>
      </c>
    </row>
    <row r="87" spans="2:12" x14ac:dyDescent="0.25">
      <c r="B87" s="46"/>
      <c r="C87" s="41"/>
      <c r="D87" s="41"/>
      <c r="E87" s="41"/>
      <c r="F87" s="41"/>
      <c r="G87" s="41"/>
      <c r="H87" s="41"/>
      <c r="I87" s="42"/>
    </row>
    <row r="88" spans="2:12" x14ac:dyDescent="0.25">
      <c r="B88" s="28"/>
      <c r="C88" s="29"/>
      <c r="D88" s="28"/>
      <c r="E88" s="28"/>
      <c r="F88" s="28"/>
      <c r="G88" s="28"/>
      <c r="H88" s="28"/>
      <c r="I88" s="28"/>
      <c r="J88" s="20">
        <f>G88*H88</f>
        <v>0</v>
      </c>
    </row>
    <row r="89" spans="2:12" x14ac:dyDescent="0.25">
      <c r="B89" s="28"/>
      <c r="C89" s="29"/>
      <c r="D89" s="28"/>
      <c r="E89" s="28"/>
      <c r="F89" s="28"/>
      <c r="G89" s="28"/>
      <c r="H89" s="28"/>
      <c r="I89" s="28"/>
      <c r="J89" s="20">
        <f t="shared" ref="J89:J140" si="2">G89*H89</f>
        <v>0</v>
      </c>
    </row>
    <row r="90" spans="2:12" x14ac:dyDescent="0.25">
      <c r="B90" s="28"/>
      <c r="C90" s="29"/>
      <c r="D90" s="28"/>
      <c r="E90" s="28"/>
      <c r="F90" s="28"/>
      <c r="G90" s="36"/>
      <c r="H90" s="28"/>
      <c r="I90" s="28"/>
      <c r="J90" s="20">
        <f t="shared" si="2"/>
        <v>0</v>
      </c>
    </row>
    <row r="91" spans="2:12" x14ac:dyDescent="0.25">
      <c r="B91" s="28"/>
      <c r="C91" s="29"/>
      <c r="D91" s="28"/>
      <c r="E91" s="28"/>
      <c r="F91" s="28"/>
      <c r="G91" s="36"/>
      <c r="H91" s="28"/>
      <c r="I91" s="28"/>
      <c r="J91" s="20">
        <f t="shared" si="2"/>
        <v>0</v>
      </c>
    </row>
    <row r="92" spans="2:12" x14ac:dyDescent="0.25">
      <c r="B92" s="28"/>
      <c r="C92" s="29"/>
      <c r="D92" s="28"/>
      <c r="E92" s="28"/>
      <c r="F92" s="28"/>
      <c r="G92" s="28"/>
      <c r="H92" s="28"/>
      <c r="I92" s="28"/>
      <c r="J92" s="20">
        <f t="shared" si="2"/>
        <v>0</v>
      </c>
    </row>
    <row r="93" spans="2:12" x14ac:dyDescent="0.25">
      <c r="B93" s="28"/>
      <c r="C93" s="29"/>
      <c r="D93" s="28"/>
      <c r="E93" s="28"/>
      <c r="F93" s="28"/>
      <c r="G93" s="28"/>
      <c r="H93" s="28"/>
      <c r="I93" s="28"/>
      <c r="J93" s="20">
        <f t="shared" si="2"/>
        <v>0</v>
      </c>
    </row>
    <row r="94" spans="2:12" x14ac:dyDescent="0.25">
      <c r="B94" s="28"/>
      <c r="C94" s="29"/>
      <c r="D94" s="28"/>
      <c r="E94" s="28"/>
      <c r="F94" s="28"/>
      <c r="G94" s="28"/>
      <c r="H94" s="28"/>
      <c r="I94" s="28"/>
      <c r="J94" s="20">
        <f t="shared" si="2"/>
        <v>0</v>
      </c>
    </row>
    <row r="95" spans="2:12" x14ac:dyDescent="0.25">
      <c r="B95" s="28"/>
      <c r="C95" s="29"/>
      <c r="D95" s="28"/>
      <c r="E95" s="32"/>
      <c r="F95" s="28"/>
      <c r="G95" s="28"/>
      <c r="H95" s="28"/>
      <c r="I95" s="28"/>
      <c r="J95" s="20">
        <f t="shared" si="2"/>
        <v>0</v>
      </c>
    </row>
    <row r="96" spans="2:12" x14ac:dyDescent="0.25">
      <c r="B96" s="28"/>
      <c r="C96" s="29"/>
      <c r="D96" s="28"/>
      <c r="E96" s="28"/>
      <c r="F96" s="28"/>
      <c r="G96" s="28"/>
      <c r="H96" s="28"/>
      <c r="I96" s="28"/>
      <c r="J96" s="20">
        <f t="shared" si="2"/>
        <v>0</v>
      </c>
    </row>
    <row r="97" spans="2:10" x14ac:dyDescent="0.25">
      <c r="B97" s="28"/>
      <c r="C97" s="29"/>
      <c r="D97" s="28"/>
      <c r="E97" s="28"/>
      <c r="F97" s="28"/>
      <c r="G97" s="28"/>
      <c r="H97" s="28"/>
      <c r="I97" s="28"/>
      <c r="J97" s="20">
        <f t="shared" si="2"/>
        <v>0</v>
      </c>
    </row>
    <row r="98" spans="2:10" x14ac:dyDescent="0.25">
      <c r="B98" s="28"/>
      <c r="C98" s="29"/>
      <c r="D98" s="28"/>
      <c r="E98" s="28"/>
      <c r="F98" s="28"/>
      <c r="G98" s="28"/>
      <c r="H98" s="28"/>
      <c r="I98" s="28"/>
      <c r="J98" s="20">
        <f t="shared" si="2"/>
        <v>0</v>
      </c>
    </row>
    <row r="99" spans="2:10" x14ac:dyDescent="0.25">
      <c r="B99" s="28"/>
      <c r="C99" s="29"/>
      <c r="D99" s="28"/>
      <c r="E99" s="28"/>
      <c r="F99" s="28"/>
      <c r="G99" s="28"/>
      <c r="H99" s="28"/>
      <c r="I99" s="28"/>
      <c r="J99" s="20">
        <f t="shared" si="2"/>
        <v>0</v>
      </c>
    </row>
    <row r="100" spans="2:10" x14ac:dyDescent="0.25">
      <c r="B100" s="28"/>
      <c r="C100" s="29"/>
      <c r="D100" s="28"/>
      <c r="E100" s="28"/>
      <c r="F100" s="28"/>
      <c r="G100" s="28"/>
      <c r="H100" s="28"/>
      <c r="I100" s="28"/>
      <c r="J100" s="20">
        <f t="shared" si="2"/>
        <v>0</v>
      </c>
    </row>
    <row r="101" spans="2:10" x14ac:dyDescent="0.25">
      <c r="B101" s="28"/>
      <c r="C101" s="29"/>
      <c r="D101" s="28"/>
      <c r="E101" s="28"/>
      <c r="F101" s="28"/>
      <c r="G101" s="28"/>
      <c r="H101" s="28"/>
      <c r="I101" s="28"/>
      <c r="J101" s="20">
        <f t="shared" si="2"/>
        <v>0</v>
      </c>
    </row>
    <row r="102" spans="2:10" x14ac:dyDescent="0.25">
      <c r="B102" s="28"/>
      <c r="C102" s="29"/>
      <c r="D102" s="28"/>
      <c r="E102" s="28"/>
      <c r="F102" s="28"/>
      <c r="G102" s="28"/>
      <c r="H102" s="28"/>
      <c r="I102" s="28"/>
      <c r="J102" s="20">
        <f t="shared" si="2"/>
        <v>0</v>
      </c>
    </row>
    <row r="103" spans="2:10" x14ac:dyDescent="0.25">
      <c r="B103" s="28"/>
      <c r="C103" s="29"/>
      <c r="D103" s="28"/>
      <c r="E103" s="28"/>
      <c r="F103" s="28"/>
      <c r="G103" s="28"/>
      <c r="H103" s="28"/>
      <c r="I103" s="28"/>
      <c r="J103" s="20">
        <f t="shared" si="2"/>
        <v>0</v>
      </c>
    </row>
    <row r="104" spans="2:10" x14ac:dyDescent="0.25">
      <c r="B104" s="28"/>
      <c r="C104" s="29"/>
      <c r="D104" s="28"/>
      <c r="E104" s="28"/>
      <c r="F104" s="28"/>
      <c r="G104" s="28"/>
      <c r="H104" s="28"/>
      <c r="I104" s="28"/>
      <c r="J104" s="20">
        <f t="shared" si="2"/>
        <v>0</v>
      </c>
    </row>
    <row r="105" spans="2:10" x14ac:dyDescent="0.25">
      <c r="B105" s="28"/>
      <c r="C105" s="29"/>
      <c r="D105" s="28"/>
      <c r="E105" s="28"/>
      <c r="F105" s="28"/>
      <c r="G105" s="28"/>
      <c r="H105" s="28"/>
      <c r="I105" s="28"/>
      <c r="J105" s="20">
        <f t="shared" si="2"/>
        <v>0</v>
      </c>
    </row>
    <row r="106" spans="2:10" x14ac:dyDescent="0.25">
      <c r="B106" s="28"/>
      <c r="C106" s="29"/>
      <c r="D106" s="28"/>
      <c r="E106" s="28"/>
      <c r="F106" s="28"/>
      <c r="G106" s="28"/>
      <c r="H106" s="28"/>
      <c r="I106" s="28"/>
      <c r="J106" s="20">
        <f t="shared" si="2"/>
        <v>0</v>
      </c>
    </row>
    <row r="107" spans="2:10" x14ac:dyDescent="0.25">
      <c r="B107" s="28"/>
      <c r="C107" s="29"/>
      <c r="D107" s="28"/>
      <c r="E107" s="28"/>
      <c r="F107" s="28"/>
      <c r="G107" s="28"/>
      <c r="H107" s="28"/>
      <c r="I107" s="28"/>
      <c r="J107" s="20">
        <f t="shared" si="2"/>
        <v>0</v>
      </c>
    </row>
    <row r="108" spans="2:10" x14ac:dyDescent="0.25">
      <c r="B108" s="28"/>
      <c r="C108" s="29"/>
      <c r="D108" s="28"/>
      <c r="E108" s="28"/>
      <c r="F108" s="28"/>
      <c r="G108" s="28"/>
      <c r="H108" s="28"/>
      <c r="I108" s="28"/>
      <c r="J108" s="20">
        <f t="shared" si="2"/>
        <v>0</v>
      </c>
    </row>
    <row r="109" spans="2:10" x14ac:dyDescent="0.25">
      <c r="B109" s="28"/>
      <c r="C109" s="29"/>
      <c r="D109" s="28"/>
      <c r="E109" s="28"/>
      <c r="F109" s="28"/>
      <c r="G109" s="28"/>
      <c r="H109" s="28"/>
      <c r="I109" s="28"/>
      <c r="J109" s="20">
        <f t="shared" si="2"/>
        <v>0</v>
      </c>
    </row>
    <row r="110" spans="2:10" x14ac:dyDescent="0.25">
      <c r="B110" s="28"/>
      <c r="C110" s="29"/>
      <c r="D110" s="28"/>
      <c r="E110" s="28"/>
      <c r="F110" s="28"/>
      <c r="G110" s="28"/>
      <c r="H110" s="28"/>
      <c r="I110" s="28"/>
      <c r="J110" s="20">
        <f t="shared" si="2"/>
        <v>0</v>
      </c>
    </row>
    <row r="111" spans="2:10" x14ac:dyDescent="0.25">
      <c r="B111" s="28"/>
      <c r="C111" s="29"/>
      <c r="D111" s="28"/>
      <c r="E111" s="28"/>
      <c r="F111" s="28"/>
      <c r="G111" s="28"/>
      <c r="H111" s="28"/>
      <c r="I111" s="28"/>
      <c r="J111" s="20">
        <f t="shared" si="2"/>
        <v>0</v>
      </c>
    </row>
    <row r="112" spans="2:10" x14ac:dyDescent="0.25">
      <c r="B112" s="28"/>
      <c r="C112" s="29"/>
      <c r="D112" s="28"/>
      <c r="E112" s="28"/>
      <c r="F112" s="28"/>
      <c r="G112" s="36"/>
      <c r="H112" s="28"/>
      <c r="I112" s="28"/>
      <c r="J112" s="20">
        <f t="shared" si="2"/>
        <v>0</v>
      </c>
    </row>
    <row r="113" spans="2:10" x14ac:dyDescent="0.25">
      <c r="B113" s="28"/>
      <c r="C113" s="29"/>
      <c r="D113" s="28"/>
      <c r="E113" s="28"/>
      <c r="F113" s="28"/>
      <c r="G113" s="36"/>
      <c r="H113" s="28"/>
      <c r="I113" s="28"/>
      <c r="J113" s="20">
        <f t="shared" si="2"/>
        <v>0</v>
      </c>
    </row>
    <row r="114" spans="2:10" x14ac:dyDescent="0.25">
      <c r="B114" s="28"/>
      <c r="C114" s="29"/>
      <c r="D114" s="28"/>
      <c r="E114" s="28"/>
      <c r="F114" s="28"/>
      <c r="G114" s="28"/>
      <c r="H114" s="28"/>
      <c r="I114" s="28"/>
      <c r="J114" s="20">
        <f t="shared" si="2"/>
        <v>0</v>
      </c>
    </row>
    <row r="115" spans="2:10" x14ac:dyDescent="0.25">
      <c r="B115" s="28"/>
      <c r="C115" s="29"/>
      <c r="D115" s="28"/>
      <c r="E115" s="28"/>
      <c r="F115" s="28"/>
      <c r="G115" s="28"/>
      <c r="H115" s="28"/>
      <c r="I115" s="28"/>
      <c r="J115" s="20">
        <f t="shared" si="2"/>
        <v>0</v>
      </c>
    </row>
    <row r="116" spans="2:10" x14ac:dyDescent="0.25">
      <c r="B116" s="28"/>
      <c r="C116" s="29"/>
      <c r="D116" s="28"/>
      <c r="E116" s="28"/>
      <c r="F116" s="28"/>
      <c r="G116" s="28"/>
      <c r="H116" s="28"/>
      <c r="I116" s="28"/>
      <c r="J116" s="20">
        <f t="shared" si="2"/>
        <v>0</v>
      </c>
    </row>
    <row r="117" spans="2:10" x14ac:dyDescent="0.25">
      <c r="B117" s="28"/>
      <c r="C117" s="29"/>
      <c r="D117" s="28"/>
      <c r="E117" s="28"/>
      <c r="F117" s="28"/>
      <c r="G117" s="28"/>
      <c r="H117" s="28"/>
      <c r="I117" s="28"/>
      <c r="J117" s="20">
        <f t="shared" si="2"/>
        <v>0</v>
      </c>
    </row>
    <row r="118" spans="2:10" x14ac:dyDescent="0.25">
      <c r="B118" s="28"/>
      <c r="C118" s="29"/>
      <c r="D118" s="28"/>
      <c r="E118" s="28"/>
      <c r="F118" s="28"/>
      <c r="G118" s="28"/>
      <c r="H118" s="28"/>
      <c r="I118" s="28"/>
      <c r="J118" s="20">
        <f t="shared" si="2"/>
        <v>0</v>
      </c>
    </row>
    <row r="119" spans="2:10" x14ac:dyDescent="0.25">
      <c r="B119" s="28"/>
      <c r="C119" s="29"/>
      <c r="D119" s="28"/>
      <c r="E119" s="28"/>
      <c r="F119" s="28"/>
      <c r="G119" s="28"/>
      <c r="H119" s="28"/>
      <c r="I119" s="28"/>
      <c r="J119" s="20">
        <f t="shared" si="2"/>
        <v>0</v>
      </c>
    </row>
    <row r="120" spans="2:10" x14ac:dyDescent="0.25">
      <c r="B120" s="28"/>
      <c r="C120" s="29"/>
      <c r="D120" s="28"/>
      <c r="E120" s="28"/>
      <c r="F120" s="28"/>
      <c r="G120" s="28"/>
      <c r="H120" s="28"/>
      <c r="I120" s="28"/>
      <c r="J120" s="20">
        <f t="shared" si="2"/>
        <v>0</v>
      </c>
    </row>
    <row r="121" spans="2:10" x14ac:dyDescent="0.25">
      <c r="B121" s="28"/>
      <c r="C121" s="29"/>
      <c r="D121" s="28"/>
      <c r="E121" s="28"/>
      <c r="F121" s="28"/>
      <c r="G121" s="28"/>
      <c r="H121" s="28"/>
      <c r="I121" s="28"/>
      <c r="J121" s="20">
        <f t="shared" si="2"/>
        <v>0</v>
      </c>
    </row>
    <row r="122" spans="2:10" x14ac:dyDescent="0.25">
      <c r="B122" s="28"/>
      <c r="C122" s="29"/>
      <c r="D122" s="28"/>
      <c r="E122" s="28"/>
      <c r="F122" s="28"/>
      <c r="G122" s="28"/>
      <c r="H122" s="28"/>
      <c r="I122" s="28"/>
      <c r="J122" s="20">
        <f t="shared" si="2"/>
        <v>0</v>
      </c>
    </row>
    <row r="123" spans="2:10" x14ac:dyDescent="0.25">
      <c r="B123" s="28"/>
      <c r="C123" s="29"/>
      <c r="D123" s="28"/>
      <c r="E123" s="28"/>
      <c r="F123" s="28"/>
      <c r="G123" s="28"/>
      <c r="H123" s="28"/>
      <c r="I123" s="28"/>
      <c r="J123" s="20">
        <f t="shared" si="2"/>
        <v>0</v>
      </c>
    </row>
    <row r="124" spans="2:10" x14ac:dyDescent="0.25">
      <c r="B124" s="28"/>
      <c r="C124" s="29"/>
      <c r="D124" s="28"/>
      <c r="E124" s="28"/>
      <c r="F124" s="28"/>
      <c r="G124" s="28"/>
      <c r="H124" s="28"/>
      <c r="I124" s="28"/>
      <c r="J124" s="20">
        <f t="shared" si="2"/>
        <v>0</v>
      </c>
    </row>
    <row r="125" spans="2:10" x14ac:dyDescent="0.25">
      <c r="B125" s="28"/>
      <c r="C125" s="29"/>
      <c r="D125" s="28"/>
      <c r="E125" s="28"/>
      <c r="F125" s="28"/>
      <c r="G125" s="36"/>
      <c r="H125" s="28"/>
      <c r="I125" s="28"/>
      <c r="J125" s="20">
        <f t="shared" si="2"/>
        <v>0</v>
      </c>
    </row>
    <row r="126" spans="2:10" x14ac:dyDescent="0.25">
      <c r="B126" s="28"/>
      <c r="C126" s="29"/>
      <c r="D126" s="28"/>
      <c r="E126" s="28"/>
      <c r="F126" s="28"/>
      <c r="G126" s="36"/>
      <c r="H126" s="28"/>
      <c r="I126" s="28"/>
      <c r="J126" s="20">
        <f t="shared" si="2"/>
        <v>0</v>
      </c>
    </row>
    <row r="127" spans="2:10" x14ac:dyDescent="0.25">
      <c r="B127" s="28"/>
      <c r="C127" s="29"/>
      <c r="D127" s="28"/>
      <c r="E127" s="28"/>
      <c r="F127" s="28"/>
      <c r="G127" s="36"/>
      <c r="H127" s="28"/>
      <c r="I127" s="28"/>
      <c r="J127" s="20">
        <f t="shared" si="2"/>
        <v>0</v>
      </c>
    </row>
    <row r="128" spans="2:10" x14ac:dyDescent="0.25">
      <c r="B128" s="28"/>
      <c r="C128" s="29"/>
      <c r="D128" s="28"/>
      <c r="E128" s="28"/>
      <c r="F128" s="28"/>
      <c r="G128" s="36"/>
      <c r="H128" s="28"/>
      <c r="I128" s="28"/>
      <c r="J128" s="20">
        <f t="shared" si="2"/>
        <v>0</v>
      </c>
    </row>
    <row r="129" spans="2:11" x14ac:dyDescent="0.25">
      <c r="B129" s="28"/>
      <c r="C129" s="29"/>
      <c r="D129" s="28"/>
      <c r="E129" s="28"/>
      <c r="F129" s="28"/>
      <c r="G129" s="36"/>
      <c r="H129" s="28"/>
      <c r="I129" s="28"/>
      <c r="J129" s="20">
        <f t="shared" si="2"/>
        <v>0</v>
      </c>
    </row>
    <row r="130" spans="2:11" x14ac:dyDescent="0.25">
      <c r="B130" s="28"/>
      <c r="C130" s="29"/>
      <c r="D130" s="28"/>
      <c r="E130" s="28"/>
      <c r="F130" s="28"/>
      <c r="G130" s="36"/>
      <c r="H130" s="28"/>
      <c r="I130" s="28"/>
      <c r="J130" s="20">
        <f t="shared" si="2"/>
        <v>0</v>
      </c>
    </row>
    <row r="131" spans="2:11" x14ac:dyDescent="0.25">
      <c r="B131" s="28"/>
      <c r="C131" s="29"/>
      <c r="D131" s="28"/>
      <c r="E131" s="28"/>
      <c r="F131" s="28"/>
      <c r="G131" s="36"/>
      <c r="H131" s="28"/>
      <c r="I131" s="28"/>
      <c r="J131" s="20">
        <f t="shared" si="2"/>
        <v>0</v>
      </c>
    </row>
    <row r="132" spans="2:11" x14ac:dyDescent="0.25">
      <c r="B132" s="28"/>
      <c r="C132" s="29"/>
      <c r="D132" s="28"/>
      <c r="E132" s="28"/>
      <c r="F132" s="28"/>
      <c r="G132" s="36"/>
      <c r="H132" s="28"/>
      <c r="I132" s="28"/>
      <c r="J132" s="20">
        <f t="shared" si="2"/>
        <v>0</v>
      </c>
    </row>
    <row r="133" spans="2:11" x14ac:dyDescent="0.25">
      <c r="B133" s="28"/>
      <c r="C133" s="29"/>
      <c r="D133" s="28"/>
      <c r="E133" s="28"/>
      <c r="F133" s="28"/>
      <c r="G133" s="36"/>
      <c r="H133" s="28"/>
      <c r="I133" s="28"/>
      <c r="J133" s="20">
        <f t="shared" si="2"/>
        <v>0</v>
      </c>
    </row>
    <row r="134" spans="2:11" x14ac:dyDescent="0.25">
      <c r="B134" s="28"/>
      <c r="C134" s="29"/>
      <c r="D134" s="28"/>
      <c r="E134" s="28"/>
      <c r="F134" s="28"/>
      <c r="G134" s="36"/>
      <c r="H134" s="28"/>
      <c r="I134" s="28"/>
      <c r="J134" s="20">
        <f t="shared" si="2"/>
        <v>0</v>
      </c>
    </row>
    <row r="135" spans="2:11" x14ac:dyDescent="0.25">
      <c r="B135" s="28"/>
      <c r="C135" s="29"/>
      <c r="D135" s="28"/>
      <c r="E135" s="28"/>
      <c r="F135" s="28"/>
      <c r="G135" s="36"/>
      <c r="H135" s="28"/>
      <c r="I135" s="28"/>
      <c r="J135" s="20">
        <f t="shared" si="2"/>
        <v>0</v>
      </c>
      <c r="K135" s="20"/>
    </row>
    <row r="136" spans="2:11" x14ac:dyDescent="0.25">
      <c r="B136" s="28"/>
      <c r="C136" s="29"/>
      <c r="D136" s="37"/>
      <c r="E136" s="28"/>
      <c r="F136" s="28"/>
      <c r="G136" s="36"/>
      <c r="H136" s="28"/>
      <c r="I136" s="28"/>
      <c r="J136" s="20">
        <f t="shared" si="2"/>
        <v>0</v>
      </c>
      <c r="K136" s="20"/>
    </row>
    <row r="137" spans="2:11" x14ac:dyDescent="0.25">
      <c r="B137" s="28"/>
      <c r="C137" s="29"/>
      <c r="D137" s="37"/>
      <c r="E137" s="32"/>
      <c r="F137" s="28"/>
      <c r="G137" s="36"/>
      <c r="H137" s="28"/>
      <c r="I137" s="28"/>
      <c r="J137" s="20">
        <f t="shared" si="2"/>
        <v>0</v>
      </c>
      <c r="K137" s="20"/>
    </row>
    <row r="138" spans="2:11" x14ac:dyDescent="0.25">
      <c r="B138" s="28"/>
      <c r="C138" s="29"/>
      <c r="D138" s="37"/>
      <c r="E138" s="28"/>
      <c r="F138" s="28"/>
      <c r="G138" s="36"/>
      <c r="H138" s="28"/>
      <c r="I138" s="28"/>
      <c r="J138" s="20">
        <f t="shared" si="2"/>
        <v>0</v>
      </c>
      <c r="K138" s="20"/>
    </row>
    <row r="139" spans="2:11" x14ac:dyDescent="0.25">
      <c r="B139" s="28"/>
      <c r="C139" s="29"/>
      <c r="D139" s="37"/>
      <c r="E139" s="28"/>
      <c r="F139" s="28"/>
      <c r="G139" s="36"/>
      <c r="H139" s="28"/>
      <c r="I139" s="28"/>
      <c r="J139" s="20">
        <f t="shared" si="2"/>
        <v>0</v>
      </c>
      <c r="K139" s="20"/>
    </row>
    <row r="140" spans="2:11" x14ac:dyDescent="0.25">
      <c r="B140" s="28"/>
      <c r="C140" s="29"/>
      <c r="D140" s="37"/>
      <c r="E140" s="28"/>
      <c r="F140" s="28"/>
      <c r="G140" s="36"/>
      <c r="H140" s="28"/>
      <c r="I140" s="28"/>
      <c r="J140" s="20">
        <f t="shared" si="2"/>
        <v>0</v>
      </c>
      <c r="K140" s="20">
        <f>SUM(J88:J140)</f>
        <v>0</v>
      </c>
    </row>
    <row r="141" spans="2:11" x14ac:dyDescent="0.25">
      <c r="B141" s="41"/>
      <c r="C141" s="41"/>
      <c r="D141" s="41"/>
      <c r="E141" s="41"/>
      <c r="F141" s="41"/>
      <c r="G141" s="41"/>
      <c r="H141" s="41"/>
      <c r="I141" s="42"/>
    </row>
    <row r="142" spans="2:11" x14ac:dyDescent="0.25">
      <c r="B142" s="28"/>
      <c r="C142" s="29"/>
      <c r="D142" s="38"/>
      <c r="E142" s="28"/>
      <c r="F142" s="28"/>
      <c r="G142" s="30"/>
      <c r="H142" s="28"/>
      <c r="I142" s="28"/>
      <c r="J142" s="20">
        <f>G142*H142</f>
        <v>0</v>
      </c>
    </row>
    <row r="143" spans="2:11" x14ac:dyDescent="0.25">
      <c r="B143" s="28"/>
      <c r="C143" s="29"/>
      <c r="D143" s="38"/>
      <c r="E143" s="28"/>
      <c r="F143" s="28"/>
      <c r="G143" s="39"/>
      <c r="H143" s="28"/>
      <c r="I143" s="28"/>
      <c r="J143" s="20">
        <f t="shared" ref="J143:J184" si="3">G143*H143</f>
        <v>0</v>
      </c>
    </row>
    <row r="144" spans="2:11" x14ac:dyDescent="0.25">
      <c r="B144" s="28"/>
      <c r="C144" s="29"/>
      <c r="D144" s="38"/>
      <c r="E144" s="28"/>
      <c r="F144" s="28"/>
      <c r="G144" s="30"/>
      <c r="H144" s="28"/>
      <c r="I144" s="28"/>
      <c r="J144" s="20">
        <f t="shared" si="3"/>
        <v>0</v>
      </c>
    </row>
    <row r="145" spans="2:19" x14ac:dyDescent="0.25">
      <c r="B145" s="28"/>
      <c r="C145" s="29"/>
      <c r="D145" s="38"/>
      <c r="E145" s="28"/>
      <c r="F145" s="28"/>
      <c r="G145" s="39"/>
      <c r="H145" s="28"/>
      <c r="I145" s="28"/>
      <c r="J145" s="20">
        <f t="shared" si="3"/>
        <v>0</v>
      </c>
    </row>
    <row r="146" spans="2:19" x14ac:dyDescent="0.25">
      <c r="B146" s="28"/>
      <c r="C146" s="29"/>
      <c r="D146" s="38"/>
      <c r="E146" s="28"/>
      <c r="F146" s="28"/>
      <c r="G146" s="39"/>
      <c r="H146" s="28"/>
      <c r="I146" s="28"/>
      <c r="J146" s="20">
        <f t="shared" si="3"/>
        <v>0</v>
      </c>
    </row>
    <row r="147" spans="2:19" x14ac:dyDescent="0.25">
      <c r="B147" s="28"/>
      <c r="C147" s="29"/>
      <c r="D147" s="38"/>
      <c r="E147" s="28"/>
      <c r="F147" s="28"/>
      <c r="G147" s="30"/>
      <c r="H147" s="31"/>
      <c r="I147" s="28"/>
      <c r="J147" s="20">
        <f t="shared" si="3"/>
        <v>0</v>
      </c>
    </row>
    <row r="148" spans="2:19" x14ac:dyDescent="0.25">
      <c r="B148" s="28"/>
      <c r="C148" s="29"/>
      <c r="D148" s="38"/>
      <c r="E148" s="28"/>
      <c r="F148" s="28"/>
      <c r="G148" s="39"/>
      <c r="H148" s="28"/>
      <c r="I148" s="28"/>
      <c r="J148" s="20">
        <f t="shared" si="3"/>
        <v>0</v>
      </c>
    </row>
    <row r="149" spans="2:19" x14ac:dyDescent="0.25">
      <c r="B149" s="28"/>
      <c r="C149" s="29"/>
      <c r="D149" s="38"/>
      <c r="E149" s="28"/>
      <c r="F149" s="34"/>
      <c r="G149" s="39"/>
      <c r="H149" s="28"/>
      <c r="I149" s="28"/>
      <c r="J149" s="20">
        <f t="shared" si="3"/>
        <v>0</v>
      </c>
      <c r="K149" s="21"/>
      <c r="L149" s="22"/>
      <c r="M149" s="23"/>
      <c r="N149" s="23"/>
      <c r="O149" s="24"/>
      <c r="P149" s="23"/>
      <c r="Q149" s="21"/>
      <c r="R149" s="25"/>
      <c r="S149" s="26"/>
    </row>
    <row r="150" spans="2:19" x14ac:dyDescent="0.25">
      <c r="B150" s="28"/>
      <c r="C150" s="29"/>
      <c r="D150" s="38"/>
      <c r="E150" s="28"/>
      <c r="F150" s="28"/>
      <c r="G150" s="30"/>
      <c r="H150" s="28"/>
      <c r="I150" s="28"/>
      <c r="J150" s="20">
        <f t="shared" si="3"/>
        <v>0</v>
      </c>
      <c r="K150" s="21"/>
      <c r="L150" s="22"/>
      <c r="M150" s="23"/>
      <c r="N150" s="23"/>
      <c r="O150" s="24"/>
      <c r="P150" s="23"/>
      <c r="Q150" s="21"/>
      <c r="R150" s="25"/>
      <c r="S150" s="26"/>
    </row>
    <row r="151" spans="2:19" x14ac:dyDescent="0.25">
      <c r="B151" s="28"/>
      <c r="C151" s="29"/>
      <c r="D151" s="38"/>
      <c r="E151" s="28"/>
      <c r="F151" s="28"/>
      <c r="G151" s="30"/>
      <c r="H151" s="31"/>
      <c r="I151" s="28"/>
      <c r="J151" s="20">
        <f t="shared" si="3"/>
        <v>0</v>
      </c>
      <c r="K151" s="21"/>
      <c r="L151" s="22"/>
      <c r="M151" s="23"/>
      <c r="N151" s="23"/>
      <c r="O151" s="24"/>
      <c r="P151" s="23"/>
      <c r="Q151" s="21"/>
      <c r="R151" s="25"/>
      <c r="S151" s="26"/>
    </row>
    <row r="152" spans="2:19" x14ac:dyDescent="0.25">
      <c r="B152" s="28"/>
      <c r="C152" s="29"/>
      <c r="D152" s="38"/>
      <c r="E152" s="28"/>
      <c r="F152" s="28"/>
      <c r="G152" s="30"/>
      <c r="H152" s="28"/>
      <c r="I152" s="28"/>
      <c r="J152" s="20">
        <f t="shared" si="3"/>
        <v>0</v>
      </c>
      <c r="K152" s="21"/>
      <c r="L152" s="22"/>
      <c r="M152" s="23"/>
      <c r="N152" s="23"/>
      <c r="O152" s="24"/>
      <c r="P152" s="23"/>
      <c r="Q152" s="21"/>
      <c r="R152" s="25"/>
      <c r="S152" s="26"/>
    </row>
    <row r="153" spans="2:19" x14ac:dyDescent="0.25">
      <c r="B153" s="28"/>
      <c r="C153" s="29"/>
      <c r="D153" s="38"/>
      <c r="E153" s="28"/>
      <c r="F153" s="28"/>
      <c r="G153" s="39"/>
      <c r="H153" s="28"/>
      <c r="I153" s="28"/>
      <c r="J153" s="20">
        <f t="shared" si="3"/>
        <v>0</v>
      </c>
      <c r="K153" s="21"/>
      <c r="L153" s="22"/>
      <c r="M153" s="23"/>
      <c r="N153" s="23"/>
      <c r="O153" s="24"/>
      <c r="P153" s="23"/>
      <c r="Q153" s="21"/>
      <c r="R153" s="25"/>
      <c r="S153" s="26"/>
    </row>
    <row r="154" spans="2:19" x14ac:dyDescent="0.25">
      <c r="B154" s="28"/>
      <c r="C154" s="29"/>
      <c r="D154" s="38"/>
      <c r="E154" s="28"/>
      <c r="F154" s="28"/>
      <c r="G154" s="39"/>
      <c r="H154" s="28"/>
      <c r="I154" s="28"/>
      <c r="J154" s="20">
        <f t="shared" si="3"/>
        <v>0</v>
      </c>
    </row>
    <row r="155" spans="2:19" x14ac:dyDescent="0.25">
      <c r="B155" s="28"/>
      <c r="C155" s="29"/>
      <c r="D155" s="38"/>
      <c r="E155" s="28"/>
      <c r="F155" s="28"/>
      <c r="G155" s="30"/>
      <c r="H155" s="31"/>
      <c r="I155" s="28"/>
      <c r="J155" s="20">
        <f t="shared" si="3"/>
        <v>0</v>
      </c>
    </row>
    <row r="156" spans="2:19" x14ac:dyDescent="0.25">
      <c r="B156" s="28"/>
      <c r="C156" s="29"/>
      <c r="D156" s="38"/>
      <c r="E156" s="28"/>
      <c r="F156" s="28"/>
      <c r="G156" s="30"/>
      <c r="H156" s="28"/>
      <c r="I156" s="28"/>
      <c r="J156" s="20">
        <f t="shared" si="3"/>
        <v>0</v>
      </c>
    </row>
    <row r="157" spans="2:19" x14ac:dyDescent="0.25">
      <c r="B157" s="28"/>
      <c r="C157" s="29"/>
      <c r="D157" s="38"/>
      <c r="E157" s="28"/>
      <c r="F157" s="28"/>
      <c r="G157" s="30"/>
      <c r="H157" s="28"/>
      <c r="I157" s="28"/>
      <c r="J157" s="20">
        <f t="shared" si="3"/>
        <v>0</v>
      </c>
    </row>
    <row r="158" spans="2:19" x14ac:dyDescent="0.25">
      <c r="B158" s="28"/>
      <c r="C158" s="29"/>
      <c r="D158" s="38"/>
      <c r="E158" s="28"/>
      <c r="F158" s="28"/>
      <c r="G158" s="39"/>
      <c r="H158" s="28"/>
      <c r="I158" s="28"/>
      <c r="J158" s="20">
        <f t="shared" si="3"/>
        <v>0</v>
      </c>
    </row>
    <row r="159" spans="2:19" x14ac:dyDescent="0.25">
      <c r="B159" s="28"/>
      <c r="C159" s="29"/>
      <c r="D159" s="38"/>
      <c r="E159" s="28"/>
      <c r="F159" s="28"/>
      <c r="G159" s="39"/>
      <c r="H159" s="28"/>
      <c r="I159" s="28"/>
      <c r="J159" s="20">
        <f t="shared" si="3"/>
        <v>0</v>
      </c>
    </row>
    <row r="160" spans="2:19" x14ac:dyDescent="0.25">
      <c r="B160" s="28"/>
      <c r="C160" s="29"/>
      <c r="D160" s="38"/>
      <c r="E160" s="28"/>
      <c r="F160" s="28"/>
      <c r="G160" s="39"/>
      <c r="H160" s="28"/>
      <c r="I160" s="28"/>
      <c r="J160" s="20">
        <f t="shared" si="3"/>
        <v>0</v>
      </c>
    </row>
    <row r="161" spans="2:10" x14ac:dyDescent="0.25">
      <c r="B161" s="28"/>
      <c r="C161" s="29"/>
      <c r="D161" s="38"/>
      <c r="E161" s="28"/>
      <c r="F161" s="28"/>
      <c r="G161" s="30"/>
      <c r="H161" s="28"/>
      <c r="I161" s="28"/>
      <c r="J161" s="20">
        <f t="shared" si="3"/>
        <v>0</v>
      </c>
    </row>
    <row r="162" spans="2:10" x14ac:dyDescent="0.25">
      <c r="B162" s="28"/>
      <c r="C162" s="29"/>
      <c r="D162" s="38"/>
      <c r="E162" s="28"/>
      <c r="F162" s="28"/>
      <c r="G162" s="39"/>
      <c r="H162" s="28"/>
      <c r="I162" s="28"/>
      <c r="J162" s="20">
        <f t="shared" si="3"/>
        <v>0</v>
      </c>
    </row>
    <row r="163" spans="2:10" x14ac:dyDescent="0.25">
      <c r="B163" s="28"/>
      <c r="C163" s="29"/>
      <c r="D163" s="38"/>
      <c r="E163" s="28"/>
      <c r="F163" s="34"/>
      <c r="G163" s="39"/>
      <c r="H163" s="28"/>
      <c r="I163" s="28"/>
      <c r="J163" s="20">
        <f t="shared" si="3"/>
        <v>0</v>
      </c>
    </row>
    <row r="164" spans="2:10" x14ac:dyDescent="0.25">
      <c r="B164" s="28"/>
      <c r="C164" s="29"/>
      <c r="D164" s="38"/>
      <c r="E164" s="28"/>
      <c r="F164" s="28"/>
      <c r="G164" s="30"/>
      <c r="H164" s="31"/>
      <c r="I164" s="28"/>
      <c r="J164" s="20">
        <f t="shared" si="3"/>
        <v>0</v>
      </c>
    </row>
    <row r="165" spans="2:10" x14ac:dyDescent="0.25">
      <c r="B165" s="28"/>
      <c r="C165" s="29"/>
      <c r="D165" s="38"/>
      <c r="E165" s="28"/>
      <c r="F165" s="28"/>
      <c r="G165" s="30"/>
      <c r="H165" s="28"/>
      <c r="I165" s="28"/>
      <c r="J165" s="20">
        <f t="shared" si="3"/>
        <v>0</v>
      </c>
    </row>
    <row r="166" spans="2:10" x14ac:dyDescent="0.25">
      <c r="B166" s="28"/>
      <c r="C166" s="29"/>
      <c r="D166" s="38"/>
      <c r="E166" s="28"/>
      <c r="F166" s="28"/>
      <c r="G166" s="39"/>
      <c r="H166" s="28"/>
      <c r="I166" s="28"/>
      <c r="J166" s="20">
        <f t="shared" si="3"/>
        <v>0</v>
      </c>
    </row>
    <row r="167" spans="2:10" x14ac:dyDescent="0.25">
      <c r="B167" s="28"/>
      <c r="C167" s="29"/>
      <c r="D167" s="38"/>
      <c r="E167" s="28"/>
      <c r="F167" s="28"/>
      <c r="G167" s="39"/>
      <c r="H167" s="28"/>
      <c r="I167" s="28"/>
      <c r="J167" s="20">
        <f t="shared" si="3"/>
        <v>0</v>
      </c>
    </row>
    <row r="168" spans="2:10" x14ac:dyDescent="0.25">
      <c r="B168" s="28"/>
      <c r="C168" s="29"/>
      <c r="D168" s="38"/>
      <c r="E168" s="28"/>
      <c r="F168" s="28"/>
      <c r="G168" s="30"/>
      <c r="H168" s="28"/>
      <c r="I168" s="28"/>
      <c r="J168" s="20">
        <f t="shared" si="3"/>
        <v>0</v>
      </c>
    </row>
    <row r="169" spans="2:10" x14ac:dyDescent="0.25">
      <c r="B169" s="28"/>
      <c r="C169" s="29"/>
      <c r="D169" s="38"/>
      <c r="E169" s="28"/>
      <c r="F169" s="28"/>
      <c r="G169" s="30"/>
      <c r="H169" s="28"/>
      <c r="I169" s="28"/>
      <c r="J169" s="20">
        <f t="shared" si="3"/>
        <v>0</v>
      </c>
    </row>
    <row r="170" spans="2:10" x14ac:dyDescent="0.25">
      <c r="B170" s="28"/>
      <c r="C170" s="29"/>
      <c r="D170" s="38"/>
      <c r="E170" s="28"/>
      <c r="F170" s="28"/>
      <c r="G170" s="30"/>
      <c r="H170" s="28"/>
      <c r="I170" s="28"/>
      <c r="J170" s="20">
        <f t="shared" si="3"/>
        <v>0</v>
      </c>
    </row>
    <row r="171" spans="2:10" x14ac:dyDescent="0.25">
      <c r="B171" s="28"/>
      <c r="C171" s="29"/>
      <c r="D171" s="38"/>
      <c r="E171" s="28"/>
      <c r="F171" s="28"/>
      <c r="G171" s="39"/>
      <c r="H171" s="28"/>
      <c r="I171" s="28"/>
      <c r="J171" s="20">
        <f t="shared" si="3"/>
        <v>0</v>
      </c>
    </row>
    <row r="172" spans="2:10" x14ac:dyDescent="0.25">
      <c r="B172" s="28"/>
      <c r="C172" s="29"/>
      <c r="D172" s="38"/>
      <c r="E172" s="28"/>
      <c r="F172" s="28"/>
      <c r="G172" s="39"/>
      <c r="H172" s="28"/>
      <c r="I172" s="28"/>
      <c r="J172" s="20">
        <f t="shared" si="3"/>
        <v>0</v>
      </c>
    </row>
    <row r="173" spans="2:10" x14ac:dyDescent="0.25">
      <c r="B173" s="28"/>
      <c r="C173" s="29"/>
      <c r="D173" s="38"/>
      <c r="E173" s="28"/>
      <c r="F173" s="28"/>
      <c r="G173" s="39"/>
      <c r="H173" s="28"/>
      <c r="I173" s="28"/>
      <c r="J173" s="20">
        <f t="shared" si="3"/>
        <v>0</v>
      </c>
    </row>
    <row r="174" spans="2:10" x14ac:dyDescent="0.25">
      <c r="B174" s="28"/>
      <c r="C174" s="29"/>
      <c r="D174" s="38"/>
      <c r="E174" s="28"/>
      <c r="F174" s="28"/>
      <c r="G174" s="30"/>
      <c r="H174" s="28"/>
      <c r="I174" s="28"/>
      <c r="J174" s="20">
        <f t="shared" si="3"/>
        <v>0</v>
      </c>
    </row>
    <row r="175" spans="2:10" x14ac:dyDescent="0.25">
      <c r="B175" s="28"/>
      <c r="C175" s="29"/>
      <c r="D175" s="38"/>
      <c r="E175" s="28"/>
      <c r="F175" s="28"/>
      <c r="G175" s="39"/>
      <c r="H175" s="28"/>
      <c r="I175" s="28"/>
      <c r="J175" s="20">
        <f t="shared" si="3"/>
        <v>0</v>
      </c>
    </row>
    <row r="176" spans="2:10" x14ac:dyDescent="0.25">
      <c r="B176" s="28"/>
      <c r="C176" s="29"/>
      <c r="D176" s="38"/>
      <c r="E176" s="28"/>
      <c r="F176" s="28"/>
      <c r="G176" s="30"/>
      <c r="H176" s="28"/>
      <c r="I176" s="28"/>
      <c r="J176" s="20">
        <f t="shared" si="3"/>
        <v>0</v>
      </c>
    </row>
    <row r="177" spans="2:11" x14ac:dyDescent="0.25">
      <c r="B177" s="28"/>
      <c r="C177" s="29"/>
      <c r="D177" s="38"/>
      <c r="E177" s="28"/>
      <c r="F177" s="28"/>
      <c r="G177" s="30"/>
      <c r="H177" s="28"/>
      <c r="I177" s="28"/>
      <c r="J177" s="20">
        <f t="shared" si="3"/>
        <v>0</v>
      </c>
    </row>
    <row r="178" spans="2:11" x14ac:dyDescent="0.25">
      <c r="B178" s="28"/>
      <c r="C178" s="29"/>
      <c r="D178" s="38"/>
      <c r="E178" s="28"/>
      <c r="F178" s="28"/>
      <c r="G178" s="30"/>
      <c r="H178" s="28"/>
      <c r="I178" s="28"/>
      <c r="J178" s="20">
        <f t="shared" si="3"/>
        <v>0</v>
      </c>
    </row>
    <row r="179" spans="2:11" x14ac:dyDescent="0.25">
      <c r="B179" s="28"/>
      <c r="C179" s="29"/>
      <c r="D179" s="38"/>
      <c r="E179" s="28"/>
      <c r="F179" s="28"/>
      <c r="G179" s="39"/>
      <c r="H179" s="28"/>
      <c r="I179" s="28"/>
      <c r="J179" s="20">
        <f t="shared" si="3"/>
        <v>0</v>
      </c>
    </row>
    <row r="180" spans="2:11" x14ac:dyDescent="0.25">
      <c r="B180" s="28"/>
      <c r="C180" s="29"/>
      <c r="D180" s="38"/>
      <c r="E180" s="28"/>
      <c r="F180" s="28"/>
      <c r="G180" s="39"/>
      <c r="H180" s="28"/>
      <c r="I180" s="28"/>
      <c r="J180" s="20">
        <f t="shared" si="3"/>
        <v>0</v>
      </c>
    </row>
    <row r="181" spans="2:11" x14ac:dyDescent="0.25">
      <c r="B181" s="28"/>
      <c r="C181" s="29"/>
      <c r="D181" s="38"/>
      <c r="E181" s="28"/>
      <c r="F181" s="28"/>
      <c r="G181" s="39"/>
      <c r="H181" s="28"/>
      <c r="I181" s="28"/>
      <c r="J181" s="20">
        <f t="shared" si="3"/>
        <v>0</v>
      </c>
    </row>
    <row r="182" spans="2:11" x14ac:dyDescent="0.25">
      <c r="B182" s="28"/>
      <c r="C182" s="29"/>
      <c r="D182" s="38"/>
      <c r="E182" s="28"/>
      <c r="F182" s="28"/>
      <c r="G182" s="30"/>
      <c r="H182" s="28"/>
      <c r="I182" s="28"/>
      <c r="J182" s="20">
        <f t="shared" si="3"/>
        <v>0</v>
      </c>
    </row>
    <row r="183" spans="2:11" x14ac:dyDescent="0.25">
      <c r="B183" s="28"/>
      <c r="C183" s="29"/>
      <c r="D183" s="38"/>
      <c r="E183" s="28"/>
      <c r="F183" s="28"/>
      <c r="G183" s="30"/>
      <c r="H183" s="28"/>
      <c r="I183" s="28"/>
      <c r="J183" s="20">
        <f t="shared" si="3"/>
        <v>0</v>
      </c>
    </row>
    <row r="184" spans="2:11" x14ac:dyDescent="0.25">
      <c r="B184" s="28"/>
      <c r="C184" s="29"/>
      <c r="D184" s="28"/>
      <c r="E184" s="28"/>
      <c r="F184" s="28"/>
      <c r="G184" s="30"/>
      <c r="H184" s="28"/>
      <c r="I184" s="28"/>
      <c r="J184" s="20">
        <f t="shared" si="3"/>
        <v>0</v>
      </c>
      <c r="K184" s="20">
        <f>SUM(J142:J184)</f>
        <v>0</v>
      </c>
    </row>
    <row r="185" spans="2:11" x14ac:dyDescent="0.25">
      <c r="B185" s="40"/>
      <c r="C185" s="41"/>
      <c r="D185" s="41"/>
      <c r="E185" s="41"/>
      <c r="F185" s="41"/>
      <c r="G185" s="41"/>
      <c r="H185" s="41"/>
      <c r="I185" s="42"/>
    </row>
    <row r="186" spans="2:11" x14ac:dyDescent="0.25">
      <c r="B186" s="28"/>
      <c r="C186" s="29"/>
      <c r="D186" s="28"/>
      <c r="E186" s="28"/>
      <c r="F186" s="28"/>
      <c r="G186" s="30"/>
      <c r="H186" s="28"/>
      <c r="I186" s="28"/>
      <c r="J186" s="20">
        <f>G186*H186</f>
        <v>0</v>
      </c>
    </row>
    <row r="187" spans="2:11" x14ac:dyDescent="0.25">
      <c r="B187" s="28"/>
      <c r="C187" s="29"/>
      <c r="D187" s="28"/>
      <c r="E187" s="28"/>
      <c r="F187" s="28"/>
      <c r="G187" s="30"/>
      <c r="H187" s="28"/>
      <c r="I187" s="28"/>
      <c r="J187" s="20">
        <f t="shared" ref="J187:J232" si="4">G187*H187</f>
        <v>0</v>
      </c>
    </row>
    <row r="188" spans="2:11" x14ac:dyDescent="0.25">
      <c r="B188" s="28"/>
      <c r="C188" s="29"/>
      <c r="D188" s="28"/>
      <c r="E188" s="28"/>
      <c r="F188" s="28"/>
      <c r="G188" s="30"/>
      <c r="H188" s="28"/>
      <c r="I188" s="28"/>
      <c r="J188" s="20">
        <f t="shared" si="4"/>
        <v>0</v>
      </c>
    </row>
    <row r="189" spans="2:11" x14ac:dyDescent="0.25">
      <c r="B189" s="28"/>
      <c r="C189" s="29"/>
      <c r="D189" s="28"/>
      <c r="E189" s="28"/>
      <c r="F189" s="28"/>
      <c r="G189" s="30"/>
      <c r="H189" s="28"/>
      <c r="I189" s="28"/>
      <c r="J189" s="20">
        <f t="shared" si="4"/>
        <v>0</v>
      </c>
    </row>
    <row r="190" spans="2:11" x14ac:dyDescent="0.25">
      <c r="B190" s="28"/>
      <c r="C190" s="29"/>
      <c r="D190" s="28"/>
      <c r="E190" s="28"/>
      <c r="F190" s="28"/>
      <c r="G190" s="30"/>
      <c r="H190" s="28"/>
      <c r="I190" s="28"/>
      <c r="J190" s="20">
        <f t="shared" si="4"/>
        <v>0</v>
      </c>
    </row>
    <row r="191" spans="2:11" x14ac:dyDescent="0.25">
      <c r="B191" s="28"/>
      <c r="C191" s="29"/>
      <c r="D191" s="28"/>
      <c r="E191" s="28"/>
      <c r="F191" s="28"/>
      <c r="G191" s="30"/>
      <c r="H191" s="28"/>
      <c r="I191" s="28"/>
      <c r="J191" s="20">
        <f t="shared" si="4"/>
        <v>0</v>
      </c>
    </row>
    <row r="192" spans="2:11" x14ac:dyDescent="0.25">
      <c r="B192" s="28"/>
      <c r="C192" s="29"/>
      <c r="D192" s="28"/>
      <c r="E192" s="28"/>
      <c r="F192" s="28"/>
      <c r="G192" s="30"/>
      <c r="H192" s="28"/>
      <c r="I192" s="28"/>
      <c r="J192" s="20">
        <f t="shared" si="4"/>
        <v>0</v>
      </c>
    </row>
    <row r="193" spans="2:10" x14ac:dyDescent="0.25">
      <c r="B193" s="28"/>
      <c r="C193" s="29"/>
      <c r="D193" s="28"/>
      <c r="E193" s="28"/>
      <c r="F193" s="28"/>
      <c r="G193" s="30"/>
      <c r="H193" s="28"/>
      <c r="I193" s="28"/>
      <c r="J193" s="20">
        <f t="shared" si="4"/>
        <v>0</v>
      </c>
    </row>
    <row r="194" spans="2:10" x14ac:dyDescent="0.25">
      <c r="B194" s="28"/>
      <c r="C194" s="29"/>
      <c r="D194" s="28"/>
      <c r="E194" s="28"/>
      <c r="F194" s="28"/>
      <c r="G194" s="30"/>
      <c r="H194" s="28"/>
      <c r="I194" s="28"/>
      <c r="J194" s="20">
        <f t="shared" si="4"/>
        <v>0</v>
      </c>
    </row>
    <row r="195" spans="2:10" x14ac:dyDescent="0.25">
      <c r="B195" s="28"/>
      <c r="C195" s="29"/>
      <c r="D195" s="28"/>
      <c r="E195" s="28"/>
      <c r="F195" s="28"/>
      <c r="G195" s="30"/>
      <c r="H195" s="28"/>
      <c r="I195" s="28"/>
      <c r="J195" s="20">
        <f t="shared" si="4"/>
        <v>0</v>
      </c>
    </row>
    <row r="196" spans="2:10" x14ac:dyDescent="0.25">
      <c r="B196" s="28"/>
      <c r="C196" s="29"/>
      <c r="D196" s="28"/>
      <c r="E196" s="28"/>
      <c r="F196" s="28"/>
      <c r="G196" s="30"/>
      <c r="H196" s="28"/>
      <c r="I196" s="28"/>
      <c r="J196" s="20">
        <f t="shared" si="4"/>
        <v>0</v>
      </c>
    </row>
    <row r="197" spans="2:10" x14ac:dyDescent="0.25">
      <c r="B197" s="28"/>
      <c r="C197" s="29"/>
      <c r="D197" s="28"/>
      <c r="E197" s="28"/>
      <c r="F197" s="28"/>
      <c r="G197" s="30"/>
      <c r="H197" s="28"/>
      <c r="I197" s="28"/>
      <c r="J197" s="20">
        <f t="shared" si="4"/>
        <v>0</v>
      </c>
    </row>
    <row r="198" spans="2:10" x14ac:dyDescent="0.25">
      <c r="B198" s="28"/>
      <c r="C198" s="29"/>
      <c r="D198" s="28"/>
      <c r="E198" s="28"/>
      <c r="F198" s="28"/>
      <c r="G198" s="30"/>
      <c r="H198" s="28"/>
      <c r="I198" s="28"/>
      <c r="J198" s="20">
        <f t="shared" si="4"/>
        <v>0</v>
      </c>
    </row>
    <row r="199" spans="2:10" x14ac:dyDescent="0.25">
      <c r="B199" s="28"/>
      <c r="C199" s="29"/>
      <c r="D199" s="28"/>
      <c r="E199" s="28"/>
      <c r="F199" s="28"/>
      <c r="G199" s="30"/>
      <c r="H199" s="28"/>
      <c r="I199" s="28"/>
      <c r="J199" s="20">
        <f t="shared" si="4"/>
        <v>0</v>
      </c>
    </row>
    <row r="200" spans="2:10" x14ac:dyDescent="0.25">
      <c r="B200" s="28"/>
      <c r="C200" s="29"/>
      <c r="D200" s="28"/>
      <c r="E200" s="28"/>
      <c r="F200" s="28"/>
      <c r="G200" s="30"/>
      <c r="H200" s="28"/>
      <c r="I200" s="28"/>
      <c r="J200" s="20">
        <f t="shared" si="4"/>
        <v>0</v>
      </c>
    </row>
    <row r="201" spans="2:10" x14ac:dyDescent="0.25">
      <c r="B201" s="28"/>
      <c r="C201" s="29"/>
      <c r="D201" s="28"/>
      <c r="E201" s="28"/>
      <c r="F201" s="28"/>
      <c r="G201" s="30"/>
      <c r="H201" s="28"/>
      <c r="I201" s="28"/>
      <c r="J201" s="20">
        <f t="shared" si="4"/>
        <v>0</v>
      </c>
    </row>
    <row r="202" spans="2:10" x14ac:dyDescent="0.25">
      <c r="B202" s="28"/>
      <c r="C202" s="29"/>
      <c r="D202" s="28"/>
      <c r="E202" s="28"/>
      <c r="F202" s="28"/>
      <c r="G202" s="30"/>
      <c r="H202" s="28"/>
      <c r="I202" s="28"/>
      <c r="J202" s="20">
        <f t="shared" si="4"/>
        <v>0</v>
      </c>
    </row>
    <row r="203" spans="2:10" x14ac:dyDescent="0.25">
      <c r="B203" s="28"/>
      <c r="C203" s="29"/>
      <c r="D203" s="28"/>
      <c r="E203" s="28"/>
      <c r="F203" s="28"/>
      <c r="G203" s="30"/>
      <c r="H203" s="28"/>
      <c r="I203" s="28"/>
      <c r="J203" s="20">
        <f t="shared" si="4"/>
        <v>0</v>
      </c>
    </row>
    <row r="204" spans="2:10" x14ac:dyDescent="0.25">
      <c r="B204" s="28"/>
      <c r="C204" s="29"/>
      <c r="D204" s="28"/>
      <c r="E204" s="28"/>
      <c r="F204" s="28"/>
      <c r="G204" s="30"/>
      <c r="H204" s="28"/>
      <c r="I204" s="28"/>
      <c r="J204" s="20">
        <f t="shared" si="4"/>
        <v>0</v>
      </c>
    </row>
    <row r="205" spans="2:10" x14ac:dyDescent="0.25">
      <c r="B205" s="28"/>
      <c r="C205" s="29"/>
      <c r="D205" s="28"/>
      <c r="E205" s="28"/>
      <c r="F205" s="28"/>
      <c r="G205" s="30"/>
      <c r="H205" s="28"/>
      <c r="I205" s="28"/>
      <c r="J205" s="20">
        <f t="shared" si="4"/>
        <v>0</v>
      </c>
    </row>
    <row r="206" spans="2:10" x14ac:dyDescent="0.25">
      <c r="B206" s="28"/>
      <c r="C206" s="29"/>
      <c r="D206" s="28"/>
      <c r="E206" s="28"/>
      <c r="F206" s="28"/>
      <c r="G206" s="30"/>
      <c r="H206" s="28"/>
      <c r="I206" s="28"/>
      <c r="J206" s="20">
        <f t="shared" si="4"/>
        <v>0</v>
      </c>
    </row>
    <row r="207" spans="2:10" x14ac:dyDescent="0.25">
      <c r="B207" s="28"/>
      <c r="C207" s="29"/>
      <c r="D207" s="28"/>
      <c r="E207" s="28"/>
      <c r="F207" s="28"/>
      <c r="G207" s="30"/>
      <c r="H207" s="28"/>
      <c r="I207" s="28"/>
      <c r="J207" s="20">
        <f t="shared" si="4"/>
        <v>0</v>
      </c>
    </row>
    <row r="208" spans="2:10" x14ac:dyDescent="0.25">
      <c r="B208" s="28"/>
      <c r="C208" s="29"/>
      <c r="D208" s="28"/>
      <c r="E208" s="28"/>
      <c r="F208" s="28"/>
      <c r="G208" s="30"/>
      <c r="H208" s="28"/>
      <c r="I208" s="28"/>
      <c r="J208" s="20">
        <f t="shared" si="4"/>
        <v>0</v>
      </c>
    </row>
    <row r="209" spans="2:10" x14ac:dyDescent="0.25">
      <c r="B209" s="28"/>
      <c r="C209" s="29"/>
      <c r="D209" s="28"/>
      <c r="E209" s="28"/>
      <c r="F209" s="28"/>
      <c r="G209" s="30"/>
      <c r="H209" s="28"/>
      <c r="I209" s="28"/>
      <c r="J209" s="20">
        <f t="shared" si="4"/>
        <v>0</v>
      </c>
    </row>
    <row r="210" spans="2:10" x14ac:dyDescent="0.25">
      <c r="B210" s="28"/>
      <c r="C210" s="29"/>
      <c r="D210" s="28"/>
      <c r="E210" s="28"/>
      <c r="F210" s="28"/>
      <c r="G210" s="30"/>
      <c r="H210" s="28"/>
      <c r="I210" s="28"/>
      <c r="J210" s="20">
        <f t="shared" si="4"/>
        <v>0</v>
      </c>
    </row>
    <row r="211" spans="2:10" x14ac:dyDescent="0.25">
      <c r="B211" s="28"/>
      <c r="C211" s="29"/>
      <c r="D211" s="28"/>
      <c r="E211" s="28"/>
      <c r="F211" s="28"/>
      <c r="G211" s="30"/>
      <c r="H211" s="28"/>
      <c r="I211" s="28"/>
      <c r="J211" s="20">
        <f t="shared" si="4"/>
        <v>0</v>
      </c>
    </row>
    <row r="212" spans="2:10" x14ac:dyDescent="0.25">
      <c r="B212" s="28"/>
      <c r="C212" s="29"/>
      <c r="D212" s="28"/>
      <c r="E212" s="28"/>
      <c r="F212" s="28"/>
      <c r="G212" s="30"/>
      <c r="H212" s="28"/>
      <c r="I212" s="28"/>
      <c r="J212" s="20">
        <f t="shared" si="4"/>
        <v>0</v>
      </c>
    </row>
    <row r="213" spans="2:10" x14ac:dyDescent="0.25">
      <c r="B213" s="28"/>
      <c r="C213" s="29"/>
      <c r="D213" s="28"/>
      <c r="E213" s="28"/>
      <c r="F213" s="28"/>
      <c r="G213" s="30"/>
      <c r="H213" s="28"/>
      <c r="I213" s="28"/>
      <c r="J213" s="20">
        <f t="shared" si="4"/>
        <v>0</v>
      </c>
    </row>
    <row r="214" spans="2:10" x14ac:dyDescent="0.25">
      <c r="B214" s="28"/>
      <c r="C214" s="29"/>
      <c r="D214" s="28"/>
      <c r="E214" s="28"/>
      <c r="F214" s="28"/>
      <c r="G214" s="30"/>
      <c r="H214" s="28"/>
      <c r="I214" s="28"/>
      <c r="J214" s="20">
        <f t="shared" si="4"/>
        <v>0</v>
      </c>
    </row>
    <row r="215" spans="2:10" x14ac:dyDescent="0.25">
      <c r="B215" s="28"/>
      <c r="C215" s="29"/>
      <c r="D215" s="28"/>
      <c r="E215" s="28"/>
      <c r="F215" s="28"/>
      <c r="G215" s="30"/>
      <c r="H215" s="28"/>
      <c r="I215" s="28"/>
      <c r="J215" s="20">
        <f t="shared" si="4"/>
        <v>0</v>
      </c>
    </row>
    <row r="216" spans="2:10" x14ac:dyDescent="0.25">
      <c r="B216" s="28"/>
      <c r="C216" s="29"/>
      <c r="D216" s="28"/>
      <c r="E216" s="28"/>
      <c r="F216" s="28"/>
      <c r="G216" s="30"/>
      <c r="H216" s="28"/>
      <c r="I216" s="28"/>
      <c r="J216" s="20">
        <f t="shared" si="4"/>
        <v>0</v>
      </c>
    </row>
    <row r="217" spans="2:10" x14ac:dyDescent="0.25">
      <c r="B217" s="28"/>
      <c r="C217" s="29"/>
      <c r="D217" s="28"/>
      <c r="E217" s="28"/>
      <c r="F217" s="28"/>
      <c r="G217" s="30"/>
      <c r="H217" s="28"/>
      <c r="I217" s="28"/>
      <c r="J217" s="20">
        <f t="shared" si="4"/>
        <v>0</v>
      </c>
    </row>
    <row r="218" spans="2:10" x14ac:dyDescent="0.25">
      <c r="B218" s="28"/>
      <c r="C218" s="29"/>
      <c r="D218" s="28"/>
      <c r="E218" s="28"/>
      <c r="F218" s="28"/>
      <c r="G218" s="30"/>
      <c r="H218" s="28"/>
      <c r="I218" s="28"/>
      <c r="J218" s="20">
        <f t="shared" si="4"/>
        <v>0</v>
      </c>
    </row>
    <row r="219" spans="2:10" x14ac:dyDescent="0.25">
      <c r="B219" s="28"/>
      <c r="C219" s="29"/>
      <c r="D219" s="28"/>
      <c r="E219" s="28"/>
      <c r="F219" s="28"/>
      <c r="G219" s="30"/>
      <c r="H219" s="28"/>
      <c r="I219" s="28"/>
      <c r="J219" s="20">
        <f t="shared" si="4"/>
        <v>0</v>
      </c>
    </row>
    <row r="220" spans="2:10" x14ac:dyDescent="0.25">
      <c r="B220" s="28"/>
      <c r="C220" s="29"/>
      <c r="D220" s="28"/>
      <c r="E220" s="28"/>
      <c r="F220" s="28"/>
      <c r="G220" s="30"/>
      <c r="H220" s="28"/>
      <c r="I220" s="28"/>
      <c r="J220" s="20">
        <f t="shared" si="4"/>
        <v>0</v>
      </c>
    </row>
    <row r="221" spans="2:10" x14ac:dyDescent="0.25">
      <c r="B221" s="28"/>
      <c r="C221" s="29"/>
      <c r="D221" s="28"/>
      <c r="E221" s="28"/>
      <c r="F221" s="28"/>
      <c r="G221" s="30"/>
      <c r="H221" s="28"/>
      <c r="I221" s="28"/>
      <c r="J221" s="20">
        <f t="shared" si="4"/>
        <v>0</v>
      </c>
    </row>
    <row r="222" spans="2:10" x14ac:dyDescent="0.25">
      <c r="B222" s="28"/>
      <c r="C222" s="29"/>
      <c r="D222" s="28"/>
      <c r="E222" s="28"/>
      <c r="F222" s="28"/>
      <c r="G222" s="30"/>
      <c r="H222" s="28"/>
      <c r="I222" s="28"/>
      <c r="J222" s="20">
        <f t="shared" si="4"/>
        <v>0</v>
      </c>
    </row>
    <row r="223" spans="2:10" x14ac:dyDescent="0.25">
      <c r="B223" s="28"/>
      <c r="C223" s="29"/>
      <c r="D223" s="28"/>
      <c r="E223" s="28"/>
      <c r="F223" s="28"/>
      <c r="G223" s="30"/>
      <c r="H223" s="28"/>
      <c r="I223" s="28"/>
      <c r="J223" s="20">
        <f t="shared" si="4"/>
        <v>0</v>
      </c>
    </row>
    <row r="224" spans="2:10" x14ac:dyDescent="0.25">
      <c r="B224" s="28"/>
      <c r="C224" s="29"/>
      <c r="D224" s="28"/>
      <c r="E224" s="28"/>
      <c r="F224" s="28"/>
      <c r="G224" s="30"/>
      <c r="H224" s="28"/>
      <c r="I224" s="28"/>
      <c r="J224" s="20">
        <f t="shared" si="4"/>
        <v>0</v>
      </c>
    </row>
    <row r="225" spans="2:11" x14ac:dyDescent="0.25">
      <c r="B225" s="28"/>
      <c r="C225" s="29"/>
      <c r="D225" s="28"/>
      <c r="E225" s="28"/>
      <c r="F225" s="28"/>
      <c r="G225" s="30"/>
      <c r="H225" s="28"/>
      <c r="I225" s="28"/>
      <c r="J225" s="20">
        <f t="shared" si="4"/>
        <v>0</v>
      </c>
    </row>
    <row r="226" spans="2:11" x14ac:dyDescent="0.25">
      <c r="B226" s="28"/>
      <c r="C226" s="29"/>
      <c r="D226" s="28"/>
      <c r="E226" s="28"/>
      <c r="F226" s="28"/>
      <c r="G226" s="30"/>
      <c r="H226" s="28"/>
      <c r="I226" s="28"/>
      <c r="J226" s="20">
        <f t="shared" si="4"/>
        <v>0</v>
      </c>
    </row>
    <row r="227" spans="2:11" x14ac:dyDescent="0.25">
      <c r="B227" s="28"/>
      <c r="C227" s="29"/>
      <c r="D227" s="28"/>
      <c r="E227" s="28"/>
      <c r="F227" s="28"/>
      <c r="G227" s="30"/>
      <c r="H227" s="28"/>
      <c r="I227" s="28"/>
      <c r="J227" s="20">
        <f t="shared" si="4"/>
        <v>0</v>
      </c>
    </row>
    <row r="228" spans="2:11" x14ac:dyDescent="0.25">
      <c r="B228" s="28"/>
      <c r="C228" s="29"/>
      <c r="D228" s="28"/>
      <c r="E228" s="28"/>
      <c r="F228" s="28"/>
      <c r="G228" s="30"/>
      <c r="H228" s="28"/>
      <c r="I228" s="28"/>
      <c r="J228" s="20">
        <f t="shared" si="4"/>
        <v>0</v>
      </c>
    </row>
    <row r="229" spans="2:11" x14ac:dyDescent="0.25">
      <c r="B229" s="28"/>
      <c r="C229" s="29"/>
      <c r="D229" s="28"/>
      <c r="E229" s="28"/>
      <c r="F229" s="28"/>
      <c r="G229" s="30"/>
      <c r="H229" s="28"/>
      <c r="I229" s="28"/>
      <c r="J229" s="20">
        <f t="shared" si="4"/>
        <v>0</v>
      </c>
    </row>
    <row r="230" spans="2:11" x14ac:dyDescent="0.25">
      <c r="B230" s="28"/>
      <c r="C230" s="29"/>
      <c r="D230" s="28"/>
      <c r="E230" s="28"/>
      <c r="F230" s="28"/>
      <c r="G230" s="30"/>
      <c r="H230" s="28"/>
      <c r="I230" s="28"/>
      <c r="J230" s="20">
        <f t="shared" si="4"/>
        <v>0</v>
      </c>
    </row>
    <row r="231" spans="2:11" x14ac:dyDescent="0.25">
      <c r="B231" s="28"/>
      <c r="C231" s="29"/>
      <c r="D231" s="28"/>
      <c r="E231" s="28"/>
      <c r="F231" s="28"/>
      <c r="G231" s="30"/>
      <c r="H231" s="28"/>
      <c r="I231" s="28"/>
      <c r="J231" s="20">
        <f t="shared" si="4"/>
        <v>0</v>
      </c>
    </row>
    <row r="232" spans="2:11" x14ac:dyDescent="0.25">
      <c r="B232" s="28"/>
      <c r="C232" s="29"/>
      <c r="D232" s="28"/>
      <c r="E232" s="28"/>
      <c r="F232" s="28"/>
      <c r="G232" s="30"/>
      <c r="H232" s="28"/>
      <c r="I232" s="28"/>
      <c r="J232" s="20">
        <f t="shared" si="4"/>
        <v>0</v>
      </c>
      <c r="K232" s="27">
        <f>SUM(J186:J232)</f>
        <v>0</v>
      </c>
    </row>
    <row r="233" spans="2:11" x14ac:dyDescent="0.25">
      <c r="B233" s="40"/>
      <c r="C233" s="41"/>
      <c r="D233" s="41"/>
      <c r="E233" s="41"/>
      <c r="F233" s="41"/>
      <c r="G233" s="41"/>
      <c r="H233" s="41"/>
      <c r="I233" s="42"/>
    </row>
    <row r="234" spans="2:11" x14ac:dyDescent="0.25">
      <c r="B234" s="28"/>
      <c r="C234" s="29"/>
      <c r="D234" s="28"/>
      <c r="E234" s="28"/>
      <c r="F234" s="28"/>
      <c r="G234" s="28"/>
      <c r="H234" s="28"/>
      <c r="I234" s="28"/>
    </row>
    <row r="235" spans="2:11" x14ac:dyDescent="0.25">
      <c r="B235" s="28"/>
      <c r="C235" s="29"/>
      <c r="D235" s="28"/>
      <c r="E235" s="28"/>
      <c r="F235" s="28"/>
      <c r="G235" s="28"/>
      <c r="H235" s="28"/>
      <c r="I235" s="28"/>
    </row>
    <row r="236" spans="2:11" x14ac:dyDescent="0.25">
      <c r="B236" s="28"/>
      <c r="C236" s="29"/>
      <c r="D236" s="28"/>
      <c r="E236" s="28"/>
      <c r="F236" s="28"/>
      <c r="G236" s="28"/>
      <c r="H236" s="28"/>
      <c r="I236" s="28"/>
    </row>
    <row r="237" spans="2:11" x14ac:dyDescent="0.25">
      <c r="B237" s="28"/>
      <c r="C237" s="29"/>
      <c r="D237" s="28"/>
      <c r="E237" s="28"/>
      <c r="F237" s="28"/>
      <c r="G237" s="28"/>
      <c r="H237" s="28"/>
      <c r="I237" s="28"/>
    </row>
  </sheetData>
  <mergeCells count="6">
    <mergeCell ref="B233:I233"/>
    <mergeCell ref="B7:I7"/>
    <mergeCell ref="B87:I87"/>
    <mergeCell ref="B141:I141"/>
    <mergeCell ref="B185:I185"/>
    <mergeCell ref="B52:I52"/>
  </mergeCells>
  <pageMargins left="0.7" right="0.7" top="0.75" bottom="0.75" header="0.3" footer="0.3"/>
  <pageSetup paperSize="9" scale="2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B36A-9FFD-4861-9AE8-5E8745D417DF}">
  <dimension ref="B7:L204"/>
  <sheetViews>
    <sheetView topLeftCell="A6" workbookViewId="0">
      <selection activeCell="L8" sqref="L8:L48"/>
    </sheetView>
  </sheetViews>
  <sheetFormatPr defaultRowHeight="15" x14ac:dyDescent="0.25"/>
  <cols>
    <col min="3" max="3" width="10.140625" bestFit="1" customWidth="1"/>
    <col min="4" max="4" width="15.85546875" customWidth="1"/>
    <col min="6" max="6" width="48.5703125" bestFit="1" customWidth="1"/>
    <col min="7" max="7" width="34.5703125" customWidth="1"/>
    <col min="12" max="12" width="30.28515625" bestFit="1" customWidth="1"/>
  </cols>
  <sheetData>
    <row r="7" spans="2:12" x14ac:dyDescent="0.25">
      <c r="B7" s="7" t="s">
        <v>122</v>
      </c>
      <c r="C7" s="8" t="s">
        <v>50</v>
      </c>
      <c r="D7" s="7">
        <v>332966</v>
      </c>
      <c r="E7" s="7" t="s">
        <v>102</v>
      </c>
      <c r="F7" s="7" t="s">
        <v>14</v>
      </c>
      <c r="G7" s="9">
        <v>0.20280000000000001</v>
      </c>
      <c r="H7" s="10">
        <v>300</v>
      </c>
      <c r="I7" s="7"/>
      <c r="K7" s="7">
        <v>332506</v>
      </c>
      <c r="L7" t="e">
        <f>VLOOKUP(K7,D7:H117,3,FALSE)</f>
        <v>#N/A</v>
      </c>
    </row>
    <row r="8" spans="2:12" x14ac:dyDescent="0.25">
      <c r="B8" s="7" t="s">
        <v>188</v>
      </c>
      <c r="C8" s="8" t="s">
        <v>123</v>
      </c>
      <c r="D8" s="7">
        <v>332504</v>
      </c>
      <c r="E8" s="7" t="s">
        <v>157</v>
      </c>
      <c r="F8" s="7" t="s">
        <v>158</v>
      </c>
      <c r="G8" s="9">
        <v>0.22670000000000001</v>
      </c>
      <c r="H8" s="10">
        <v>400</v>
      </c>
      <c r="I8" s="7"/>
      <c r="K8" s="7">
        <v>332970</v>
      </c>
      <c r="L8" t="str">
        <f>VLOOKUP(K8,D8:H118,2,FALSE)</f>
        <v>T3088</v>
      </c>
    </row>
    <row r="9" spans="2:12" x14ac:dyDescent="0.25">
      <c r="B9" s="7" t="s">
        <v>250</v>
      </c>
      <c r="C9" s="8" t="s">
        <v>251</v>
      </c>
      <c r="D9" s="7">
        <v>332970</v>
      </c>
      <c r="E9" s="7" t="s">
        <v>221</v>
      </c>
      <c r="F9" s="7" t="s">
        <v>222</v>
      </c>
      <c r="G9" s="9">
        <v>0.13900000000000001</v>
      </c>
      <c r="H9" s="10">
        <v>200</v>
      </c>
      <c r="I9" s="7"/>
      <c r="K9" s="7">
        <v>332971</v>
      </c>
      <c r="L9" t="e">
        <f t="shared" ref="L9:L48" si="0">VLOOKUP(K9,D9:H119,2,FALSE)</f>
        <v>#N/A</v>
      </c>
    </row>
    <row r="10" spans="2:12" x14ac:dyDescent="0.25">
      <c r="B10" s="7" t="s">
        <v>250</v>
      </c>
      <c r="C10" s="8" t="s">
        <v>251</v>
      </c>
      <c r="D10" s="7">
        <v>332973</v>
      </c>
      <c r="E10" s="7" t="s">
        <v>223</v>
      </c>
      <c r="F10" s="7" t="s">
        <v>224</v>
      </c>
      <c r="G10" s="9">
        <v>0.18729999999999999</v>
      </c>
      <c r="H10" s="10">
        <v>300</v>
      </c>
      <c r="I10" s="7"/>
      <c r="K10" s="7">
        <v>333059</v>
      </c>
      <c r="L10" t="e">
        <f t="shared" si="0"/>
        <v>#N/A</v>
      </c>
    </row>
    <row r="11" spans="2:12" x14ac:dyDescent="0.25">
      <c r="B11" s="7" t="s">
        <v>220</v>
      </c>
      <c r="C11" s="8" t="s">
        <v>189</v>
      </c>
      <c r="D11" s="7">
        <v>333060</v>
      </c>
      <c r="E11" s="7" t="s">
        <v>191</v>
      </c>
      <c r="F11" s="7" t="s">
        <v>192</v>
      </c>
      <c r="G11" s="9">
        <v>0.1215</v>
      </c>
      <c r="H11" s="10">
        <v>100</v>
      </c>
      <c r="I11" s="7"/>
      <c r="K11" s="7">
        <v>349827</v>
      </c>
      <c r="L11" t="str">
        <f t="shared" si="0"/>
        <v>T2572</v>
      </c>
    </row>
    <row r="12" spans="2:12" x14ac:dyDescent="0.25">
      <c r="B12" s="7" t="s">
        <v>122</v>
      </c>
      <c r="C12" s="8" t="s">
        <v>50</v>
      </c>
      <c r="D12" s="7">
        <v>333061</v>
      </c>
      <c r="E12" s="7" t="s">
        <v>103</v>
      </c>
      <c r="F12" s="7" t="s">
        <v>51</v>
      </c>
      <c r="G12" s="9">
        <v>0.17699999999999999</v>
      </c>
      <c r="H12" s="10">
        <v>300</v>
      </c>
      <c r="I12" s="7"/>
      <c r="K12" s="7">
        <v>333665</v>
      </c>
      <c r="L12" t="e">
        <f t="shared" si="0"/>
        <v>#N/A</v>
      </c>
    </row>
    <row r="13" spans="2:12" x14ac:dyDescent="0.25">
      <c r="B13" s="7" t="s">
        <v>250</v>
      </c>
      <c r="C13" s="8" t="s">
        <v>251</v>
      </c>
      <c r="D13" s="7">
        <v>333125</v>
      </c>
      <c r="E13" s="7" t="s">
        <v>225</v>
      </c>
      <c r="F13" s="7" t="s">
        <v>28</v>
      </c>
      <c r="G13" s="9">
        <v>0.22619999999999998</v>
      </c>
      <c r="H13" s="10">
        <v>100</v>
      </c>
      <c r="I13" s="7"/>
      <c r="K13" s="7">
        <v>333745</v>
      </c>
      <c r="L13" t="str">
        <f t="shared" si="0"/>
        <v>T3164</v>
      </c>
    </row>
    <row r="14" spans="2:12" x14ac:dyDescent="0.25">
      <c r="B14" s="7" t="s">
        <v>122</v>
      </c>
      <c r="C14" s="8" t="s">
        <v>50</v>
      </c>
      <c r="D14" s="7">
        <v>333403</v>
      </c>
      <c r="E14" s="7" t="s">
        <v>104</v>
      </c>
      <c r="F14" s="7" t="s">
        <v>30</v>
      </c>
      <c r="G14" s="9">
        <v>0.19139999999999999</v>
      </c>
      <c r="H14" s="10">
        <v>250</v>
      </c>
      <c r="I14" s="7"/>
      <c r="K14" s="7">
        <v>333751</v>
      </c>
      <c r="L14" t="str">
        <f t="shared" si="0"/>
        <v>T3090</v>
      </c>
    </row>
    <row r="15" spans="2:12" x14ac:dyDescent="0.25">
      <c r="B15" s="7" t="s">
        <v>188</v>
      </c>
      <c r="C15" s="8" t="s">
        <v>123</v>
      </c>
      <c r="D15" s="7">
        <v>333404</v>
      </c>
      <c r="E15" s="7" t="s">
        <v>159</v>
      </c>
      <c r="F15" s="7" t="s">
        <v>160</v>
      </c>
      <c r="G15" s="12">
        <v>0.16439999999999999</v>
      </c>
      <c r="H15" s="10">
        <v>200</v>
      </c>
      <c r="I15" s="7"/>
      <c r="K15" s="7">
        <v>333752</v>
      </c>
      <c r="L15" t="str">
        <f t="shared" si="0"/>
        <v>T3198</v>
      </c>
    </row>
    <row r="16" spans="2:12" x14ac:dyDescent="0.25">
      <c r="B16" s="7" t="s">
        <v>122</v>
      </c>
      <c r="C16" s="8" t="s">
        <v>50</v>
      </c>
      <c r="D16" s="7">
        <v>333405</v>
      </c>
      <c r="E16" s="7" t="s">
        <v>78</v>
      </c>
      <c r="F16" s="7" t="s">
        <v>52</v>
      </c>
      <c r="G16" s="9">
        <v>0.23980000000000001</v>
      </c>
      <c r="H16" s="10">
        <v>300</v>
      </c>
      <c r="I16" s="7"/>
      <c r="K16" s="7">
        <v>333753</v>
      </c>
      <c r="L16" t="str">
        <f t="shared" si="0"/>
        <v>T2826</v>
      </c>
    </row>
    <row r="17" spans="2:12" x14ac:dyDescent="0.25">
      <c r="B17" s="7" t="s">
        <v>220</v>
      </c>
      <c r="C17" s="8" t="s">
        <v>189</v>
      </c>
      <c r="D17" s="7">
        <v>333406</v>
      </c>
      <c r="E17" s="7" t="s">
        <v>219</v>
      </c>
      <c r="F17" s="15" t="s">
        <v>212</v>
      </c>
      <c r="G17" s="9">
        <v>0.23980000000000001</v>
      </c>
      <c r="H17" s="10">
        <v>100</v>
      </c>
      <c r="I17" s="7"/>
      <c r="K17" s="7">
        <v>349782</v>
      </c>
      <c r="L17" t="str">
        <f t="shared" si="0"/>
        <v>T2573</v>
      </c>
    </row>
    <row r="18" spans="2:12" x14ac:dyDescent="0.25">
      <c r="B18" s="7" t="s">
        <v>250</v>
      </c>
      <c r="C18" s="8" t="s">
        <v>251</v>
      </c>
      <c r="D18" s="7">
        <v>333413</v>
      </c>
      <c r="E18" s="7" t="s">
        <v>226</v>
      </c>
      <c r="F18" s="7" t="s">
        <v>227</v>
      </c>
      <c r="G18" s="9">
        <v>0.27610000000000001</v>
      </c>
      <c r="H18" s="10">
        <v>200</v>
      </c>
      <c r="I18" s="7"/>
      <c r="K18" s="7">
        <v>334183</v>
      </c>
      <c r="L18" t="str">
        <f t="shared" si="0"/>
        <v>T3091</v>
      </c>
    </row>
    <row r="19" spans="2:12" x14ac:dyDescent="0.25">
      <c r="B19" s="7" t="s">
        <v>250</v>
      </c>
      <c r="C19" s="8" t="s">
        <v>251</v>
      </c>
      <c r="D19" s="7">
        <v>333659</v>
      </c>
      <c r="E19" s="7" t="s">
        <v>228</v>
      </c>
      <c r="F19" s="7" t="s">
        <v>229</v>
      </c>
      <c r="G19" s="9">
        <v>0.24929999999999999</v>
      </c>
      <c r="H19" s="10">
        <v>900</v>
      </c>
      <c r="I19" s="7"/>
      <c r="K19" s="7">
        <v>334398</v>
      </c>
      <c r="L19" t="e">
        <f t="shared" si="0"/>
        <v>#N/A</v>
      </c>
    </row>
    <row r="20" spans="2:12" x14ac:dyDescent="0.25">
      <c r="B20" s="7" t="s">
        <v>250</v>
      </c>
      <c r="C20" s="8" t="s">
        <v>251</v>
      </c>
      <c r="D20" s="7">
        <v>333745</v>
      </c>
      <c r="E20" s="7" t="s">
        <v>230</v>
      </c>
      <c r="F20" s="7" t="s">
        <v>231</v>
      </c>
      <c r="G20" s="9">
        <v>0.29749999999999999</v>
      </c>
      <c r="H20" s="10">
        <v>100</v>
      </c>
      <c r="I20" s="7"/>
      <c r="K20" s="7">
        <v>334526</v>
      </c>
      <c r="L20" t="str">
        <f t="shared" si="0"/>
        <v>T4074</v>
      </c>
    </row>
    <row r="21" spans="2:12" x14ac:dyDescent="0.25">
      <c r="B21" s="7" t="s">
        <v>122</v>
      </c>
      <c r="C21" s="8" t="s">
        <v>50</v>
      </c>
      <c r="D21" s="7">
        <v>333751</v>
      </c>
      <c r="E21" s="7" t="s">
        <v>105</v>
      </c>
      <c r="F21" s="7" t="s">
        <v>32</v>
      </c>
      <c r="G21" s="9">
        <v>0.29830000000000001</v>
      </c>
      <c r="H21" s="10">
        <v>100</v>
      </c>
      <c r="I21" s="7"/>
      <c r="K21" s="7">
        <v>334645</v>
      </c>
      <c r="L21" t="e">
        <f t="shared" si="0"/>
        <v>#N/A</v>
      </c>
    </row>
    <row r="22" spans="2:12" x14ac:dyDescent="0.25">
      <c r="B22" s="7" t="s">
        <v>122</v>
      </c>
      <c r="C22" s="8" t="s">
        <v>50</v>
      </c>
      <c r="D22" s="7">
        <v>333752</v>
      </c>
      <c r="E22" s="7" t="s">
        <v>80</v>
      </c>
      <c r="F22" s="7" t="s">
        <v>53</v>
      </c>
      <c r="G22" s="9">
        <v>0.29830000000000001</v>
      </c>
      <c r="H22" s="10">
        <v>200</v>
      </c>
      <c r="I22" s="7"/>
      <c r="K22" s="7">
        <v>349838</v>
      </c>
      <c r="L22" t="str">
        <f t="shared" si="0"/>
        <v>T2984</v>
      </c>
    </row>
    <row r="23" spans="2:12" x14ac:dyDescent="0.25">
      <c r="B23" s="7" t="s">
        <v>122</v>
      </c>
      <c r="C23" s="8" t="s">
        <v>50</v>
      </c>
      <c r="D23" s="7">
        <v>333753</v>
      </c>
      <c r="E23" s="7" t="s">
        <v>81</v>
      </c>
      <c r="F23" s="7" t="s">
        <v>13</v>
      </c>
      <c r="G23" s="9">
        <v>0.33289999999999997</v>
      </c>
      <c r="H23" s="10">
        <v>300</v>
      </c>
      <c r="I23" s="7"/>
      <c r="K23" s="7">
        <v>338183</v>
      </c>
      <c r="L23" t="str">
        <f t="shared" si="0"/>
        <v>T3169</v>
      </c>
    </row>
    <row r="24" spans="2:12" x14ac:dyDescent="0.25">
      <c r="B24" s="7" t="s">
        <v>250</v>
      </c>
      <c r="C24" s="8" t="s">
        <v>251</v>
      </c>
      <c r="D24" s="7">
        <v>333755</v>
      </c>
      <c r="E24" s="7" t="s">
        <v>232</v>
      </c>
      <c r="F24" s="7" t="s">
        <v>233</v>
      </c>
      <c r="G24" s="9">
        <v>0.35099999999999998</v>
      </c>
      <c r="H24" s="10">
        <v>200</v>
      </c>
      <c r="I24" s="7"/>
      <c r="K24" s="7">
        <v>338217</v>
      </c>
      <c r="L24" t="e">
        <f t="shared" si="0"/>
        <v>#N/A</v>
      </c>
    </row>
    <row r="25" spans="2:12" x14ac:dyDescent="0.25">
      <c r="B25" s="7" t="s">
        <v>220</v>
      </c>
      <c r="C25" s="8" t="s">
        <v>189</v>
      </c>
      <c r="D25" s="7">
        <v>333762</v>
      </c>
      <c r="E25" s="7" t="s">
        <v>193</v>
      </c>
      <c r="F25" s="7" t="s">
        <v>194</v>
      </c>
      <c r="G25" s="9">
        <v>0.32650000000000001</v>
      </c>
      <c r="H25" s="10">
        <v>200</v>
      </c>
      <c r="I25" s="7"/>
      <c r="K25" s="7">
        <v>338640</v>
      </c>
      <c r="L25" t="str">
        <f t="shared" si="0"/>
        <v>T3247</v>
      </c>
    </row>
    <row r="26" spans="2:12" x14ac:dyDescent="0.25">
      <c r="B26" s="7" t="s">
        <v>250</v>
      </c>
      <c r="C26" s="8" t="s">
        <v>251</v>
      </c>
      <c r="D26" s="7">
        <v>333809</v>
      </c>
      <c r="E26" s="7" t="s">
        <v>234</v>
      </c>
      <c r="F26" s="7" t="s">
        <v>235</v>
      </c>
      <c r="G26" s="9">
        <v>0.29360000000000003</v>
      </c>
      <c r="H26" s="10">
        <v>400</v>
      </c>
      <c r="I26" s="7"/>
      <c r="K26" s="7">
        <v>338913</v>
      </c>
      <c r="L26" t="str">
        <f t="shared" si="0"/>
        <v>T3248</v>
      </c>
    </row>
    <row r="27" spans="2:12" x14ac:dyDescent="0.25">
      <c r="B27" s="7" t="s">
        <v>122</v>
      </c>
      <c r="C27" s="8" t="s">
        <v>50</v>
      </c>
      <c r="D27" s="7">
        <v>333903</v>
      </c>
      <c r="E27" s="7" t="s">
        <v>82</v>
      </c>
      <c r="F27" s="7" t="s">
        <v>54</v>
      </c>
      <c r="G27" s="9">
        <v>0.3206</v>
      </c>
      <c r="H27" s="10">
        <v>100</v>
      </c>
      <c r="I27" s="7"/>
      <c r="K27" s="7">
        <v>339064</v>
      </c>
      <c r="L27" t="e">
        <f t="shared" si="0"/>
        <v>#N/A</v>
      </c>
    </row>
    <row r="28" spans="2:12" x14ac:dyDescent="0.25">
      <c r="B28" s="7" t="s">
        <v>188</v>
      </c>
      <c r="C28" s="8" t="s">
        <v>123</v>
      </c>
      <c r="D28" s="7">
        <v>333904</v>
      </c>
      <c r="E28" s="7" t="s">
        <v>153</v>
      </c>
      <c r="F28" s="7" t="s">
        <v>154</v>
      </c>
      <c r="G28" s="9">
        <v>0.3916</v>
      </c>
      <c r="H28" s="10">
        <v>200</v>
      </c>
      <c r="I28" s="7"/>
      <c r="K28" s="7">
        <v>339561</v>
      </c>
      <c r="L28" t="e">
        <f t="shared" si="0"/>
        <v>#N/A</v>
      </c>
    </row>
    <row r="29" spans="2:12" x14ac:dyDescent="0.25">
      <c r="B29" s="7" t="s">
        <v>220</v>
      </c>
      <c r="C29" s="8" t="s">
        <v>189</v>
      </c>
      <c r="D29" s="7">
        <v>334154</v>
      </c>
      <c r="E29" s="7" t="s">
        <v>217</v>
      </c>
      <c r="F29" s="7" t="s">
        <v>218</v>
      </c>
      <c r="G29" s="9">
        <v>0.42749999999999999</v>
      </c>
      <c r="H29" s="10">
        <v>100</v>
      </c>
      <c r="I29" s="7"/>
      <c r="K29" s="7">
        <v>339764</v>
      </c>
      <c r="L29" t="str">
        <f t="shared" si="0"/>
        <v>T2896</v>
      </c>
    </row>
    <row r="30" spans="2:12" x14ac:dyDescent="0.25">
      <c r="B30" s="7" t="s">
        <v>188</v>
      </c>
      <c r="C30" s="8" t="s">
        <v>123</v>
      </c>
      <c r="D30" s="7">
        <v>334183</v>
      </c>
      <c r="E30" s="7" t="s">
        <v>155</v>
      </c>
      <c r="F30" s="7" t="s">
        <v>156</v>
      </c>
      <c r="G30" s="12">
        <v>0.4007</v>
      </c>
      <c r="H30" s="10">
        <v>100</v>
      </c>
      <c r="I30" s="7"/>
      <c r="K30" s="7">
        <v>339989</v>
      </c>
      <c r="L30" t="str">
        <f t="shared" si="0"/>
        <v>T3211</v>
      </c>
    </row>
    <row r="31" spans="2:12" x14ac:dyDescent="0.25">
      <c r="B31" s="7" t="s">
        <v>122</v>
      </c>
      <c r="C31" s="8" t="s">
        <v>50</v>
      </c>
      <c r="D31" s="7">
        <v>334425</v>
      </c>
      <c r="E31" s="7" t="s">
        <v>86</v>
      </c>
      <c r="F31" s="7" t="s">
        <v>34</v>
      </c>
      <c r="G31" s="9">
        <v>0.44409999999999999</v>
      </c>
      <c r="H31" s="10">
        <v>400</v>
      </c>
      <c r="I31" s="7"/>
      <c r="K31" s="7">
        <v>340162</v>
      </c>
      <c r="L31" t="str">
        <f t="shared" si="0"/>
        <v>T3259</v>
      </c>
    </row>
    <row r="32" spans="2:12" x14ac:dyDescent="0.25">
      <c r="B32" s="7" t="s">
        <v>220</v>
      </c>
      <c r="C32" s="8" t="s">
        <v>189</v>
      </c>
      <c r="D32" s="7">
        <v>334427</v>
      </c>
      <c r="E32" s="7" t="s">
        <v>197</v>
      </c>
      <c r="F32" s="7" t="s">
        <v>198</v>
      </c>
      <c r="G32" s="9">
        <v>0.38450000000000001</v>
      </c>
      <c r="H32" s="10">
        <v>200</v>
      </c>
      <c r="I32" s="7"/>
      <c r="K32" s="7">
        <v>349821</v>
      </c>
      <c r="L32" t="str">
        <f t="shared" si="0"/>
        <v>T2831</v>
      </c>
    </row>
    <row r="33" spans="2:12" x14ac:dyDescent="0.25">
      <c r="B33" s="7" t="s">
        <v>220</v>
      </c>
      <c r="C33" s="8" t="s">
        <v>189</v>
      </c>
      <c r="D33" s="7">
        <v>334515</v>
      </c>
      <c r="E33" s="7" t="s">
        <v>213</v>
      </c>
      <c r="F33" s="15" t="s">
        <v>214</v>
      </c>
      <c r="G33" s="9">
        <v>0.48799999999999999</v>
      </c>
      <c r="H33" s="10">
        <v>100</v>
      </c>
      <c r="I33" s="7"/>
      <c r="K33" s="7">
        <v>342583</v>
      </c>
      <c r="L33" t="str">
        <f t="shared" si="0"/>
        <v>T0312</v>
      </c>
    </row>
    <row r="34" spans="2:12" x14ac:dyDescent="0.25">
      <c r="B34" s="7" t="s">
        <v>122</v>
      </c>
      <c r="C34" s="8" t="s">
        <v>50</v>
      </c>
      <c r="D34" s="7">
        <v>334526</v>
      </c>
      <c r="E34" s="7" t="s">
        <v>120</v>
      </c>
      <c r="F34" s="7" t="s">
        <v>57</v>
      </c>
      <c r="G34" s="9">
        <v>0.52039999999999997</v>
      </c>
      <c r="H34" s="10">
        <v>100</v>
      </c>
      <c r="I34" s="7"/>
      <c r="K34" s="7">
        <v>342592</v>
      </c>
      <c r="L34" t="str">
        <f t="shared" si="0"/>
        <v>T0314</v>
      </c>
    </row>
    <row r="35" spans="2:12" x14ac:dyDescent="0.25">
      <c r="B35" s="7" t="s">
        <v>122</v>
      </c>
      <c r="C35" s="8" t="s">
        <v>50</v>
      </c>
      <c r="D35" s="7">
        <v>334635</v>
      </c>
      <c r="E35" s="7" t="s">
        <v>87</v>
      </c>
      <c r="F35" s="7" t="s">
        <v>58</v>
      </c>
      <c r="G35" s="9">
        <v>0.47860000000000003</v>
      </c>
      <c r="H35" s="10">
        <v>100</v>
      </c>
      <c r="I35" s="7"/>
      <c r="K35" s="7">
        <v>342634</v>
      </c>
      <c r="L35" t="e">
        <f t="shared" si="0"/>
        <v>#N/A</v>
      </c>
    </row>
    <row r="36" spans="2:12" x14ac:dyDescent="0.25">
      <c r="B36" s="7" t="s">
        <v>250</v>
      </c>
      <c r="C36" s="8" t="s">
        <v>251</v>
      </c>
      <c r="D36" s="7">
        <v>334638</v>
      </c>
      <c r="E36" s="7" t="s">
        <v>236</v>
      </c>
      <c r="F36" s="7" t="s">
        <v>237</v>
      </c>
      <c r="G36" s="9">
        <v>0.58209999999999995</v>
      </c>
      <c r="H36" s="10">
        <v>100</v>
      </c>
      <c r="I36" s="7"/>
      <c r="K36" s="7">
        <v>342704</v>
      </c>
      <c r="L36" t="str">
        <f t="shared" si="0"/>
        <v>T3213</v>
      </c>
    </row>
    <row r="37" spans="2:12" x14ac:dyDescent="0.25">
      <c r="B37" s="7" t="s">
        <v>188</v>
      </c>
      <c r="C37" s="8" t="s">
        <v>123</v>
      </c>
      <c r="D37" s="7">
        <v>334874</v>
      </c>
      <c r="E37" s="7" t="s">
        <v>124</v>
      </c>
      <c r="F37" s="7" t="s">
        <v>125</v>
      </c>
      <c r="G37" s="9">
        <v>0.59750000000000003</v>
      </c>
      <c r="H37" s="10">
        <v>100</v>
      </c>
      <c r="I37" s="7"/>
      <c r="K37" s="7">
        <v>342705</v>
      </c>
      <c r="L37" t="str">
        <f t="shared" si="0"/>
        <v>T0336</v>
      </c>
    </row>
    <row r="38" spans="2:12" x14ac:dyDescent="0.25">
      <c r="B38" s="7" t="s">
        <v>122</v>
      </c>
      <c r="C38" s="8" t="s">
        <v>50</v>
      </c>
      <c r="D38" s="7">
        <v>335319</v>
      </c>
      <c r="E38" s="7" t="s">
        <v>106</v>
      </c>
      <c r="F38" s="7" t="s">
        <v>60</v>
      </c>
      <c r="G38" s="9">
        <v>0.71089999999999998</v>
      </c>
      <c r="H38" s="10">
        <v>80</v>
      </c>
      <c r="I38" s="7"/>
      <c r="K38" s="7">
        <v>343111</v>
      </c>
      <c r="L38" t="str">
        <f t="shared" si="0"/>
        <v>T3076</v>
      </c>
    </row>
    <row r="39" spans="2:12" x14ac:dyDescent="0.25">
      <c r="B39" s="7" t="s">
        <v>122</v>
      </c>
      <c r="C39" s="8" t="s">
        <v>50</v>
      </c>
      <c r="D39" s="7">
        <v>335320</v>
      </c>
      <c r="E39" s="7" t="s">
        <v>107</v>
      </c>
      <c r="F39" s="7" t="s">
        <v>61</v>
      </c>
      <c r="G39" s="9">
        <v>0.66500000000000004</v>
      </c>
      <c r="H39" s="10">
        <v>80</v>
      </c>
      <c r="I39" s="7"/>
      <c r="K39" s="7">
        <v>343389</v>
      </c>
      <c r="L39" t="str">
        <f t="shared" si="0"/>
        <v>T3175</v>
      </c>
    </row>
    <row r="40" spans="2:12" x14ac:dyDescent="0.25">
      <c r="B40" s="7" t="s">
        <v>250</v>
      </c>
      <c r="C40" s="8" t="s">
        <v>251</v>
      </c>
      <c r="D40" s="7">
        <v>335360</v>
      </c>
      <c r="E40" s="7" t="s">
        <v>240</v>
      </c>
      <c r="F40" s="7" t="s">
        <v>241</v>
      </c>
      <c r="G40" s="9">
        <v>0.84040000000000004</v>
      </c>
      <c r="H40" s="10">
        <v>200</v>
      </c>
      <c r="I40" s="7"/>
      <c r="K40" s="7">
        <v>344788</v>
      </c>
      <c r="L40" t="str">
        <f t="shared" si="0"/>
        <v>T2368</v>
      </c>
    </row>
    <row r="41" spans="2:12" x14ac:dyDescent="0.25">
      <c r="B41" s="7" t="s">
        <v>220</v>
      </c>
      <c r="C41" s="8" t="s">
        <v>189</v>
      </c>
      <c r="D41" s="7">
        <v>335413</v>
      </c>
      <c r="E41" s="7" t="s">
        <v>199</v>
      </c>
      <c r="F41" s="7" t="s">
        <v>200</v>
      </c>
      <c r="G41" s="9">
        <v>0.80449999999999999</v>
      </c>
      <c r="H41" s="10">
        <v>50</v>
      </c>
      <c r="I41" s="7"/>
      <c r="K41" s="7">
        <v>344838</v>
      </c>
      <c r="L41" t="str">
        <f t="shared" si="0"/>
        <v>T3080</v>
      </c>
    </row>
    <row r="42" spans="2:12" x14ac:dyDescent="0.25">
      <c r="B42" s="7" t="s">
        <v>188</v>
      </c>
      <c r="C42" s="8" t="s">
        <v>123</v>
      </c>
      <c r="D42" s="7">
        <v>335600</v>
      </c>
      <c r="E42" s="7" t="s">
        <v>161</v>
      </c>
      <c r="F42" s="7" t="s">
        <v>162</v>
      </c>
      <c r="G42" s="9">
        <v>0.74119999999999997</v>
      </c>
      <c r="H42" s="10">
        <v>100</v>
      </c>
      <c r="I42" s="7"/>
      <c r="K42" s="7">
        <v>344878</v>
      </c>
      <c r="L42" t="str">
        <f t="shared" si="0"/>
        <v>T2187</v>
      </c>
    </row>
    <row r="43" spans="2:12" x14ac:dyDescent="0.25">
      <c r="B43" s="7" t="s">
        <v>188</v>
      </c>
      <c r="C43" s="8" t="s">
        <v>123</v>
      </c>
      <c r="D43" s="7">
        <v>337919</v>
      </c>
      <c r="E43" s="7" t="s">
        <v>165</v>
      </c>
      <c r="F43" s="7" t="s">
        <v>166</v>
      </c>
      <c r="G43" s="9">
        <v>0.19520000000000001</v>
      </c>
      <c r="H43" s="10">
        <v>200</v>
      </c>
      <c r="I43" s="7"/>
      <c r="K43" s="7">
        <v>346044</v>
      </c>
      <c r="L43" t="e">
        <f t="shared" si="0"/>
        <v>#N/A</v>
      </c>
    </row>
    <row r="44" spans="2:12" x14ac:dyDescent="0.25">
      <c r="B44" s="7" t="s">
        <v>122</v>
      </c>
      <c r="C44" s="8" t="s">
        <v>50</v>
      </c>
      <c r="D44" s="7">
        <v>338183</v>
      </c>
      <c r="E44" s="7" t="s">
        <v>89</v>
      </c>
      <c r="F44" s="7" t="s">
        <v>62</v>
      </c>
      <c r="G44" s="9">
        <v>0.1585</v>
      </c>
      <c r="H44" s="10">
        <v>1500</v>
      </c>
      <c r="I44" s="7"/>
      <c r="K44" s="7">
        <v>346167</v>
      </c>
      <c r="L44" t="str">
        <f t="shared" si="0"/>
        <v>T3256</v>
      </c>
    </row>
    <row r="45" spans="2:12" x14ac:dyDescent="0.25">
      <c r="B45" s="7" t="s">
        <v>188</v>
      </c>
      <c r="C45" s="8" t="s">
        <v>123</v>
      </c>
      <c r="D45" s="7">
        <v>338253</v>
      </c>
      <c r="E45" s="7" t="s">
        <v>167</v>
      </c>
      <c r="F45" s="7" t="s">
        <v>168</v>
      </c>
      <c r="G45" s="9">
        <v>0.1653</v>
      </c>
      <c r="H45" s="10">
        <v>500</v>
      </c>
      <c r="I45" s="7"/>
      <c r="K45" s="7">
        <v>349068</v>
      </c>
      <c r="L45" t="str">
        <f t="shared" si="0"/>
        <v>T2832</v>
      </c>
    </row>
    <row r="46" spans="2:12" x14ac:dyDescent="0.25">
      <c r="B46" s="7" t="s">
        <v>188</v>
      </c>
      <c r="C46" s="8" t="s">
        <v>123</v>
      </c>
      <c r="D46" s="7">
        <v>338348</v>
      </c>
      <c r="E46" s="7" t="s">
        <v>185</v>
      </c>
      <c r="F46" s="7" t="s">
        <v>184</v>
      </c>
      <c r="G46" s="9">
        <v>0.27499999999999997</v>
      </c>
      <c r="H46" s="10">
        <v>100</v>
      </c>
      <c r="I46" s="7"/>
      <c r="K46" s="7">
        <v>349849</v>
      </c>
      <c r="L46" t="str">
        <f t="shared" si="0"/>
        <v>T2583</v>
      </c>
    </row>
    <row r="47" spans="2:12" x14ac:dyDescent="0.25">
      <c r="B47" s="7" t="s">
        <v>122</v>
      </c>
      <c r="C47" s="8" t="s">
        <v>50</v>
      </c>
      <c r="D47" s="7">
        <v>338595</v>
      </c>
      <c r="E47" s="7" t="s">
        <v>108</v>
      </c>
      <c r="F47" s="7" t="s">
        <v>63</v>
      </c>
      <c r="G47" s="9">
        <v>0.25369999999999998</v>
      </c>
      <c r="H47" s="10">
        <v>400</v>
      </c>
      <c r="I47" s="7"/>
      <c r="K47" s="7">
        <v>349852</v>
      </c>
      <c r="L47" t="str">
        <f t="shared" si="0"/>
        <v>T3401</v>
      </c>
    </row>
    <row r="48" spans="2:12" x14ac:dyDescent="0.25">
      <c r="B48" s="7" t="s">
        <v>122</v>
      </c>
      <c r="C48" s="8" t="s">
        <v>50</v>
      </c>
      <c r="D48" s="7">
        <v>338640</v>
      </c>
      <c r="E48" s="7" t="s">
        <v>109</v>
      </c>
      <c r="F48" s="7" t="s">
        <v>110</v>
      </c>
      <c r="G48" s="9">
        <v>0.28499999999999998</v>
      </c>
      <c r="H48" s="10">
        <v>150</v>
      </c>
      <c r="I48" s="7"/>
      <c r="K48" s="7">
        <v>349547</v>
      </c>
      <c r="L48" t="e">
        <f t="shared" si="0"/>
        <v>#N/A</v>
      </c>
    </row>
    <row r="49" spans="2:9" x14ac:dyDescent="0.25">
      <c r="B49" s="7" t="s">
        <v>122</v>
      </c>
      <c r="C49" s="8" t="s">
        <v>50</v>
      </c>
      <c r="D49" s="7">
        <v>338913</v>
      </c>
      <c r="E49" s="7" t="s">
        <v>111</v>
      </c>
      <c r="F49" s="7" t="s">
        <v>64</v>
      </c>
      <c r="G49" s="9">
        <v>0.28799999999999998</v>
      </c>
      <c r="H49" s="10">
        <v>200</v>
      </c>
      <c r="I49" s="7"/>
    </row>
    <row r="50" spans="2:9" x14ac:dyDescent="0.25">
      <c r="B50" s="7" t="s">
        <v>122</v>
      </c>
      <c r="C50" s="8" t="s">
        <v>50</v>
      </c>
      <c r="D50" s="7">
        <v>338915</v>
      </c>
      <c r="E50" s="7" t="s">
        <v>112</v>
      </c>
      <c r="F50" s="7" t="s">
        <v>65</v>
      </c>
      <c r="G50" s="9">
        <v>0.29849999999999999</v>
      </c>
      <c r="H50" s="10">
        <v>200</v>
      </c>
      <c r="I50" s="7"/>
    </row>
    <row r="51" spans="2:9" x14ac:dyDescent="0.25">
      <c r="B51" s="7" t="s">
        <v>122</v>
      </c>
      <c r="C51" s="8" t="s">
        <v>50</v>
      </c>
      <c r="D51" s="7">
        <v>338942</v>
      </c>
      <c r="E51" s="7" t="s">
        <v>90</v>
      </c>
      <c r="F51" s="7" t="s">
        <v>66</v>
      </c>
      <c r="G51" s="9">
        <v>0.29199999999999998</v>
      </c>
      <c r="H51" s="10">
        <v>700</v>
      </c>
      <c r="I51" s="7"/>
    </row>
    <row r="52" spans="2:9" x14ac:dyDescent="0.25">
      <c r="B52" s="7" t="s">
        <v>188</v>
      </c>
      <c r="C52" s="8" t="s">
        <v>123</v>
      </c>
      <c r="D52" s="7">
        <v>338973</v>
      </c>
      <c r="E52" s="7" t="s">
        <v>169</v>
      </c>
      <c r="F52" s="7" t="s">
        <v>45</v>
      </c>
      <c r="G52" s="9">
        <v>0.29699999999999999</v>
      </c>
      <c r="H52" s="10">
        <v>200</v>
      </c>
      <c r="I52" s="7"/>
    </row>
    <row r="53" spans="2:9" x14ac:dyDescent="0.25">
      <c r="B53" s="7" t="s">
        <v>188</v>
      </c>
      <c r="C53" s="8" t="s">
        <v>123</v>
      </c>
      <c r="D53" s="7">
        <v>339463</v>
      </c>
      <c r="E53" s="7" t="s">
        <v>170</v>
      </c>
      <c r="F53" s="7" t="s">
        <v>46</v>
      </c>
      <c r="G53" s="9">
        <v>0.40079999999999999</v>
      </c>
      <c r="H53" s="10">
        <v>200</v>
      </c>
      <c r="I53" s="7"/>
    </row>
    <row r="54" spans="2:9" x14ac:dyDescent="0.25">
      <c r="B54" s="7" t="s">
        <v>188</v>
      </c>
      <c r="C54" s="8" t="s">
        <v>123</v>
      </c>
      <c r="D54" s="7">
        <v>339646</v>
      </c>
      <c r="E54" s="7" t="s">
        <v>128</v>
      </c>
      <c r="F54" s="7" t="s">
        <v>129</v>
      </c>
      <c r="G54" s="9">
        <v>0.45900000000000002</v>
      </c>
      <c r="H54" s="10">
        <v>300</v>
      </c>
      <c r="I54" s="7"/>
    </row>
    <row r="55" spans="2:9" x14ac:dyDescent="0.25">
      <c r="B55" s="7" t="s">
        <v>220</v>
      </c>
      <c r="C55" s="8" t="s">
        <v>189</v>
      </c>
      <c r="D55" s="7">
        <v>339655</v>
      </c>
      <c r="E55" s="7" t="s">
        <v>201</v>
      </c>
      <c r="F55" s="7" t="s">
        <v>202</v>
      </c>
      <c r="G55" s="9">
        <v>0.58020000000000005</v>
      </c>
      <c r="H55" s="10">
        <v>400</v>
      </c>
      <c r="I55" s="7"/>
    </row>
    <row r="56" spans="2:9" x14ac:dyDescent="0.25">
      <c r="B56" s="7" t="s">
        <v>122</v>
      </c>
      <c r="C56" s="8" t="s">
        <v>50</v>
      </c>
      <c r="D56" s="7">
        <v>339764</v>
      </c>
      <c r="E56" s="7" t="s">
        <v>91</v>
      </c>
      <c r="F56" s="7" t="s">
        <v>67</v>
      </c>
      <c r="G56" s="9">
        <v>0.48580000000000001</v>
      </c>
      <c r="H56" s="10">
        <v>100</v>
      </c>
      <c r="I56" s="7"/>
    </row>
    <row r="57" spans="2:9" x14ac:dyDescent="0.25">
      <c r="B57" s="7" t="s">
        <v>122</v>
      </c>
      <c r="C57" s="8" t="s">
        <v>50</v>
      </c>
      <c r="D57" s="7">
        <v>339767</v>
      </c>
      <c r="E57" s="7" t="s">
        <v>92</v>
      </c>
      <c r="F57" s="7" t="s">
        <v>68</v>
      </c>
      <c r="G57" s="9">
        <v>0.56540000000000001</v>
      </c>
      <c r="H57" s="10">
        <v>100</v>
      </c>
      <c r="I57" s="7"/>
    </row>
    <row r="58" spans="2:9" x14ac:dyDescent="0.25">
      <c r="B58" s="7" t="s">
        <v>122</v>
      </c>
      <c r="C58" s="8" t="s">
        <v>50</v>
      </c>
      <c r="D58" s="7">
        <v>339989</v>
      </c>
      <c r="E58" s="7" t="s">
        <v>113</v>
      </c>
      <c r="F58" s="7" t="s">
        <v>69</v>
      </c>
      <c r="G58" s="9">
        <v>0.74470000000000003</v>
      </c>
      <c r="H58" s="10">
        <v>100</v>
      </c>
      <c r="I58" s="7"/>
    </row>
    <row r="59" spans="2:9" x14ac:dyDescent="0.25">
      <c r="B59" s="7" t="s">
        <v>122</v>
      </c>
      <c r="C59" s="8" t="s">
        <v>50</v>
      </c>
      <c r="D59" s="7">
        <v>340162</v>
      </c>
      <c r="E59" s="7" t="s">
        <v>93</v>
      </c>
      <c r="F59" s="7" t="s">
        <v>94</v>
      </c>
      <c r="G59" s="9">
        <v>0.73960000000000004</v>
      </c>
      <c r="H59" s="10">
        <v>200</v>
      </c>
      <c r="I59" s="7"/>
    </row>
    <row r="60" spans="2:9" x14ac:dyDescent="0.25">
      <c r="B60" s="7" t="s">
        <v>188</v>
      </c>
      <c r="C60" s="8" t="s">
        <v>123</v>
      </c>
      <c r="D60" s="7">
        <v>340721</v>
      </c>
      <c r="E60" s="7" t="s">
        <v>130</v>
      </c>
      <c r="F60" s="7" t="s">
        <v>131</v>
      </c>
      <c r="G60" s="9">
        <v>1.1323000000000001</v>
      </c>
      <c r="H60" s="10">
        <v>50</v>
      </c>
      <c r="I60" s="7"/>
    </row>
    <row r="61" spans="2:9" x14ac:dyDescent="0.25">
      <c r="B61" s="7" t="s">
        <v>122</v>
      </c>
      <c r="C61" s="8" t="s">
        <v>50</v>
      </c>
      <c r="D61" s="7">
        <v>341343</v>
      </c>
      <c r="E61" s="7" t="s">
        <v>114</v>
      </c>
      <c r="F61" s="7" t="s">
        <v>70</v>
      </c>
      <c r="G61" s="9">
        <v>1.1599999999999999</v>
      </c>
      <c r="H61" s="10">
        <v>150</v>
      </c>
      <c r="I61" s="7"/>
    </row>
    <row r="62" spans="2:9" x14ac:dyDescent="0.25">
      <c r="B62" s="15" t="s">
        <v>250</v>
      </c>
      <c r="C62" s="16" t="s">
        <v>251</v>
      </c>
      <c r="D62" s="15">
        <v>342068</v>
      </c>
      <c r="E62" s="17" t="s">
        <v>132</v>
      </c>
      <c r="F62" s="15" t="s">
        <v>252</v>
      </c>
      <c r="G62" s="18">
        <v>4.3099999999999996</v>
      </c>
      <c r="H62" s="19">
        <v>10</v>
      </c>
      <c r="I62" s="7"/>
    </row>
    <row r="63" spans="2:9" x14ac:dyDescent="0.25">
      <c r="B63" s="7" t="s">
        <v>188</v>
      </c>
      <c r="C63" s="8" t="s">
        <v>123</v>
      </c>
      <c r="D63" s="7">
        <v>342069</v>
      </c>
      <c r="E63" s="7" t="s">
        <v>132</v>
      </c>
      <c r="F63" s="7" t="s">
        <v>133</v>
      </c>
      <c r="G63" s="12">
        <v>4.3099999999999996</v>
      </c>
      <c r="H63" s="10">
        <v>17</v>
      </c>
      <c r="I63" s="7"/>
    </row>
    <row r="64" spans="2:9" x14ac:dyDescent="0.25">
      <c r="B64" s="7" t="s">
        <v>122</v>
      </c>
      <c r="C64" s="8" t="s">
        <v>50</v>
      </c>
      <c r="D64" s="7">
        <v>342557</v>
      </c>
      <c r="E64" s="7" t="s">
        <v>115</v>
      </c>
      <c r="F64" s="7" t="s">
        <v>37</v>
      </c>
      <c r="G64" s="9">
        <v>0.32279999999999998</v>
      </c>
      <c r="H64" s="10">
        <v>200</v>
      </c>
      <c r="I64" s="7"/>
    </row>
    <row r="65" spans="2:9" x14ac:dyDescent="0.25">
      <c r="B65" s="7" t="s">
        <v>220</v>
      </c>
      <c r="C65" s="8" t="s">
        <v>189</v>
      </c>
      <c r="D65" s="7">
        <v>342583</v>
      </c>
      <c r="E65" s="7" t="s">
        <v>203</v>
      </c>
      <c r="F65" s="7" t="s">
        <v>204</v>
      </c>
      <c r="G65" s="9">
        <v>0.31</v>
      </c>
      <c r="H65" s="10">
        <v>100</v>
      </c>
      <c r="I65" s="13"/>
    </row>
    <row r="66" spans="2:9" x14ac:dyDescent="0.25">
      <c r="B66" s="7" t="s">
        <v>188</v>
      </c>
      <c r="C66" s="8" t="s">
        <v>123</v>
      </c>
      <c r="D66" s="7">
        <v>342592</v>
      </c>
      <c r="E66" s="7" t="s">
        <v>134</v>
      </c>
      <c r="F66" s="7" t="s">
        <v>135</v>
      </c>
      <c r="G66" s="9">
        <v>0.4204</v>
      </c>
      <c r="H66" s="10">
        <v>200</v>
      </c>
      <c r="I66" s="7"/>
    </row>
    <row r="67" spans="2:9" x14ac:dyDescent="0.25">
      <c r="B67" s="7" t="s">
        <v>188</v>
      </c>
      <c r="C67" s="8" t="s">
        <v>123</v>
      </c>
      <c r="D67" s="7">
        <v>342678</v>
      </c>
      <c r="E67" s="7" t="s">
        <v>171</v>
      </c>
      <c r="F67" s="7" t="s">
        <v>21</v>
      </c>
      <c r="G67" s="9">
        <v>0.61950000000000005</v>
      </c>
      <c r="H67" s="10">
        <v>200</v>
      </c>
      <c r="I67" s="7"/>
    </row>
    <row r="68" spans="2:9" x14ac:dyDescent="0.25">
      <c r="B68" s="7" t="s">
        <v>250</v>
      </c>
      <c r="C68" s="8" t="s">
        <v>251</v>
      </c>
      <c r="D68" s="7">
        <v>342704</v>
      </c>
      <c r="E68" s="7" t="s">
        <v>242</v>
      </c>
      <c r="F68" s="7" t="s">
        <v>243</v>
      </c>
      <c r="G68" s="9">
        <v>0.98040000000000005</v>
      </c>
      <c r="H68" s="10">
        <v>100</v>
      </c>
      <c r="I68" s="7"/>
    </row>
    <row r="69" spans="2:9" x14ac:dyDescent="0.25">
      <c r="B69" s="7" t="s">
        <v>188</v>
      </c>
      <c r="C69" s="8" t="s">
        <v>123</v>
      </c>
      <c r="D69" s="7">
        <v>342705</v>
      </c>
      <c r="E69" s="7" t="s">
        <v>172</v>
      </c>
      <c r="F69" s="7" t="s">
        <v>173</v>
      </c>
      <c r="G69" s="9">
        <v>0.69979999999999998</v>
      </c>
      <c r="H69" s="10">
        <v>50</v>
      </c>
      <c r="I69" s="7"/>
    </row>
    <row r="70" spans="2:9" x14ac:dyDescent="0.25">
      <c r="B70" s="7" t="s">
        <v>188</v>
      </c>
      <c r="C70" s="8" t="s">
        <v>123</v>
      </c>
      <c r="D70" s="7">
        <v>343111</v>
      </c>
      <c r="E70" s="7" t="s">
        <v>136</v>
      </c>
      <c r="F70" s="7" t="s">
        <v>22</v>
      </c>
      <c r="G70" s="9">
        <v>0.15340000000000001</v>
      </c>
      <c r="H70" s="10">
        <v>500</v>
      </c>
      <c r="I70" s="7"/>
    </row>
    <row r="71" spans="2:9" x14ac:dyDescent="0.25">
      <c r="B71" s="7" t="s">
        <v>220</v>
      </c>
      <c r="C71" s="8" t="s">
        <v>189</v>
      </c>
      <c r="D71" s="7">
        <v>343381</v>
      </c>
      <c r="E71" s="7" t="s">
        <v>205</v>
      </c>
      <c r="F71" s="7" t="s">
        <v>38</v>
      </c>
      <c r="G71" s="9">
        <v>0.113</v>
      </c>
      <c r="H71" s="10">
        <v>100</v>
      </c>
      <c r="I71" s="7"/>
    </row>
    <row r="72" spans="2:9" x14ac:dyDescent="0.25">
      <c r="B72" s="7" t="s">
        <v>188</v>
      </c>
      <c r="C72" s="8" t="s">
        <v>123</v>
      </c>
      <c r="D72" s="7">
        <v>343389</v>
      </c>
      <c r="E72" s="7" t="s">
        <v>137</v>
      </c>
      <c r="F72" s="7" t="s">
        <v>138</v>
      </c>
      <c r="G72" s="9">
        <v>0.1205</v>
      </c>
      <c r="H72" s="10">
        <v>200</v>
      </c>
      <c r="I72" s="7"/>
    </row>
    <row r="73" spans="2:9" x14ac:dyDescent="0.25">
      <c r="B73" s="7" t="s">
        <v>188</v>
      </c>
      <c r="C73" s="8" t="s">
        <v>123</v>
      </c>
      <c r="D73" s="7">
        <v>343863</v>
      </c>
      <c r="E73" s="7" t="s">
        <v>139</v>
      </c>
      <c r="F73" s="7" t="s">
        <v>140</v>
      </c>
      <c r="G73" s="9">
        <v>0.1273</v>
      </c>
      <c r="H73" s="10">
        <v>300</v>
      </c>
      <c r="I73" s="7"/>
    </row>
    <row r="74" spans="2:9" x14ac:dyDescent="0.25">
      <c r="B74" s="7" t="s">
        <v>188</v>
      </c>
      <c r="C74" s="8" t="s">
        <v>123</v>
      </c>
      <c r="D74" s="7">
        <v>343865</v>
      </c>
      <c r="E74" s="7" t="s">
        <v>174</v>
      </c>
      <c r="F74" s="7" t="s">
        <v>24</v>
      </c>
      <c r="G74" s="9">
        <v>0.1273</v>
      </c>
      <c r="H74" s="10">
        <v>200</v>
      </c>
      <c r="I74" s="7"/>
    </row>
    <row r="75" spans="2:9" x14ac:dyDescent="0.25">
      <c r="B75" s="7" t="s">
        <v>188</v>
      </c>
      <c r="C75" s="8" t="s">
        <v>123</v>
      </c>
      <c r="D75" s="7">
        <v>344241</v>
      </c>
      <c r="E75" s="7" t="s">
        <v>141</v>
      </c>
      <c r="F75" s="7" t="s">
        <v>39</v>
      </c>
      <c r="G75" s="9">
        <v>0.17080000000000001</v>
      </c>
      <c r="H75" s="10">
        <v>300</v>
      </c>
      <c r="I75" s="7"/>
    </row>
    <row r="76" spans="2:9" x14ac:dyDescent="0.25">
      <c r="B76" s="7" t="s">
        <v>188</v>
      </c>
      <c r="C76" s="8" t="s">
        <v>123</v>
      </c>
      <c r="D76" s="7">
        <v>344424</v>
      </c>
      <c r="E76" s="7" t="s">
        <v>142</v>
      </c>
      <c r="F76" s="7" t="s">
        <v>143</v>
      </c>
      <c r="G76" s="9">
        <v>0.16</v>
      </c>
      <c r="H76" s="10">
        <v>100</v>
      </c>
      <c r="I76" s="7"/>
    </row>
    <row r="77" spans="2:9" x14ac:dyDescent="0.25">
      <c r="B77" s="7" t="s">
        <v>188</v>
      </c>
      <c r="C77" s="8" t="s">
        <v>123</v>
      </c>
      <c r="D77" s="7">
        <v>344469</v>
      </c>
      <c r="E77" s="7" t="s">
        <v>144</v>
      </c>
      <c r="F77" s="7" t="s">
        <v>145</v>
      </c>
      <c r="G77" s="9">
        <v>0.19</v>
      </c>
      <c r="H77" s="10">
        <v>150</v>
      </c>
      <c r="I77" s="7"/>
    </row>
    <row r="78" spans="2:9" x14ac:dyDescent="0.25">
      <c r="B78" s="7" t="s">
        <v>122</v>
      </c>
      <c r="C78" s="8" t="s">
        <v>50</v>
      </c>
      <c r="D78" s="7">
        <v>344537</v>
      </c>
      <c r="E78" s="7" t="s">
        <v>116</v>
      </c>
      <c r="F78" s="7" t="s">
        <v>25</v>
      </c>
      <c r="G78" s="9">
        <v>0.22500000000000001</v>
      </c>
      <c r="H78" s="10">
        <v>100</v>
      </c>
      <c r="I78" s="7"/>
    </row>
    <row r="79" spans="2:9" x14ac:dyDescent="0.25">
      <c r="B79" s="7" t="s">
        <v>188</v>
      </c>
      <c r="C79" s="8" t="s">
        <v>123</v>
      </c>
      <c r="D79" s="7">
        <v>344697</v>
      </c>
      <c r="E79" s="7" t="s">
        <v>146</v>
      </c>
      <c r="F79" s="7" t="s">
        <v>147</v>
      </c>
      <c r="G79" s="9">
        <v>0.22</v>
      </c>
      <c r="H79" s="10">
        <v>100</v>
      </c>
      <c r="I79" s="7"/>
    </row>
    <row r="80" spans="2:9" x14ac:dyDescent="0.25">
      <c r="B80" s="7" t="s">
        <v>220</v>
      </c>
      <c r="C80" s="8" t="s">
        <v>189</v>
      </c>
      <c r="D80" s="7">
        <v>344700</v>
      </c>
      <c r="E80" s="7" t="s">
        <v>206</v>
      </c>
      <c r="F80" s="7" t="s">
        <v>207</v>
      </c>
      <c r="G80" s="9">
        <v>0.20280000000000001</v>
      </c>
      <c r="H80" s="10">
        <v>200</v>
      </c>
      <c r="I80" s="7"/>
    </row>
    <row r="81" spans="2:9" x14ac:dyDescent="0.25">
      <c r="B81" s="7" t="s">
        <v>188</v>
      </c>
      <c r="C81" s="8" t="s">
        <v>123</v>
      </c>
      <c r="D81" s="7">
        <v>344788</v>
      </c>
      <c r="E81" s="7" t="s">
        <v>182</v>
      </c>
      <c r="F81" s="7" t="s">
        <v>183</v>
      </c>
      <c r="G81" s="9">
        <v>0.2137</v>
      </c>
      <c r="H81" s="10">
        <v>100</v>
      </c>
      <c r="I81" s="7"/>
    </row>
    <row r="82" spans="2:9" x14ac:dyDescent="0.25">
      <c r="B82" s="7" t="s">
        <v>188</v>
      </c>
      <c r="C82" s="8" t="s">
        <v>123</v>
      </c>
      <c r="D82" s="7">
        <v>344789</v>
      </c>
      <c r="E82" s="7" t="s">
        <v>187</v>
      </c>
      <c r="F82" s="7" t="s">
        <v>186</v>
      </c>
      <c r="G82" s="9">
        <v>0.2137</v>
      </c>
      <c r="H82" s="10">
        <v>100</v>
      </c>
      <c r="I82" s="7"/>
    </row>
    <row r="83" spans="2:9" x14ac:dyDescent="0.25">
      <c r="B83" s="7" t="s">
        <v>220</v>
      </c>
      <c r="C83" s="8" t="s">
        <v>189</v>
      </c>
      <c r="D83" s="7">
        <v>344838</v>
      </c>
      <c r="E83" s="7" t="s">
        <v>208</v>
      </c>
      <c r="F83" s="7" t="s">
        <v>40</v>
      </c>
      <c r="G83" s="9">
        <v>0.19420000000000001</v>
      </c>
      <c r="H83" s="10">
        <v>300</v>
      </c>
      <c r="I83" s="7"/>
    </row>
    <row r="84" spans="2:9" x14ac:dyDescent="0.25">
      <c r="B84" s="7" t="s">
        <v>220</v>
      </c>
      <c r="C84" s="8" t="s">
        <v>189</v>
      </c>
      <c r="D84" s="7">
        <v>344847</v>
      </c>
      <c r="E84" s="7" t="s">
        <v>209</v>
      </c>
      <c r="F84" s="7" t="s">
        <v>210</v>
      </c>
      <c r="G84" s="9">
        <v>0.2167</v>
      </c>
      <c r="H84" s="10">
        <v>600</v>
      </c>
      <c r="I84" s="7"/>
    </row>
    <row r="85" spans="2:9" x14ac:dyDescent="0.25">
      <c r="B85" s="7" t="s">
        <v>122</v>
      </c>
      <c r="C85" s="8" t="s">
        <v>50</v>
      </c>
      <c r="D85" s="7">
        <v>344878</v>
      </c>
      <c r="E85" s="7" t="s">
        <v>96</v>
      </c>
      <c r="F85" s="7" t="s">
        <v>71</v>
      </c>
      <c r="G85" s="9">
        <v>0.2205</v>
      </c>
      <c r="H85" s="10">
        <v>100</v>
      </c>
      <c r="I85" s="7"/>
    </row>
    <row r="86" spans="2:9" x14ac:dyDescent="0.25">
      <c r="B86" s="7" t="s">
        <v>122</v>
      </c>
      <c r="C86" s="8" t="s">
        <v>50</v>
      </c>
      <c r="D86" s="7">
        <v>345027</v>
      </c>
      <c r="E86" s="7" t="s">
        <v>97</v>
      </c>
      <c r="F86" s="7" t="s">
        <v>27</v>
      </c>
      <c r="G86" s="9">
        <v>0.25850000000000001</v>
      </c>
      <c r="H86" s="10">
        <v>400</v>
      </c>
      <c r="I86" s="7"/>
    </row>
    <row r="87" spans="2:9" x14ac:dyDescent="0.25">
      <c r="B87" s="7" t="s">
        <v>122</v>
      </c>
      <c r="C87" s="8" t="s">
        <v>50</v>
      </c>
      <c r="D87" s="7">
        <v>345522</v>
      </c>
      <c r="E87" s="7" t="s">
        <v>117</v>
      </c>
      <c r="F87" s="7" t="s">
        <v>72</v>
      </c>
      <c r="G87" s="9">
        <v>0.32350000000000001</v>
      </c>
      <c r="H87" s="10">
        <v>120</v>
      </c>
      <c r="I87" s="7"/>
    </row>
    <row r="88" spans="2:9" x14ac:dyDescent="0.25">
      <c r="B88" s="7" t="s">
        <v>188</v>
      </c>
      <c r="C88" s="8" t="s">
        <v>123</v>
      </c>
      <c r="D88" s="7">
        <v>345529</v>
      </c>
      <c r="E88" s="7" t="s">
        <v>175</v>
      </c>
      <c r="F88" s="7" t="s">
        <v>176</v>
      </c>
      <c r="G88" s="9">
        <v>0.37669999999999998</v>
      </c>
      <c r="H88" s="10">
        <v>100</v>
      </c>
      <c r="I88" s="7"/>
    </row>
    <row r="89" spans="2:9" x14ac:dyDescent="0.25">
      <c r="B89" s="7" t="s">
        <v>220</v>
      </c>
      <c r="C89" s="8" t="s">
        <v>189</v>
      </c>
      <c r="D89" s="7">
        <v>345552</v>
      </c>
      <c r="E89" s="7" t="s">
        <v>211</v>
      </c>
      <c r="F89" s="7" t="s">
        <v>41</v>
      </c>
      <c r="G89" s="9">
        <v>0.32089999999999996</v>
      </c>
      <c r="H89" s="10">
        <v>100</v>
      </c>
      <c r="I89" s="7"/>
    </row>
    <row r="90" spans="2:9" x14ac:dyDescent="0.25">
      <c r="B90" s="7" t="s">
        <v>188</v>
      </c>
      <c r="C90" s="8" t="s">
        <v>123</v>
      </c>
      <c r="D90" s="7">
        <v>345642</v>
      </c>
      <c r="E90" s="7" t="s">
        <v>177</v>
      </c>
      <c r="F90" s="7" t="s">
        <v>26</v>
      </c>
      <c r="G90" s="9">
        <v>0.35120000000000001</v>
      </c>
      <c r="H90" s="10">
        <v>100</v>
      </c>
      <c r="I90" s="7"/>
    </row>
    <row r="91" spans="2:9" x14ac:dyDescent="0.25">
      <c r="B91" s="7" t="s">
        <v>122</v>
      </c>
      <c r="C91" s="8" t="s">
        <v>50</v>
      </c>
      <c r="D91" s="7">
        <v>346042</v>
      </c>
      <c r="E91" s="7" t="s">
        <v>98</v>
      </c>
      <c r="F91" s="7" t="s">
        <v>42</v>
      </c>
      <c r="G91" s="9">
        <v>0.43230000000000002</v>
      </c>
      <c r="H91" s="10">
        <v>100</v>
      </c>
      <c r="I91" s="7"/>
    </row>
    <row r="92" spans="2:9" x14ac:dyDescent="0.25">
      <c r="B92" s="7" t="s">
        <v>188</v>
      </c>
      <c r="C92" s="8" t="s">
        <v>123</v>
      </c>
      <c r="D92" s="7">
        <v>346167</v>
      </c>
      <c r="E92" s="7" t="s">
        <v>178</v>
      </c>
      <c r="F92" s="7" t="s">
        <v>179</v>
      </c>
      <c r="G92" s="9">
        <v>0.5504</v>
      </c>
      <c r="H92" s="10">
        <v>70</v>
      </c>
      <c r="I92" s="7"/>
    </row>
    <row r="93" spans="2:9" x14ac:dyDescent="0.25">
      <c r="B93" s="7" t="s">
        <v>122</v>
      </c>
      <c r="C93" s="8" t="s">
        <v>50</v>
      </c>
      <c r="D93" s="7">
        <v>346260</v>
      </c>
      <c r="E93" s="7" t="s">
        <v>99</v>
      </c>
      <c r="F93" s="7" t="s">
        <v>73</v>
      </c>
      <c r="G93" s="9">
        <v>0.56999999999999995</v>
      </c>
      <c r="H93" s="10">
        <v>100</v>
      </c>
      <c r="I93" s="7"/>
    </row>
    <row r="94" spans="2:9" x14ac:dyDescent="0.25">
      <c r="B94" s="7" t="s">
        <v>122</v>
      </c>
      <c r="C94" s="8" t="s">
        <v>50</v>
      </c>
      <c r="D94" s="7">
        <v>346354</v>
      </c>
      <c r="E94" s="7" t="s">
        <v>100</v>
      </c>
      <c r="F94" s="7" t="s">
        <v>74</v>
      </c>
      <c r="G94" s="9">
        <v>0.48199999999999998</v>
      </c>
      <c r="H94" s="10">
        <v>100</v>
      </c>
      <c r="I94" s="7"/>
    </row>
    <row r="95" spans="2:9" x14ac:dyDescent="0.25">
      <c r="B95" s="7" t="s">
        <v>122</v>
      </c>
      <c r="C95" s="8" t="s">
        <v>50</v>
      </c>
      <c r="D95" s="7">
        <v>347092</v>
      </c>
      <c r="E95" s="7" t="s">
        <v>121</v>
      </c>
      <c r="F95" s="7" t="s">
        <v>75</v>
      </c>
      <c r="G95" s="9">
        <v>1.1351</v>
      </c>
      <c r="H95" s="10">
        <v>18</v>
      </c>
      <c r="I95" s="7"/>
    </row>
    <row r="96" spans="2:9" x14ac:dyDescent="0.25">
      <c r="B96" s="7" t="s">
        <v>220</v>
      </c>
      <c r="C96" s="8" t="s">
        <v>189</v>
      </c>
      <c r="D96" s="7">
        <v>347201</v>
      </c>
      <c r="E96" s="7" t="s">
        <v>215</v>
      </c>
      <c r="F96" s="7" t="s">
        <v>216</v>
      </c>
      <c r="G96" s="9">
        <v>1.0504</v>
      </c>
      <c r="H96" s="10">
        <v>50</v>
      </c>
      <c r="I96" s="7"/>
    </row>
    <row r="97" spans="2:9" x14ac:dyDescent="0.25">
      <c r="B97" s="7" t="s">
        <v>188</v>
      </c>
      <c r="C97" s="8" t="s">
        <v>123</v>
      </c>
      <c r="D97" s="7">
        <v>348955</v>
      </c>
      <c r="E97" s="7" t="s">
        <v>180</v>
      </c>
      <c r="F97" s="7" t="s">
        <v>181</v>
      </c>
      <c r="G97" s="9">
        <v>0.14649999999999999</v>
      </c>
      <c r="H97" s="10">
        <v>200</v>
      </c>
      <c r="I97" s="7"/>
    </row>
    <row r="98" spans="2:9" x14ac:dyDescent="0.25">
      <c r="B98" s="7" t="s">
        <v>188</v>
      </c>
      <c r="C98" s="8" t="s">
        <v>123</v>
      </c>
      <c r="D98" s="7">
        <v>349068</v>
      </c>
      <c r="E98" s="7" t="s">
        <v>148</v>
      </c>
      <c r="F98" s="7" t="s">
        <v>12</v>
      </c>
      <c r="G98" s="9">
        <v>0.24390000000000001</v>
      </c>
      <c r="H98" s="10">
        <v>200</v>
      </c>
      <c r="I98" s="7"/>
    </row>
    <row r="99" spans="2:9" x14ac:dyDescent="0.25">
      <c r="B99" s="7" t="s">
        <v>250</v>
      </c>
      <c r="C99" s="8" t="s">
        <v>251</v>
      </c>
      <c r="D99" s="7">
        <v>349483</v>
      </c>
      <c r="E99" s="7" t="s">
        <v>244</v>
      </c>
      <c r="F99" s="7" t="s">
        <v>245</v>
      </c>
      <c r="G99" s="9">
        <v>0.24399999999999999</v>
      </c>
      <c r="H99" s="10">
        <v>50</v>
      </c>
      <c r="I99" s="7"/>
    </row>
    <row r="100" spans="2:9" x14ac:dyDescent="0.25">
      <c r="B100" s="7" t="s">
        <v>122</v>
      </c>
      <c r="C100" s="8" t="s">
        <v>50</v>
      </c>
      <c r="D100" s="7">
        <v>349573</v>
      </c>
      <c r="E100" s="7" t="s">
        <v>119</v>
      </c>
      <c r="F100" s="7" t="s">
        <v>43</v>
      </c>
      <c r="G100" s="9">
        <v>0.20780000000000001</v>
      </c>
      <c r="H100" s="10">
        <v>300</v>
      </c>
      <c r="I100" s="7"/>
    </row>
    <row r="101" spans="2:9" x14ac:dyDescent="0.25">
      <c r="B101" s="7" t="s">
        <v>250</v>
      </c>
      <c r="C101" s="8" t="s">
        <v>251</v>
      </c>
      <c r="D101" s="7">
        <v>349583</v>
      </c>
      <c r="E101" s="7" t="s">
        <v>246</v>
      </c>
      <c r="F101" s="7" t="s">
        <v>247</v>
      </c>
      <c r="G101" s="9">
        <v>0.49399999999999999</v>
      </c>
      <c r="H101" s="10">
        <v>50</v>
      </c>
      <c r="I101" s="7"/>
    </row>
    <row r="102" spans="2:9" x14ac:dyDescent="0.25">
      <c r="B102" s="7" t="s">
        <v>250</v>
      </c>
      <c r="C102" s="8" t="s">
        <v>251</v>
      </c>
      <c r="D102" s="7">
        <v>349773</v>
      </c>
      <c r="E102" s="7" t="s">
        <v>238</v>
      </c>
      <c r="F102" s="7" t="s">
        <v>239</v>
      </c>
      <c r="G102" s="9">
        <v>0.42630000000000001</v>
      </c>
      <c r="H102" s="10">
        <v>250</v>
      </c>
      <c r="I102" s="7"/>
    </row>
    <row r="103" spans="2:9" x14ac:dyDescent="0.25">
      <c r="B103" s="7" t="s">
        <v>122</v>
      </c>
      <c r="C103" s="8" t="s">
        <v>50</v>
      </c>
      <c r="D103" s="7">
        <v>349782</v>
      </c>
      <c r="E103" s="7" t="s">
        <v>83</v>
      </c>
      <c r="F103" s="7" t="s">
        <v>55</v>
      </c>
      <c r="G103" s="9">
        <v>0.43209999999999998</v>
      </c>
      <c r="H103" s="10">
        <v>500</v>
      </c>
      <c r="I103" s="14"/>
    </row>
    <row r="104" spans="2:9" x14ac:dyDescent="0.25">
      <c r="B104" s="7" t="s">
        <v>220</v>
      </c>
      <c r="C104" s="8" t="s">
        <v>189</v>
      </c>
      <c r="D104" s="7">
        <v>349788</v>
      </c>
      <c r="E104" s="7" t="s">
        <v>195</v>
      </c>
      <c r="F104" s="7" t="s">
        <v>196</v>
      </c>
      <c r="G104" s="9">
        <v>0.36609999999999998</v>
      </c>
      <c r="H104" s="10">
        <v>200</v>
      </c>
      <c r="I104" s="7"/>
    </row>
    <row r="105" spans="2:9" x14ac:dyDescent="0.25">
      <c r="B105" s="7" t="s">
        <v>122</v>
      </c>
      <c r="C105" s="8" t="s">
        <v>50</v>
      </c>
      <c r="D105" s="7">
        <v>349790</v>
      </c>
      <c r="E105" s="7" t="s">
        <v>79</v>
      </c>
      <c r="F105" s="7" t="s">
        <v>17</v>
      </c>
      <c r="G105" s="9">
        <v>0.30270000000000002</v>
      </c>
      <c r="H105" s="10">
        <v>600</v>
      </c>
      <c r="I105" s="7"/>
    </row>
    <row r="106" spans="2:9" x14ac:dyDescent="0.25">
      <c r="B106" s="7" t="s">
        <v>122</v>
      </c>
      <c r="C106" s="8" t="s">
        <v>50</v>
      </c>
      <c r="D106" s="7">
        <v>349791</v>
      </c>
      <c r="E106" s="7" t="s">
        <v>85</v>
      </c>
      <c r="F106" s="7" t="s">
        <v>56</v>
      </c>
      <c r="G106" s="9">
        <v>0.42720000000000002</v>
      </c>
      <c r="H106" s="10">
        <v>200</v>
      </c>
      <c r="I106" s="7"/>
    </row>
    <row r="107" spans="2:9" x14ac:dyDescent="0.25">
      <c r="B107" s="7" t="s">
        <v>250</v>
      </c>
      <c r="C107" s="8" t="s">
        <v>251</v>
      </c>
      <c r="D107" s="7">
        <v>349792</v>
      </c>
      <c r="E107" s="7" t="s">
        <v>248</v>
      </c>
      <c r="F107" s="7" t="s">
        <v>249</v>
      </c>
      <c r="G107" s="9">
        <v>1.7248000000000001</v>
      </c>
      <c r="H107" s="10">
        <v>100</v>
      </c>
      <c r="I107" s="7"/>
    </row>
    <row r="108" spans="2:9" x14ac:dyDescent="0.25">
      <c r="B108" s="7" t="s">
        <v>188</v>
      </c>
      <c r="C108" s="8" t="s">
        <v>123</v>
      </c>
      <c r="D108" s="7">
        <v>349793</v>
      </c>
      <c r="E108" s="7" t="s">
        <v>163</v>
      </c>
      <c r="F108" s="7" t="s">
        <v>164</v>
      </c>
      <c r="G108" s="9">
        <v>1.1013999999999999</v>
      </c>
      <c r="H108" s="10">
        <v>200</v>
      </c>
      <c r="I108" s="7"/>
    </row>
    <row r="109" spans="2:9" x14ac:dyDescent="0.25">
      <c r="B109" s="7" t="s">
        <v>122</v>
      </c>
      <c r="C109" s="8" t="s">
        <v>50</v>
      </c>
      <c r="D109" s="7">
        <v>349821</v>
      </c>
      <c r="E109" s="7" t="s">
        <v>95</v>
      </c>
      <c r="F109" s="7" t="s">
        <v>18</v>
      </c>
      <c r="G109" s="9">
        <v>1.1293</v>
      </c>
      <c r="H109" s="10">
        <v>300</v>
      </c>
      <c r="I109" s="7"/>
    </row>
    <row r="110" spans="2:9" x14ac:dyDescent="0.25">
      <c r="B110" s="7" t="s">
        <v>220</v>
      </c>
      <c r="C110" s="8" t="s">
        <v>189</v>
      </c>
      <c r="D110" s="7">
        <v>349825</v>
      </c>
      <c r="E110" s="7" t="s">
        <v>190</v>
      </c>
      <c r="F110" s="7" t="s">
        <v>15</v>
      </c>
      <c r="G110" s="9">
        <v>0.16339999999999999</v>
      </c>
      <c r="H110" s="10">
        <v>300</v>
      </c>
      <c r="I110" s="7"/>
    </row>
    <row r="111" spans="2:9" x14ac:dyDescent="0.25">
      <c r="B111" s="7" t="s">
        <v>122</v>
      </c>
      <c r="C111" s="8" t="s">
        <v>50</v>
      </c>
      <c r="D111" s="7">
        <v>349827</v>
      </c>
      <c r="E111" s="7" t="s">
        <v>77</v>
      </c>
      <c r="F111" s="7" t="s">
        <v>29</v>
      </c>
      <c r="G111" s="9">
        <v>0.2009</v>
      </c>
      <c r="H111" s="10">
        <v>400</v>
      </c>
      <c r="I111" s="7"/>
    </row>
    <row r="112" spans="2:9" x14ac:dyDescent="0.25">
      <c r="B112" s="7" t="s">
        <v>122</v>
      </c>
      <c r="C112" s="8" t="s">
        <v>50</v>
      </c>
      <c r="D112" s="7">
        <v>349838</v>
      </c>
      <c r="E112" s="7" t="s">
        <v>88</v>
      </c>
      <c r="F112" s="7" t="s">
        <v>59</v>
      </c>
      <c r="G112" s="9">
        <v>0.71730000000000005</v>
      </c>
      <c r="H112" s="10">
        <v>800</v>
      </c>
      <c r="I112" s="7"/>
    </row>
    <row r="113" spans="2:9" x14ac:dyDescent="0.25">
      <c r="B113" s="7" t="s">
        <v>122</v>
      </c>
      <c r="C113" s="8" t="s">
        <v>50</v>
      </c>
      <c r="D113" s="7">
        <v>349844</v>
      </c>
      <c r="E113" s="7" t="s">
        <v>118</v>
      </c>
      <c r="F113" s="7" t="s">
        <v>19</v>
      </c>
      <c r="G113" s="9">
        <v>0.30549999999999999</v>
      </c>
      <c r="H113" s="10">
        <v>500</v>
      </c>
      <c r="I113" s="7"/>
    </row>
    <row r="114" spans="2:9" x14ac:dyDescent="0.25">
      <c r="B114" s="7" t="s">
        <v>188</v>
      </c>
      <c r="C114" s="8" t="s">
        <v>123</v>
      </c>
      <c r="D114" s="7">
        <v>349848</v>
      </c>
      <c r="E114" s="7" t="s">
        <v>149</v>
      </c>
      <c r="F114" s="7" t="s">
        <v>150</v>
      </c>
      <c r="G114" s="9">
        <v>0.19550000000000001</v>
      </c>
      <c r="H114" s="10">
        <v>1000</v>
      </c>
      <c r="I114" s="7"/>
    </row>
    <row r="115" spans="2:9" x14ac:dyDescent="0.25">
      <c r="B115" s="7" t="s">
        <v>188</v>
      </c>
      <c r="C115" s="8" t="s">
        <v>123</v>
      </c>
      <c r="D115" s="7">
        <v>349849</v>
      </c>
      <c r="E115" s="7" t="s">
        <v>151</v>
      </c>
      <c r="F115" s="7" t="s">
        <v>152</v>
      </c>
      <c r="G115" s="12">
        <v>0.5706</v>
      </c>
      <c r="H115" s="10">
        <v>200</v>
      </c>
      <c r="I115" s="7"/>
    </row>
    <row r="116" spans="2:9" x14ac:dyDescent="0.25">
      <c r="B116" s="7" t="s">
        <v>122</v>
      </c>
      <c r="C116" s="8" t="s">
        <v>50</v>
      </c>
      <c r="D116" s="7">
        <v>349852</v>
      </c>
      <c r="E116" s="7" t="s">
        <v>101</v>
      </c>
      <c r="F116" s="7" t="s">
        <v>76</v>
      </c>
      <c r="G116" s="9">
        <v>1.5001</v>
      </c>
      <c r="H116" s="10">
        <v>300</v>
      </c>
      <c r="I116" s="7"/>
    </row>
    <row r="117" spans="2:9" x14ac:dyDescent="0.25">
      <c r="B117" s="7" t="s">
        <v>188</v>
      </c>
      <c r="C117" s="8" t="s">
        <v>123</v>
      </c>
      <c r="D117" s="7">
        <v>349856</v>
      </c>
      <c r="E117" s="7" t="s">
        <v>126</v>
      </c>
      <c r="F117" s="7" t="s">
        <v>127</v>
      </c>
      <c r="G117" s="9">
        <v>1.4964</v>
      </c>
      <c r="H117" s="10">
        <v>200</v>
      </c>
      <c r="I117" s="7"/>
    </row>
    <row r="118" spans="2:9" x14ac:dyDescent="0.25">
      <c r="B118" s="7" t="s">
        <v>122</v>
      </c>
      <c r="C118" s="8" t="s">
        <v>50</v>
      </c>
      <c r="D118" s="7">
        <v>349975</v>
      </c>
      <c r="E118" s="7" t="s">
        <v>84</v>
      </c>
      <c r="F118" s="7" t="s">
        <v>20</v>
      </c>
      <c r="G118" s="9">
        <v>0.374</v>
      </c>
      <c r="H118" s="10">
        <v>100</v>
      </c>
      <c r="I118" s="7"/>
    </row>
    <row r="119" spans="2:9" x14ac:dyDescent="0.25">
      <c r="I119" s="7"/>
    </row>
    <row r="120" spans="2:9" x14ac:dyDescent="0.25">
      <c r="I120" s="7"/>
    </row>
    <row r="121" spans="2:9" x14ac:dyDescent="0.25">
      <c r="I121" s="7"/>
    </row>
    <row r="122" spans="2:9" x14ac:dyDescent="0.25">
      <c r="I122" s="7"/>
    </row>
    <row r="123" spans="2:9" x14ac:dyDescent="0.25">
      <c r="I123" s="7"/>
    </row>
    <row r="124" spans="2:9" x14ac:dyDescent="0.25">
      <c r="I124" s="7"/>
    </row>
    <row r="125" spans="2:9" x14ac:dyDescent="0.25">
      <c r="I125" s="7"/>
    </row>
    <row r="126" spans="2:9" x14ac:dyDescent="0.25">
      <c r="I126" s="7"/>
    </row>
    <row r="127" spans="2:9" x14ac:dyDescent="0.25">
      <c r="I127" s="7"/>
    </row>
    <row r="128" spans="2:9" x14ac:dyDescent="0.25">
      <c r="I128" s="7"/>
    </row>
    <row r="129" spans="9:9" x14ac:dyDescent="0.25">
      <c r="I129" s="7"/>
    </row>
    <row r="130" spans="9:9" x14ac:dyDescent="0.25">
      <c r="I130" s="7"/>
    </row>
    <row r="131" spans="9:9" x14ac:dyDescent="0.25">
      <c r="I131" s="7"/>
    </row>
    <row r="132" spans="9:9" x14ac:dyDescent="0.25">
      <c r="I132" s="7"/>
    </row>
    <row r="133" spans="9:9" x14ac:dyDescent="0.25">
      <c r="I133" s="7"/>
    </row>
    <row r="134" spans="9:9" x14ac:dyDescent="0.25">
      <c r="I134" s="7"/>
    </row>
    <row r="135" spans="9:9" x14ac:dyDescent="0.25">
      <c r="I135" s="7"/>
    </row>
    <row r="136" spans="9:9" x14ac:dyDescent="0.25">
      <c r="I136" s="7"/>
    </row>
    <row r="137" spans="9:9" x14ac:dyDescent="0.25">
      <c r="I137" s="7"/>
    </row>
    <row r="138" spans="9:9" x14ac:dyDescent="0.25">
      <c r="I138" s="7"/>
    </row>
    <row r="139" spans="9:9" x14ac:dyDescent="0.25">
      <c r="I139" s="7"/>
    </row>
    <row r="140" spans="9:9" x14ac:dyDescent="0.25">
      <c r="I140" s="7"/>
    </row>
    <row r="141" spans="9:9" x14ac:dyDescent="0.25">
      <c r="I141" s="7"/>
    </row>
    <row r="142" spans="9:9" x14ac:dyDescent="0.25">
      <c r="I142" s="7"/>
    </row>
    <row r="143" spans="9:9" x14ac:dyDescent="0.25">
      <c r="I143" s="7"/>
    </row>
    <row r="144" spans="9:9" x14ac:dyDescent="0.25">
      <c r="I144" s="7"/>
    </row>
    <row r="145" spans="9:9" x14ac:dyDescent="0.25">
      <c r="I145" s="7"/>
    </row>
    <row r="146" spans="9:9" x14ac:dyDescent="0.25">
      <c r="I146" s="7"/>
    </row>
    <row r="147" spans="9:9" x14ac:dyDescent="0.25">
      <c r="I147" s="7"/>
    </row>
    <row r="148" spans="9:9" x14ac:dyDescent="0.25">
      <c r="I148" s="7"/>
    </row>
    <row r="149" spans="9:9" x14ac:dyDescent="0.25">
      <c r="I149" s="7"/>
    </row>
    <row r="150" spans="9:9" x14ac:dyDescent="0.25">
      <c r="I150" s="7"/>
    </row>
    <row r="151" spans="9:9" x14ac:dyDescent="0.25">
      <c r="I151" s="7"/>
    </row>
    <row r="152" spans="9:9" x14ac:dyDescent="0.25">
      <c r="I152" s="7"/>
    </row>
    <row r="153" spans="9:9" x14ac:dyDescent="0.25">
      <c r="I153" s="7"/>
    </row>
    <row r="154" spans="9:9" x14ac:dyDescent="0.25">
      <c r="I154" s="7"/>
    </row>
    <row r="155" spans="9:9" x14ac:dyDescent="0.25">
      <c r="I155" s="7"/>
    </row>
    <row r="156" spans="9:9" x14ac:dyDescent="0.25">
      <c r="I156" s="7"/>
    </row>
    <row r="157" spans="9:9" x14ac:dyDescent="0.25">
      <c r="I157" s="7"/>
    </row>
    <row r="158" spans="9:9" x14ac:dyDescent="0.25">
      <c r="I158" s="7"/>
    </row>
    <row r="159" spans="9:9" x14ac:dyDescent="0.25">
      <c r="I159" s="7"/>
    </row>
    <row r="160" spans="9:9" x14ac:dyDescent="0.25">
      <c r="I160" s="7"/>
    </row>
    <row r="161" spans="9:9" x14ac:dyDescent="0.25">
      <c r="I161" s="7"/>
    </row>
    <row r="162" spans="9:9" x14ac:dyDescent="0.25">
      <c r="I162" s="7"/>
    </row>
    <row r="163" spans="9:9" x14ac:dyDescent="0.25">
      <c r="I163" s="7"/>
    </row>
    <row r="164" spans="9:9" x14ac:dyDescent="0.25">
      <c r="I164" s="7"/>
    </row>
    <row r="165" spans="9:9" x14ac:dyDescent="0.25">
      <c r="I165" s="7"/>
    </row>
    <row r="166" spans="9:9" x14ac:dyDescent="0.25">
      <c r="I166" s="7"/>
    </row>
    <row r="167" spans="9:9" x14ac:dyDescent="0.25">
      <c r="I167" s="7"/>
    </row>
    <row r="168" spans="9:9" x14ac:dyDescent="0.25">
      <c r="I168" s="7"/>
    </row>
    <row r="169" spans="9:9" x14ac:dyDescent="0.25">
      <c r="I169" s="7"/>
    </row>
    <row r="170" spans="9:9" x14ac:dyDescent="0.25">
      <c r="I170" s="7"/>
    </row>
    <row r="171" spans="9:9" x14ac:dyDescent="0.25">
      <c r="I171" s="7"/>
    </row>
    <row r="172" spans="9:9" x14ac:dyDescent="0.25">
      <c r="I172" s="7"/>
    </row>
    <row r="173" spans="9:9" x14ac:dyDescent="0.25">
      <c r="I173" s="7"/>
    </row>
    <row r="174" spans="9:9" x14ac:dyDescent="0.25">
      <c r="I174" s="7"/>
    </row>
    <row r="175" spans="9:9" x14ac:dyDescent="0.25">
      <c r="I175" s="7"/>
    </row>
    <row r="176" spans="9:9" x14ac:dyDescent="0.25">
      <c r="I176" s="7"/>
    </row>
    <row r="177" spans="9:9" x14ac:dyDescent="0.25">
      <c r="I177" s="7"/>
    </row>
    <row r="178" spans="9:9" x14ac:dyDescent="0.25">
      <c r="I178" s="7"/>
    </row>
    <row r="179" spans="9:9" x14ac:dyDescent="0.25">
      <c r="I179" s="7"/>
    </row>
    <row r="180" spans="9:9" x14ac:dyDescent="0.25">
      <c r="I180" s="7"/>
    </row>
    <row r="181" spans="9:9" x14ac:dyDescent="0.25">
      <c r="I181" s="7"/>
    </row>
    <row r="182" spans="9:9" x14ac:dyDescent="0.25">
      <c r="I182" s="7"/>
    </row>
    <row r="183" spans="9:9" x14ac:dyDescent="0.25">
      <c r="I183" s="7"/>
    </row>
    <row r="184" spans="9:9" x14ac:dyDescent="0.25">
      <c r="I184" s="7"/>
    </row>
    <row r="185" spans="9:9" x14ac:dyDescent="0.25">
      <c r="I185" s="7"/>
    </row>
    <row r="186" spans="9:9" x14ac:dyDescent="0.25">
      <c r="I186" s="7"/>
    </row>
    <row r="187" spans="9:9" x14ac:dyDescent="0.25">
      <c r="I187" s="7"/>
    </row>
    <row r="188" spans="9:9" x14ac:dyDescent="0.25">
      <c r="I188" s="7"/>
    </row>
    <row r="189" spans="9:9" x14ac:dyDescent="0.25">
      <c r="I189" s="7"/>
    </row>
    <row r="190" spans="9:9" x14ac:dyDescent="0.25">
      <c r="I190" s="7"/>
    </row>
    <row r="191" spans="9:9" x14ac:dyDescent="0.25">
      <c r="I191" s="7"/>
    </row>
    <row r="192" spans="9:9" x14ac:dyDescent="0.25">
      <c r="I192" s="7"/>
    </row>
    <row r="193" spans="9:9" x14ac:dyDescent="0.25">
      <c r="I193" s="7"/>
    </row>
    <row r="194" spans="9:9" x14ac:dyDescent="0.25">
      <c r="I194" s="7"/>
    </row>
    <row r="195" spans="9:9" x14ac:dyDescent="0.25">
      <c r="I195" s="7"/>
    </row>
    <row r="196" spans="9:9" x14ac:dyDescent="0.25">
      <c r="I196" s="7"/>
    </row>
    <row r="197" spans="9:9" x14ac:dyDescent="0.25">
      <c r="I197" s="7"/>
    </row>
    <row r="198" spans="9:9" x14ac:dyDescent="0.25">
      <c r="I198" s="7"/>
    </row>
    <row r="199" spans="9:9" x14ac:dyDescent="0.25">
      <c r="I199" s="7"/>
    </row>
    <row r="200" spans="9:9" x14ac:dyDescent="0.25">
      <c r="I200" s="7"/>
    </row>
    <row r="201" spans="9:9" x14ac:dyDescent="0.25">
      <c r="I201" s="7"/>
    </row>
    <row r="202" spans="9:9" x14ac:dyDescent="0.25">
      <c r="I202" s="7"/>
    </row>
    <row r="203" spans="9:9" x14ac:dyDescent="0.25">
      <c r="I203" s="7"/>
    </row>
    <row r="204" spans="9:9" x14ac:dyDescent="0.25">
      <c r="I204" s="7"/>
    </row>
  </sheetData>
  <autoFilter ref="B7:H118" xr:uid="{A727EC95-1B5F-4FE6-874F-D8DDC5037E58}">
    <sortState xmlns:xlrd2="http://schemas.microsoft.com/office/spreadsheetml/2017/richdata2" ref="B8:H118">
      <sortCondition ref="D7:D204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03A0-7CEA-42F8-B9C4-918A1E47BA87}">
  <dimension ref="C4:C42"/>
  <sheetViews>
    <sheetView topLeftCell="A24" workbookViewId="0">
      <selection activeCell="C42" sqref="C4:C42"/>
    </sheetView>
  </sheetViews>
  <sheetFormatPr defaultRowHeight="15" x14ac:dyDescent="0.25"/>
  <sheetData>
    <row r="4" spans="3:3" x14ac:dyDescent="0.25">
      <c r="C4" t="s">
        <v>14</v>
      </c>
    </row>
    <row r="5" spans="3:3" x14ac:dyDescent="0.25">
      <c r="C5" t="s">
        <v>15</v>
      </c>
    </row>
    <row r="6" spans="3:3" x14ac:dyDescent="0.25">
      <c r="C6" t="s">
        <v>28</v>
      </c>
    </row>
    <row r="7" spans="3:3" x14ac:dyDescent="0.25">
      <c r="C7" t="s">
        <v>29</v>
      </c>
    </row>
    <row r="8" spans="3:3" x14ac:dyDescent="0.25">
      <c r="C8" t="s">
        <v>30</v>
      </c>
    </row>
    <row r="9" spans="3:3" x14ac:dyDescent="0.25">
      <c r="C9" t="s">
        <v>16</v>
      </c>
    </row>
    <row r="10" spans="3:3" x14ac:dyDescent="0.25">
      <c r="C10" t="s">
        <v>31</v>
      </c>
    </row>
    <row r="11" spans="3:3" x14ac:dyDescent="0.25">
      <c r="C11" t="s">
        <v>17</v>
      </c>
    </row>
    <row r="12" spans="3:3" x14ac:dyDescent="0.25">
      <c r="C12" t="s">
        <v>32</v>
      </c>
    </row>
    <row r="13" spans="3:3" x14ac:dyDescent="0.25">
      <c r="C13" t="s">
        <v>13</v>
      </c>
    </row>
    <row r="14" spans="3:3" x14ac:dyDescent="0.25">
      <c r="C14" t="s">
        <v>20</v>
      </c>
    </row>
    <row r="15" spans="3:3" x14ac:dyDescent="0.25">
      <c r="C15" t="s">
        <v>33</v>
      </c>
    </row>
    <row r="16" spans="3:3" x14ac:dyDescent="0.25">
      <c r="C16" t="s">
        <v>34</v>
      </c>
    </row>
    <row r="17" spans="3:3" x14ac:dyDescent="0.25">
      <c r="C17" t="s">
        <v>23</v>
      </c>
    </row>
    <row r="18" spans="3:3" x14ac:dyDescent="0.25">
      <c r="C18" t="s">
        <v>35</v>
      </c>
    </row>
    <row r="19" spans="3:3" x14ac:dyDescent="0.25">
      <c r="C19" t="s">
        <v>44</v>
      </c>
    </row>
    <row r="20" spans="3:3" x14ac:dyDescent="0.25">
      <c r="C20" t="s">
        <v>45</v>
      </c>
    </row>
    <row r="21" spans="3:3" x14ac:dyDescent="0.25">
      <c r="C21" t="s">
        <v>46</v>
      </c>
    </row>
    <row r="22" spans="3:3" x14ac:dyDescent="0.25">
      <c r="C22" t="s">
        <v>47</v>
      </c>
    </row>
    <row r="23" spans="3:3" x14ac:dyDescent="0.25">
      <c r="C23" t="s">
        <v>48</v>
      </c>
    </row>
    <row r="24" spans="3:3" x14ac:dyDescent="0.25">
      <c r="C24" t="s">
        <v>18</v>
      </c>
    </row>
    <row r="25" spans="3:3" x14ac:dyDescent="0.25">
      <c r="C25" t="s">
        <v>49</v>
      </c>
    </row>
    <row r="26" spans="3:3" x14ac:dyDescent="0.25">
      <c r="C26" t="s">
        <v>36</v>
      </c>
    </row>
    <row r="27" spans="3:3" x14ac:dyDescent="0.25">
      <c r="C27" t="s">
        <v>37</v>
      </c>
    </row>
    <row r="28" spans="3:3" x14ac:dyDescent="0.25">
      <c r="C28" t="s">
        <v>21</v>
      </c>
    </row>
    <row r="29" spans="3:3" x14ac:dyDescent="0.25">
      <c r="C29" t="s">
        <v>22</v>
      </c>
    </row>
    <row r="30" spans="3:3" x14ac:dyDescent="0.25">
      <c r="C30" t="s">
        <v>38</v>
      </c>
    </row>
    <row r="31" spans="3:3" x14ac:dyDescent="0.25">
      <c r="C31" t="s">
        <v>11</v>
      </c>
    </row>
    <row r="32" spans="3:3" x14ac:dyDescent="0.25">
      <c r="C32" t="s">
        <v>24</v>
      </c>
    </row>
    <row r="33" spans="3:3" x14ac:dyDescent="0.25">
      <c r="C33" t="s">
        <v>39</v>
      </c>
    </row>
    <row r="34" spans="3:3" x14ac:dyDescent="0.25">
      <c r="C34" t="s">
        <v>25</v>
      </c>
    </row>
    <row r="35" spans="3:3" x14ac:dyDescent="0.25">
      <c r="C35" t="s">
        <v>40</v>
      </c>
    </row>
    <row r="36" spans="3:3" x14ac:dyDescent="0.25">
      <c r="C36" t="s">
        <v>27</v>
      </c>
    </row>
    <row r="37" spans="3:3" x14ac:dyDescent="0.25">
      <c r="C37" t="s">
        <v>41</v>
      </c>
    </row>
    <row r="38" spans="3:3" x14ac:dyDescent="0.25">
      <c r="C38" t="s">
        <v>26</v>
      </c>
    </row>
    <row r="39" spans="3:3" x14ac:dyDescent="0.25">
      <c r="C39" t="s">
        <v>42</v>
      </c>
    </row>
    <row r="40" spans="3:3" x14ac:dyDescent="0.25">
      <c r="C40" t="s">
        <v>12</v>
      </c>
    </row>
    <row r="41" spans="3:3" x14ac:dyDescent="0.25">
      <c r="C41" t="s">
        <v>19</v>
      </c>
    </row>
    <row r="42" spans="3:3" x14ac:dyDescent="0.25">
      <c r="C4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cp:lastPrinted>2025-09-09T12:02:50Z</cp:lastPrinted>
  <dcterms:created xsi:type="dcterms:W3CDTF">2018-01-02T09:07:46Z</dcterms:created>
  <dcterms:modified xsi:type="dcterms:W3CDTF">2026-03-13T12:00:12Z</dcterms:modified>
</cp:coreProperties>
</file>