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05EE0F3-4466-41F2-931D-F63E046192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ÖZET" sheetId="6" r:id="rId1"/>
    <sheet name="DEPO" sheetId="1" r:id="rId2"/>
    <sheet name="METAL BÖLÜMÜ" sheetId="2" r:id="rId3"/>
    <sheet name="BİTENLER" sheetId="3" r:id="rId4"/>
    <sheet name="KODLAR" sheetId="4" r:id="rId5"/>
  </sheets>
  <definedNames>
    <definedName name="_xlnm._FilterDatabase" localSheetId="3" hidden="1">BİTENLER!$A$1:$I$91</definedName>
    <definedName name="_xlnm._FilterDatabase" localSheetId="1" hidden="1">DEPO!$A$1:$B$620</definedName>
    <definedName name="_xlnm._FilterDatabase" localSheetId="4" hidden="1">KODLAR!$A$1:$B$185</definedName>
    <definedName name="_xlnm._FilterDatabase" localSheetId="2" hidden="1">'METAL BÖLÜMÜ'!$A$1:$H$92</definedName>
  </definedNames>
  <calcPr calcId="181029" iterate="1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7" i="1" l="1"/>
  <c r="G93" i="1"/>
  <c r="G243" i="1"/>
  <c r="G452" i="1"/>
  <c r="G45" i="1"/>
  <c r="G208" i="1"/>
  <c r="G232" i="1"/>
  <c r="G137" i="1"/>
  <c r="G511" i="1"/>
  <c r="G388" i="1"/>
  <c r="G590" i="1"/>
  <c r="G482" i="1"/>
  <c r="G361" i="1"/>
  <c r="G91" i="3"/>
  <c r="G90" i="3"/>
  <c r="G225" i="1"/>
  <c r="G119" i="1"/>
  <c r="G88" i="3"/>
  <c r="G174" i="1"/>
  <c r="G238" i="1"/>
  <c r="G128" i="1"/>
  <c r="G339" i="1"/>
  <c r="G48" i="2"/>
  <c r="G233" i="1"/>
  <c r="G328" i="1"/>
  <c r="G85" i="3"/>
  <c r="G122" i="1"/>
  <c r="G277" i="1"/>
  <c r="G42" i="1"/>
  <c r="G84" i="3"/>
  <c r="G83" i="3"/>
  <c r="G249" i="1"/>
  <c r="G27" i="1"/>
  <c r="G586" i="1"/>
  <c r="G370" i="1"/>
  <c r="G22" i="2"/>
  <c r="G292" i="1"/>
  <c r="G82" i="3"/>
  <c r="G81" i="3"/>
  <c r="G80" i="3"/>
  <c r="G79" i="3"/>
  <c r="G78" i="3"/>
  <c r="G77" i="3"/>
  <c r="G3" i="2"/>
  <c r="G86" i="1"/>
  <c r="G72" i="1"/>
  <c r="G77" i="1"/>
  <c r="G78" i="1"/>
  <c r="G420" i="1"/>
  <c r="G76" i="3"/>
  <c r="G408" i="1"/>
  <c r="G83" i="1"/>
  <c r="G94" i="1"/>
  <c r="G39" i="1"/>
  <c r="G181" i="1"/>
  <c r="G464" i="1"/>
  <c r="G326" i="1"/>
  <c r="G113" i="1"/>
  <c r="G220" i="1"/>
  <c r="G222" i="1"/>
  <c r="G510" i="1"/>
  <c r="G509" i="1"/>
  <c r="G358" i="1"/>
  <c r="G608" i="1" l="1"/>
  <c r="G607" i="1"/>
  <c r="G606" i="1"/>
  <c r="G394" i="1"/>
  <c r="G334" i="1"/>
  <c r="G382" i="1"/>
  <c r="G11" i="2"/>
  <c r="G12" i="2"/>
  <c r="G21" i="2"/>
  <c r="G255" i="1"/>
  <c r="G18" i="2"/>
  <c r="G19" i="2"/>
  <c r="G266" i="1"/>
  <c r="G207" i="1"/>
  <c r="G206" i="1"/>
  <c r="G205" i="1"/>
  <c r="G204" i="1"/>
  <c r="G203" i="1"/>
  <c r="G231" i="1"/>
  <c r="G237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35" i="1"/>
  <c r="G236" i="1"/>
  <c r="G209" i="1"/>
  <c r="G210" i="1"/>
  <c r="G211" i="1"/>
  <c r="G212" i="1"/>
  <c r="G213" i="1"/>
  <c r="G214" i="1"/>
  <c r="G215" i="1"/>
  <c r="G216" i="1"/>
  <c r="G217" i="1"/>
  <c r="G218" i="1"/>
  <c r="G219" i="1"/>
  <c r="G221" i="1"/>
  <c r="G234" i="1"/>
  <c r="G562" i="1"/>
  <c r="G245" i="1"/>
  <c r="G246" i="1"/>
  <c r="G247" i="1"/>
  <c r="G248" i="1"/>
  <c r="G250" i="1"/>
  <c r="G251" i="1"/>
  <c r="G252" i="1"/>
  <c r="G253" i="1"/>
  <c r="G254" i="1"/>
  <c r="G256" i="1"/>
  <c r="G257" i="1"/>
  <c r="G258" i="1"/>
  <c r="G259" i="1"/>
  <c r="G260" i="1"/>
  <c r="G261" i="1"/>
  <c r="G262" i="1"/>
  <c r="G263" i="1"/>
  <c r="G264" i="1"/>
  <c r="G479" i="1"/>
  <c r="G472" i="1"/>
  <c r="G267" i="1"/>
  <c r="G268" i="1"/>
  <c r="G269" i="1"/>
  <c r="G270" i="1"/>
  <c r="G271" i="1"/>
  <c r="G272" i="1"/>
  <c r="G273" i="1"/>
  <c r="G274" i="1"/>
  <c r="G275" i="1"/>
  <c r="G276" i="1"/>
  <c r="G278" i="1"/>
  <c r="G279" i="1"/>
  <c r="G281" i="1"/>
  <c r="G282" i="1"/>
  <c r="G583" i="1"/>
  <c r="G283" i="1"/>
  <c r="G284" i="1"/>
  <c r="G285" i="1"/>
  <c r="G286" i="1"/>
  <c r="G287" i="1"/>
  <c r="G288" i="1"/>
  <c r="G289" i="1"/>
  <c r="G290" i="1"/>
  <c r="G291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9" i="1"/>
  <c r="G311" i="1"/>
  <c r="G312" i="1"/>
  <c r="G313" i="1"/>
  <c r="G314" i="1"/>
  <c r="G598" i="1"/>
  <c r="G315" i="1"/>
  <c r="G316" i="1"/>
  <c r="G317" i="1"/>
  <c r="G318" i="1"/>
  <c r="G320" i="1"/>
  <c r="G321" i="1"/>
  <c r="G322" i="1"/>
  <c r="G323" i="1"/>
  <c r="G325" i="1"/>
  <c r="G319" i="1"/>
  <c r="G329" i="1"/>
  <c r="G330" i="1"/>
  <c r="G331" i="1"/>
  <c r="G332" i="1"/>
  <c r="G333" i="1"/>
  <c r="G335" i="1"/>
  <c r="G336" i="1"/>
  <c r="G337" i="1"/>
  <c r="G338" i="1"/>
  <c r="G340" i="1"/>
  <c r="G341" i="1"/>
  <c r="G342" i="1"/>
  <c r="G343" i="1"/>
  <c r="G344" i="1"/>
  <c r="G345" i="1"/>
  <c r="G347" i="1"/>
  <c r="G348" i="1"/>
  <c r="G349" i="1"/>
  <c r="G350" i="1"/>
  <c r="G351" i="1"/>
  <c r="G352" i="1"/>
  <c r="G353" i="1"/>
  <c r="G354" i="1"/>
  <c r="G355" i="1"/>
  <c r="G356" i="1"/>
  <c r="G357" i="1"/>
  <c r="G360" i="1"/>
  <c r="G362" i="1"/>
  <c r="G364" i="1"/>
  <c r="G365" i="1"/>
  <c r="G366" i="1"/>
  <c r="G367" i="1"/>
  <c r="G368" i="1"/>
  <c r="G369" i="1"/>
  <c r="G372" i="1"/>
  <c r="G373" i="1"/>
  <c r="G374" i="1"/>
  <c r="G375" i="1"/>
  <c r="G376" i="1"/>
  <c r="G377" i="1"/>
  <c r="G378" i="1"/>
  <c r="G379" i="1"/>
  <c r="G380" i="1"/>
  <c r="G381" i="1"/>
  <c r="G383" i="1"/>
  <c r="G384" i="1"/>
  <c r="G385" i="1"/>
  <c r="G386" i="1"/>
  <c r="G387" i="1"/>
  <c r="G389" i="1"/>
  <c r="G390" i="1"/>
  <c r="G391" i="1"/>
  <c r="G393" i="1"/>
  <c r="G395" i="1"/>
  <c r="G396" i="1"/>
  <c r="G397" i="1"/>
  <c r="G398" i="1"/>
  <c r="G399" i="1"/>
  <c r="G400" i="1"/>
  <c r="G401" i="1"/>
  <c r="G403" i="1"/>
  <c r="G404" i="1"/>
  <c r="G405" i="1"/>
  <c r="G406" i="1"/>
  <c r="G407" i="1"/>
  <c r="G409" i="1"/>
  <c r="G402" i="1"/>
  <c r="G410" i="1"/>
  <c r="G411" i="1"/>
  <c r="G413" i="1"/>
  <c r="G414" i="1"/>
  <c r="G415" i="1"/>
  <c r="G416" i="1"/>
  <c r="G417" i="1"/>
  <c r="G418" i="1"/>
  <c r="G419" i="1"/>
  <c r="G421" i="1"/>
  <c r="G422" i="1"/>
  <c r="G423" i="1"/>
  <c r="G424" i="1"/>
  <c r="G425" i="1"/>
  <c r="G426" i="1"/>
  <c r="G427" i="1"/>
  <c r="G428" i="1"/>
  <c r="G429" i="1"/>
  <c r="G430" i="1"/>
  <c r="G431" i="1"/>
  <c r="G434" i="1"/>
  <c r="G432" i="1"/>
  <c r="G433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68" i="1"/>
  <c r="G450" i="1"/>
  <c r="G92" i="1"/>
  <c r="G451" i="1"/>
  <c r="G453" i="1"/>
  <c r="G454" i="1"/>
  <c r="G455" i="1"/>
  <c r="G456" i="1"/>
  <c r="G457" i="1"/>
  <c r="G458" i="1"/>
  <c r="G459" i="1"/>
  <c r="G460" i="1"/>
  <c r="G461" i="1"/>
  <c r="G462" i="1"/>
  <c r="G463" i="1"/>
  <c r="G465" i="1"/>
  <c r="G466" i="1"/>
  <c r="G359" i="1"/>
  <c r="G467" i="1"/>
  <c r="G469" i="1"/>
  <c r="G470" i="1"/>
  <c r="G112" i="1"/>
  <c r="G111" i="1"/>
  <c r="G110" i="1"/>
  <c r="G10" i="2"/>
  <c r="G514" i="1"/>
  <c r="G498" i="1"/>
  <c r="G497" i="1"/>
  <c r="G89" i="1"/>
  <c r="G526" i="1"/>
  <c r="G124" i="1"/>
  <c r="G85" i="1"/>
  <c r="G13" i="2"/>
  <c r="G545" i="1"/>
  <c r="G310" i="1"/>
  <c r="G609" i="1"/>
  <c r="G20" i="1"/>
  <c r="G97" i="1"/>
  <c r="G615" i="1"/>
  <c r="G66" i="2"/>
  <c r="G65" i="2"/>
  <c r="G87" i="1"/>
  <c r="G6" i="2"/>
  <c r="G15" i="2"/>
  <c r="G16" i="2"/>
  <c r="G17" i="2"/>
  <c r="G14" i="2"/>
  <c r="G9" i="2"/>
  <c r="G8" i="2"/>
  <c r="G139" i="1"/>
  <c r="G502" i="1"/>
  <c r="G123" i="1"/>
  <c r="G88" i="1"/>
  <c r="G614" i="1"/>
  <c r="G308" i="1" l="1"/>
  <c r="G474" i="1"/>
  <c r="G475" i="1"/>
  <c r="G476" i="1"/>
  <c r="G477" i="1"/>
  <c r="G478" i="1"/>
  <c r="G480" i="1"/>
  <c r="G481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9" i="1"/>
  <c r="G500" i="1"/>
  <c r="G501" i="1"/>
  <c r="G503" i="1"/>
  <c r="G504" i="1"/>
  <c r="G505" i="1"/>
  <c r="G506" i="1"/>
  <c r="G507" i="1"/>
  <c r="G508" i="1"/>
  <c r="G512" i="1"/>
  <c r="G513" i="1"/>
  <c r="G516" i="1"/>
  <c r="G515" i="1"/>
  <c r="G517" i="1"/>
  <c r="G518" i="1"/>
  <c r="G519" i="1"/>
  <c r="G4" i="2" l="1"/>
  <c r="G26" i="1"/>
  <c r="G5" i="2"/>
  <c r="G2" i="2"/>
  <c r="G544" i="1" l="1"/>
  <c r="G559" i="1"/>
  <c r="G131" i="1"/>
  <c r="G533" i="1" l="1"/>
  <c r="G40" i="2"/>
  <c r="G52" i="2"/>
  <c r="G18" i="1"/>
  <c r="G138" i="1" l="1"/>
  <c r="G600" i="1" l="1"/>
  <c r="G51" i="2" l="1"/>
  <c r="G57" i="2"/>
  <c r="G56" i="2"/>
  <c r="G55" i="2"/>
  <c r="G59" i="2"/>
  <c r="G64" i="2"/>
  <c r="G61" i="2"/>
  <c r="G54" i="2"/>
  <c r="G53" i="2"/>
  <c r="G60" i="2"/>
  <c r="G92" i="2"/>
  <c r="G30" i="2"/>
  <c r="G32" i="2"/>
  <c r="G26" i="2"/>
  <c r="G25" i="2"/>
  <c r="G36" i="2"/>
  <c r="G33" i="2"/>
  <c r="G35" i="2"/>
  <c r="G31" i="2"/>
  <c r="G27" i="2"/>
  <c r="G63" i="2"/>
  <c r="G28" i="2"/>
  <c r="G45" i="2"/>
  <c r="G46" i="2"/>
  <c r="G47" i="2"/>
  <c r="G37" i="2"/>
  <c r="G68" i="2"/>
  <c r="G20" i="2"/>
  <c r="G69" i="2"/>
  <c r="G71" i="2"/>
  <c r="G72" i="2"/>
  <c r="G73" i="2"/>
  <c r="G74" i="2"/>
  <c r="G75" i="2"/>
  <c r="G76" i="2"/>
  <c r="G77" i="2"/>
  <c r="G34" i="2"/>
  <c r="G78" i="2"/>
  <c r="G79" i="2"/>
  <c r="G80" i="2"/>
  <c r="G81" i="2"/>
  <c r="G82" i="2"/>
  <c r="G83" i="2"/>
  <c r="G62" i="2"/>
  <c r="G44" i="2"/>
  <c r="G43" i="2"/>
  <c r="G85" i="2"/>
  <c r="G39" i="2"/>
  <c r="G29" i="2"/>
  <c r="G41" i="2"/>
  <c r="G86" i="2"/>
  <c r="G87" i="2"/>
  <c r="G88" i="2"/>
  <c r="G89" i="2"/>
  <c r="G90" i="2"/>
  <c r="G42" i="2"/>
  <c r="G38" i="2"/>
  <c r="G23" i="2"/>
  <c r="G24" i="2"/>
  <c r="G91" i="2"/>
  <c r="G50" i="2"/>
  <c r="G49" i="2"/>
  <c r="G58" i="2"/>
  <c r="G75" i="1" l="1"/>
  <c r="G524" i="1"/>
  <c r="G35" i="1"/>
  <c r="G38" i="1" l="1"/>
  <c r="G564" i="1"/>
  <c r="G565" i="1"/>
  <c r="G566" i="1"/>
  <c r="G567" i="1"/>
  <c r="G568" i="1"/>
  <c r="G570" i="1"/>
  <c r="G571" i="1"/>
  <c r="G572" i="1"/>
  <c r="G573" i="1"/>
  <c r="G575" i="1"/>
  <c r="G576" i="1"/>
  <c r="G577" i="1"/>
  <c r="G578" i="1"/>
  <c r="G579" i="1"/>
  <c r="G580" i="1"/>
  <c r="G581" i="1"/>
  <c r="G582" i="1"/>
  <c r="G610" i="1"/>
  <c r="G611" i="1"/>
  <c r="G612" i="1"/>
  <c r="G613" i="1"/>
  <c r="G81" i="1"/>
  <c r="G202" i="1"/>
  <c r="G602" i="1"/>
  <c r="G596" i="1"/>
  <c r="G121" i="1"/>
  <c r="G584" i="1"/>
  <c r="G585" i="1"/>
  <c r="G587" i="1"/>
  <c r="G588" i="1"/>
  <c r="G589" i="1"/>
  <c r="G591" i="1"/>
  <c r="G592" i="1"/>
  <c r="G593" i="1"/>
  <c r="G594" i="1"/>
  <c r="G595" i="1"/>
  <c r="G563" i="1"/>
  <c r="G521" i="1"/>
  <c r="G522" i="1"/>
  <c r="G525" i="1"/>
  <c r="G527" i="1"/>
  <c r="G528" i="1"/>
  <c r="G529" i="1"/>
  <c r="G530" i="1"/>
  <c r="G531" i="1"/>
  <c r="G532" i="1"/>
  <c r="G534" i="1"/>
  <c r="G535" i="1"/>
  <c r="G536" i="1"/>
  <c r="G537" i="1"/>
  <c r="G539" i="1"/>
  <c r="G540" i="1"/>
  <c r="G541" i="1"/>
  <c r="G542" i="1"/>
  <c r="G543" i="1"/>
  <c r="G538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60" i="1"/>
  <c r="G473" i="1"/>
  <c r="G102" i="1"/>
  <c r="G103" i="1"/>
  <c r="G104" i="1"/>
  <c r="G105" i="1"/>
  <c r="G107" i="1"/>
  <c r="G108" i="1"/>
  <c r="G109" i="1"/>
  <c r="G106" i="1"/>
  <c r="G114" i="1"/>
  <c r="G115" i="1"/>
  <c r="G116" i="1"/>
  <c r="G117" i="1"/>
  <c r="G118" i="1"/>
  <c r="G120" i="1"/>
  <c r="G125" i="1"/>
  <c r="G126" i="1"/>
  <c r="G127" i="1"/>
  <c r="G129" i="1"/>
  <c r="G130" i="1"/>
  <c r="G134" i="1"/>
  <c r="G135" i="1"/>
  <c r="G140" i="1"/>
  <c r="G141" i="1"/>
  <c r="G142" i="1"/>
  <c r="G136" i="1"/>
  <c r="G603" i="1"/>
  <c r="G604" i="1"/>
  <c r="G605" i="1"/>
  <c r="G101" i="1"/>
  <c r="G3" i="1"/>
  <c r="G4" i="1"/>
  <c r="G6" i="1"/>
  <c r="G7" i="1"/>
  <c r="G8" i="1"/>
  <c r="G11" i="1"/>
  <c r="G12" i="1"/>
  <c r="G13" i="1"/>
  <c r="G14" i="1"/>
  <c r="G16" i="1"/>
  <c r="G17" i="1"/>
  <c r="G19" i="1"/>
  <c r="G36" i="1"/>
  <c r="G21" i="1"/>
  <c r="G22" i="1"/>
  <c r="G28" i="1"/>
  <c r="G23" i="1"/>
  <c r="G24" i="1"/>
  <c r="G25" i="1"/>
  <c r="G29" i="1"/>
  <c r="G30" i="1"/>
  <c r="G31" i="1"/>
  <c r="G32" i="1"/>
  <c r="G33" i="1"/>
  <c r="G34" i="1"/>
  <c r="G37" i="1"/>
  <c r="G43" i="1"/>
  <c r="G44" i="1"/>
  <c r="G59" i="1"/>
  <c r="G47" i="1"/>
  <c r="G41" i="1"/>
  <c r="G46" i="1"/>
  <c r="G48" i="1"/>
  <c r="G49" i="1"/>
  <c r="G50" i="1"/>
  <c r="G51" i="1"/>
  <c r="G52" i="1"/>
  <c r="G53" i="1"/>
  <c r="G54" i="1"/>
  <c r="G56" i="1"/>
  <c r="G57" i="1"/>
  <c r="G58" i="1"/>
  <c r="G61" i="1"/>
  <c r="G64" i="1"/>
  <c r="G65" i="1"/>
  <c r="G66" i="1"/>
  <c r="G67" i="1"/>
  <c r="G68" i="1"/>
  <c r="G69" i="1"/>
  <c r="G70" i="1"/>
  <c r="G71" i="1"/>
  <c r="G74" i="1"/>
  <c r="G76" i="1"/>
  <c r="G79" i="1"/>
  <c r="G80" i="1"/>
  <c r="G82" i="1"/>
  <c r="G84" i="1"/>
  <c r="G73" i="1"/>
  <c r="G90" i="1"/>
  <c r="G91" i="1"/>
  <c r="G98" i="1"/>
  <c r="G99" i="1"/>
  <c r="G2" i="1"/>
</calcChain>
</file>

<file path=xl/sharedStrings.xml><?xml version="1.0" encoding="utf-8"?>
<sst xmlns="http://schemas.openxmlformats.org/spreadsheetml/2006/main" count="5434" uniqueCount="2171">
  <si>
    <t xml:space="preserve"> </t>
  </si>
  <si>
    <t>NETSİS KODU</t>
  </si>
  <si>
    <t>OLDUKLARI RAF</t>
  </si>
  <si>
    <t>TOPLAM ADET</t>
  </si>
  <si>
    <t>KALAN MİKTAR</t>
  </si>
  <si>
    <t>CRMA16*M6*16</t>
  </si>
  <si>
    <t>7xM4x10 MONOBLOK CİVATA (KAFA KALINLIĞI 1,5)</t>
  </si>
  <si>
    <t>CRMA7*M4*10</t>
  </si>
  <si>
    <t>B1-B</t>
  </si>
  <si>
    <t>7 KOLİ</t>
  </si>
  <si>
    <t>CRMA16*M6*14</t>
  </si>
  <si>
    <t>B1-C</t>
  </si>
  <si>
    <t>9 KOLİ</t>
  </si>
  <si>
    <t>CRMA12*M4*8</t>
  </si>
  <si>
    <t>B1-D</t>
  </si>
  <si>
    <t>10 KOLİ</t>
  </si>
  <si>
    <t>26xM8x16 MONOBLOK CİVATA</t>
  </si>
  <si>
    <t>CRMA26*M8*16</t>
  </si>
  <si>
    <t>B1-E</t>
  </si>
  <si>
    <t>11 KOLİ</t>
  </si>
  <si>
    <t>6 KOLİ</t>
  </si>
  <si>
    <t>12xM6x23 MONOBLOK CİVATA</t>
  </si>
  <si>
    <t>CRMA12*M6*23</t>
  </si>
  <si>
    <t>B2-B</t>
  </si>
  <si>
    <t>12X5X8 MONOBLOK CİVATA</t>
  </si>
  <si>
    <t>3 KOLİ</t>
  </si>
  <si>
    <t>16xM8x19 MONOBLOK CİVATA</t>
  </si>
  <si>
    <t>CRMA16*M8*19</t>
  </si>
  <si>
    <t>B2-D</t>
  </si>
  <si>
    <t>1 KOLİ</t>
  </si>
  <si>
    <t>9xM4x8 MONOBLOK CİVATA</t>
  </si>
  <si>
    <t>CRMA9*M4*8</t>
  </si>
  <si>
    <t>B2-E</t>
  </si>
  <si>
    <t>7xM4x10 MONOBLOK CİVATA</t>
  </si>
  <si>
    <t>B3-A</t>
  </si>
  <si>
    <t>CRMA13*M4*12</t>
  </si>
  <si>
    <t>9xM5x6 PASLANMAZ MONOBLOK CİVATA</t>
  </si>
  <si>
    <t>CRMP9*M5*6</t>
  </si>
  <si>
    <t>2 KOLİ</t>
  </si>
  <si>
    <t>16xM5x8 MONOBLOK CİVATA</t>
  </si>
  <si>
    <t>CRMA16*M5*8</t>
  </si>
  <si>
    <t>B3-B</t>
  </si>
  <si>
    <t>CRMA9*M4*6</t>
  </si>
  <si>
    <t>12xM5x15 MONOBLOK CİVATA</t>
  </si>
  <si>
    <t>CRMA12*M5*15</t>
  </si>
  <si>
    <t>25 KOLİ</t>
  </si>
  <si>
    <t>5 KOLİ</t>
  </si>
  <si>
    <t>41 KOLİ</t>
  </si>
  <si>
    <t>16xM5 TABLALI SOMUN</t>
  </si>
  <si>
    <t>SRM16*M5</t>
  </si>
  <si>
    <t>B4-A</t>
  </si>
  <si>
    <t>12xM4x14 MONOBLOK CİVATA</t>
  </si>
  <si>
    <t>CRMA12*M4*14</t>
  </si>
  <si>
    <t xml:space="preserve">14 KOLİ </t>
  </si>
  <si>
    <t>12xM5x14 MONOBLOK CİVATA</t>
  </si>
  <si>
    <t>CRMA12*M5*14</t>
  </si>
  <si>
    <t>6000+4140</t>
  </si>
  <si>
    <t>16xM5x12 MONOBLOK CİVATA</t>
  </si>
  <si>
    <t>CRMA16*M5*12</t>
  </si>
  <si>
    <t>B4-B</t>
  </si>
  <si>
    <t>13 KOLİ</t>
  </si>
  <si>
    <t>12xM6x15 MONOBLOK CİVATA</t>
  </si>
  <si>
    <t>CRMA12*M6*15</t>
  </si>
  <si>
    <t>B5-A</t>
  </si>
  <si>
    <t>12xM5x12 MONOBLOK CİVATA</t>
  </si>
  <si>
    <t>CRMA12*M5*12</t>
  </si>
  <si>
    <t>13x5 MONOBLOK SOMUN</t>
  </si>
  <si>
    <t>SRM13*M5</t>
  </si>
  <si>
    <t>26xM8x22 MONOBLOK CİVATA</t>
  </si>
  <si>
    <t>CRMA26*M8*22</t>
  </si>
  <si>
    <t>16 KOLİ</t>
  </si>
  <si>
    <t>23xM10x20 MONOBLOK CİVATA</t>
  </si>
  <si>
    <t>CRMA23*M10*20</t>
  </si>
  <si>
    <t>B5-B</t>
  </si>
  <si>
    <t>13xM6x12 MONOBLOK CİVATA</t>
  </si>
  <si>
    <t>CRMA13*M6*12</t>
  </si>
  <si>
    <t>4 KOLİ</t>
  </si>
  <si>
    <t>CRMA26*M8*12</t>
  </si>
  <si>
    <t>26xM8x25 MONOBOK CİVATA</t>
  </si>
  <si>
    <t>CRMA26*M8*25</t>
  </si>
  <si>
    <t>B6-A</t>
  </si>
  <si>
    <t>22xM6x20 MONOBLOK CİVATA</t>
  </si>
  <si>
    <t>CRMA22*M6*20</t>
  </si>
  <si>
    <t>23 KOLİ</t>
  </si>
  <si>
    <t xml:space="preserve">HER KOLİ 1300           1 KOLİ 1422 </t>
  </si>
  <si>
    <t>22xM6x8 MONOBLOK CİVATA</t>
  </si>
  <si>
    <t>CRMA22*M6*8</t>
  </si>
  <si>
    <t>B6-B</t>
  </si>
  <si>
    <t>21 KOLİ</t>
  </si>
  <si>
    <t>CRMA16*M6*10</t>
  </si>
  <si>
    <t>CRMA28*M8*23</t>
  </si>
  <si>
    <t>B7-A</t>
  </si>
  <si>
    <t>CRMA22*M6*12</t>
  </si>
  <si>
    <t>B7-B</t>
  </si>
  <si>
    <t>16xM5x10 MONOBLOK CİVATA</t>
  </si>
  <si>
    <t>CRMA16*M5*10</t>
  </si>
  <si>
    <t>22xM6x15 MONOBLOK CİVATA</t>
  </si>
  <si>
    <t>CRMA22*M6*15</t>
  </si>
  <si>
    <t>20 KOLİ</t>
  </si>
  <si>
    <t>B8-B</t>
  </si>
  <si>
    <t>12 KOLİ</t>
  </si>
  <si>
    <t>B7-C</t>
  </si>
  <si>
    <t>16xM6x8 MONOBLOK CİVATA</t>
  </si>
  <si>
    <t>CRMA16*M6*8</t>
  </si>
  <si>
    <t>13 ÇUVAL + 3 KOLİ</t>
  </si>
  <si>
    <t>22xM8x15 MONOBLOK CİVATA</t>
  </si>
  <si>
    <t>CRMA22*M8*15</t>
  </si>
  <si>
    <t>B8-A</t>
  </si>
  <si>
    <t>79 KOLİ</t>
  </si>
  <si>
    <t>16xM6x15 MONOBLOK CİVATA</t>
  </si>
  <si>
    <t>CRMA16*M6*15</t>
  </si>
  <si>
    <t>36 KOLİ</t>
  </si>
  <si>
    <t>20xM6x18 MONOBLOK CİVATA</t>
  </si>
  <si>
    <t>CRMA20*M6*18</t>
  </si>
  <si>
    <t>16xM6x18 MONOBLOK CİVATA</t>
  </si>
  <si>
    <t>CRMA16*M6*18</t>
  </si>
  <si>
    <t>B8-C</t>
  </si>
  <si>
    <t>12xM5x10 MONOBLOK CİVATA</t>
  </si>
  <si>
    <t>CRMA12*M5*10</t>
  </si>
  <si>
    <t>22xM8x10 ÖZEL TOLERANS</t>
  </si>
  <si>
    <t>CRMA22*M8*10</t>
  </si>
  <si>
    <t>B8-B ve B9-B</t>
  </si>
  <si>
    <t>70 KOLİ</t>
  </si>
  <si>
    <t>CRMA22*M8*20</t>
  </si>
  <si>
    <t>B9-A</t>
  </si>
  <si>
    <t>CRMA16*M6*6</t>
  </si>
  <si>
    <t>16xM6x10 MONOBLOK CİVATA</t>
  </si>
  <si>
    <t>B9-B</t>
  </si>
  <si>
    <t>12x4x6 MONOBLOK CİVATA</t>
  </si>
  <si>
    <t>CRMA12*M4*6</t>
  </si>
  <si>
    <t>B9-C</t>
  </si>
  <si>
    <t>1 KASA</t>
  </si>
  <si>
    <t>16xM6x12 MONOBLOK CİVATA</t>
  </si>
  <si>
    <t>CRMA16*M6*12</t>
  </si>
  <si>
    <t>9 ÇUVAL</t>
  </si>
  <si>
    <t>6 ÇUVAL</t>
  </si>
  <si>
    <t>22xM6x10 MONOBLOK CİVATA</t>
  </si>
  <si>
    <t>CRMA22*M6*10</t>
  </si>
  <si>
    <t>B10-B</t>
  </si>
  <si>
    <t>CRMA26*M8*20</t>
  </si>
  <si>
    <t>B10-C</t>
  </si>
  <si>
    <t>68 KOLİ</t>
  </si>
  <si>
    <t>16xM8x10 KAPALI MONOBLOK SOMUN</t>
  </si>
  <si>
    <t>SRMK16*M8*10</t>
  </si>
  <si>
    <t>B11-A</t>
  </si>
  <si>
    <t>12xM4 KAPALI MONOBLOK SOMUN</t>
  </si>
  <si>
    <t>SRMK12*M4</t>
  </si>
  <si>
    <t>16xM6x7 KAPALI MONOBLOK SOMUN</t>
  </si>
  <si>
    <t>SRMK16*M6*7</t>
  </si>
  <si>
    <t>27xM8x6 KAPALI MONOBLOK SOMUN</t>
  </si>
  <si>
    <t>SRMK27*M8*6</t>
  </si>
  <si>
    <t>27xM8x10 KAPALI MONOBLOK SOMUN</t>
  </si>
  <si>
    <t>SRMK27*M8*10</t>
  </si>
  <si>
    <t>22xM6x10 KAPALI MONOBLOK SOMUN</t>
  </si>
  <si>
    <t>SRMK22*M6*10</t>
  </si>
  <si>
    <t>27xM6 MONOBLOK SOMUN</t>
  </si>
  <si>
    <t>SRM27*M6</t>
  </si>
  <si>
    <t>B11-B</t>
  </si>
  <si>
    <t>16xM6 MONOBLOK SOMUN</t>
  </si>
  <si>
    <t>SRM16*M6</t>
  </si>
  <si>
    <t>16xM5x6 MONOBLOK SOMUN</t>
  </si>
  <si>
    <t>SRM16*M5*6</t>
  </si>
  <si>
    <t>B11-C</t>
  </si>
  <si>
    <t>1 ÇUVAL + 1 KOLİ</t>
  </si>
  <si>
    <t>B11-E</t>
  </si>
  <si>
    <t>2 ÇUVAL</t>
  </si>
  <si>
    <t>10,5xM4x5 MONOBLOK KAPALI SOMUN</t>
  </si>
  <si>
    <t>SRMK10,5*M4*5</t>
  </si>
  <si>
    <t>B12-C</t>
  </si>
  <si>
    <t>1 ÇUVAL</t>
  </si>
  <si>
    <t>40xM16x15 KAPALI MONOBLOK SOMUN</t>
  </si>
  <si>
    <t>SRMK40*M16*15</t>
  </si>
  <si>
    <t>B12-D</t>
  </si>
  <si>
    <t>6XM3X7,5 CİVATA</t>
  </si>
  <si>
    <t>CRMA6*M3*7,5</t>
  </si>
  <si>
    <t>B13-A</t>
  </si>
  <si>
    <t>12xM5x12 PASLANMAZ MONOBLOK CİVATA</t>
  </si>
  <si>
    <t>CRMP12*M5*12</t>
  </si>
  <si>
    <t>5xM3x3,5 ÖZEL CİVATA</t>
  </si>
  <si>
    <t>CRMÖ5*M3*3,5</t>
  </si>
  <si>
    <t>1 POŞET</t>
  </si>
  <si>
    <t>5xM3x4 AÇIK MONOBLOK SOMUN</t>
  </si>
  <si>
    <t>SRM5*M3*4</t>
  </si>
  <si>
    <t>M3 PİM</t>
  </si>
  <si>
    <t xml:space="preserve">27x8x13  LOGOLU KAYNAKLI PASLANMAZ MONOBLOK </t>
  </si>
  <si>
    <t>CRPÖ27*M8*13</t>
  </si>
  <si>
    <t>B13-C</t>
  </si>
  <si>
    <t>M4 LÜK 3 DELİKLİ</t>
  </si>
  <si>
    <t>RÖ30*M4*3</t>
  </si>
  <si>
    <t>12xm5x5 PASLANMAZ KAPAKLI SOMUN,</t>
  </si>
  <si>
    <t>B13-D</t>
  </si>
  <si>
    <t>T3405 SOMUNU</t>
  </si>
  <si>
    <t>12xM4x7 MONOBLOK KAPALI SOMUN</t>
  </si>
  <si>
    <t>SRMK12*M4*7</t>
  </si>
  <si>
    <t>12x4x15 MONOBLOK CİVATA</t>
  </si>
  <si>
    <t>CRMA12*M4*15</t>
  </si>
  <si>
    <t>B MERDİVEN YANI</t>
  </si>
  <si>
    <t>16x6x8 MONOBLOK CİVATA</t>
  </si>
  <si>
    <t>M8 TIRNAKLI SOMUN</t>
  </si>
  <si>
    <t>SÇ08</t>
  </si>
  <si>
    <t>M1-A</t>
  </si>
  <si>
    <t>26x8 TABLALI SOMUN</t>
  </si>
  <si>
    <t>SRM27*M8</t>
  </si>
  <si>
    <t>S12</t>
  </si>
  <si>
    <t>17 KOLİ</t>
  </si>
  <si>
    <t>10 KOLİ 15000</t>
  </si>
  <si>
    <t>S16</t>
  </si>
  <si>
    <t>M1-B</t>
  </si>
  <si>
    <t>M10 KAYNAK SOMUN</t>
  </si>
  <si>
    <t>S10</t>
  </si>
  <si>
    <t>8x25 CİVATA (OMEGA)</t>
  </si>
  <si>
    <t>CA8*25</t>
  </si>
  <si>
    <t>M1-C</t>
  </si>
  <si>
    <t>175 KOLİ</t>
  </si>
  <si>
    <t>M8 KAYNAK SOMUN</t>
  </si>
  <si>
    <t>S08</t>
  </si>
  <si>
    <t>M2-A</t>
  </si>
  <si>
    <t>M6 SOMUN</t>
  </si>
  <si>
    <t>S06</t>
  </si>
  <si>
    <t>M10 KARE SOMUN</t>
  </si>
  <si>
    <t>SÇ10</t>
  </si>
  <si>
    <t>SRM23*M6</t>
  </si>
  <si>
    <t>M2-B</t>
  </si>
  <si>
    <t>18 KOLİ</t>
  </si>
  <si>
    <t>13x4 TABLALI SOMUN</t>
  </si>
  <si>
    <t>SRM12*M4</t>
  </si>
  <si>
    <t>16x6 TABLALI SOMUN</t>
  </si>
  <si>
    <t>SRM18*M6</t>
  </si>
  <si>
    <t>12x39 CİVATA (OMEGA)</t>
  </si>
  <si>
    <t>CA12*39</t>
  </si>
  <si>
    <t>M2-C</t>
  </si>
  <si>
    <t>187 KOLİ</t>
  </si>
  <si>
    <t>37x12,5x3 RONDELA</t>
  </si>
  <si>
    <t>R37*12,5*3</t>
  </si>
  <si>
    <t>M3-A</t>
  </si>
  <si>
    <t>12 ÇUVAL</t>
  </si>
  <si>
    <t>27x11x2,5 RONDELA</t>
  </si>
  <si>
    <t>R27*11*2,5</t>
  </si>
  <si>
    <t>5 ÇUVAL</t>
  </si>
  <si>
    <t>96x14,7x2,5 RONDELA</t>
  </si>
  <si>
    <t>R96*14,7*2,5</t>
  </si>
  <si>
    <t>18 ÇUVAL</t>
  </si>
  <si>
    <t>M4 KAYNAK SOMUN</t>
  </si>
  <si>
    <t>S04</t>
  </si>
  <si>
    <t>M3-B</t>
  </si>
  <si>
    <t>M20 SOMUN</t>
  </si>
  <si>
    <t>SD20</t>
  </si>
  <si>
    <t>70x14,7x2,5 RONDELA (İLK PARTİ)</t>
  </si>
  <si>
    <t>R70*14,7*2,5</t>
  </si>
  <si>
    <t>96x18,8x3 RONDELA</t>
  </si>
  <si>
    <t>R96*18,8*3</t>
  </si>
  <si>
    <t>M3-C</t>
  </si>
  <si>
    <t>22 ÇUVAL</t>
  </si>
  <si>
    <t>70x14,7x2,5 RONDELA (ÜÇÜNCÜ PARTİ)</t>
  </si>
  <si>
    <t>R27*10,5*2</t>
  </si>
  <si>
    <t>M4-C</t>
  </si>
  <si>
    <t>26 ÇUVAL</t>
  </si>
  <si>
    <t>27x8x1,5 RONDELA</t>
  </si>
  <si>
    <t>R27*8*1,5</t>
  </si>
  <si>
    <t>M5-A</t>
  </si>
  <si>
    <t>4 ÇUVAL</t>
  </si>
  <si>
    <t>22x8x2 RONDELA</t>
  </si>
  <si>
    <t>R22*8*2</t>
  </si>
  <si>
    <t>32x10x2,5 RONDELA</t>
  </si>
  <si>
    <t>R32*10*2,5</t>
  </si>
  <si>
    <t>3 ÇUVAL</t>
  </si>
  <si>
    <t>96x10x2,5 RONDELA</t>
  </si>
  <si>
    <t>R96*10*2,5</t>
  </si>
  <si>
    <t>M5-B</t>
  </si>
  <si>
    <t>24X6X2,5</t>
  </si>
  <si>
    <t>R24*6*2,5</t>
  </si>
  <si>
    <t>8 ÇUVAL</t>
  </si>
  <si>
    <t>22X8X2,5 RONDELA</t>
  </si>
  <si>
    <t>R22*8*2,5</t>
  </si>
  <si>
    <t>37x8x2,5 RONDELA</t>
  </si>
  <si>
    <t>R37*8*2,5</t>
  </si>
  <si>
    <t>15 ÇUVAL</t>
  </si>
  <si>
    <t>M6-A</t>
  </si>
  <si>
    <t>R47*10*2,5</t>
  </si>
  <si>
    <t>M6-B</t>
  </si>
  <si>
    <t>16x8,40x1,40 RONDELA</t>
  </si>
  <si>
    <t>47x10x2,5 RONDELA</t>
  </si>
  <si>
    <t>M6-C</t>
  </si>
  <si>
    <t>96x14x3,5 RONDELA</t>
  </si>
  <si>
    <t>R96*14*3,5</t>
  </si>
  <si>
    <t>M7-A</t>
  </si>
  <si>
    <t>96x16x3,5 RONDELA</t>
  </si>
  <si>
    <t>R96*16*3,5</t>
  </si>
  <si>
    <t>70x12,5x2,5 RONDELA</t>
  </si>
  <si>
    <t>R70*12,5*2,5</t>
  </si>
  <si>
    <t>56x10,5x2,5 RONDELA</t>
  </si>
  <si>
    <t>R56*10,5*2,5</t>
  </si>
  <si>
    <t>M7-B</t>
  </si>
  <si>
    <t>65x12,5x2,5 RONDELA</t>
  </si>
  <si>
    <t>R65*12,5*2,5</t>
  </si>
  <si>
    <t>16 ÇUVAL</t>
  </si>
  <si>
    <t>38X12,5X2 RONDELA</t>
  </si>
  <si>
    <t>R38*12,5*2</t>
  </si>
  <si>
    <t>27x8x2,5 RONDELA</t>
  </si>
  <si>
    <t>R27*8*2,5</t>
  </si>
  <si>
    <t>M7-C</t>
  </si>
  <si>
    <t>1 PALET</t>
  </si>
  <si>
    <t>47x12,5x2,5 RONDELA</t>
  </si>
  <si>
    <t>R47*12,5*2,5</t>
  </si>
  <si>
    <t>M8-A</t>
  </si>
  <si>
    <t>36x10x2,5 RONDELA</t>
  </si>
  <si>
    <t>R36*10*2,5</t>
  </si>
  <si>
    <t>75x12,5x2,5 RONDELA</t>
  </si>
  <si>
    <t>R75*12,5*2,5</t>
  </si>
  <si>
    <t>56x14,7x2,5 RONDELA</t>
  </si>
  <si>
    <t>R56*14,7*2,5</t>
  </si>
  <si>
    <t>M8-B</t>
  </si>
  <si>
    <t>20 ÇUVAL</t>
  </si>
  <si>
    <t>37x10x2,5 RONDELA</t>
  </si>
  <si>
    <t>R37*10*2,5</t>
  </si>
  <si>
    <t>32x8x2,5 RONDELA</t>
  </si>
  <si>
    <t>R32*8*2,5</t>
  </si>
  <si>
    <t>R96*16*3</t>
  </si>
  <si>
    <t>M8-C</t>
  </si>
  <si>
    <t>56x12x2,5 RONDELA</t>
  </si>
  <si>
    <t>R56*12*2,5</t>
  </si>
  <si>
    <t>M9-A</t>
  </si>
  <si>
    <t>37 ÇUVAL</t>
  </si>
  <si>
    <t>6x30 CİVATA</t>
  </si>
  <si>
    <t>CA6*30</t>
  </si>
  <si>
    <t>1 KOLİ + 1 ÇUVAL</t>
  </si>
  <si>
    <t>70x12x2,3 RONDELA</t>
  </si>
  <si>
    <t>R70*12*2,3</t>
  </si>
  <si>
    <t>M9-B</t>
  </si>
  <si>
    <t>46 ÇUVAL</t>
  </si>
  <si>
    <t>27x8x3 RONDELA</t>
  </si>
  <si>
    <t>R27*8*3</t>
  </si>
  <si>
    <t>37x10,5x2 RONDELA</t>
  </si>
  <si>
    <t>R37*10,5*2</t>
  </si>
  <si>
    <t>M9-C</t>
  </si>
  <si>
    <t>47x8x2,5 RONDELA</t>
  </si>
  <si>
    <t>R47*8*2,5</t>
  </si>
  <si>
    <t>M10-A</t>
  </si>
  <si>
    <t>70x12,5x2 RONDELA</t>
  </si>
  <si>
    <t>R70*12,5*2</t>
  </si>
  <si>
    <t>47x12x2,5 RONDELA</t>
  </si>
  <si>
    <t>R47*12*2,5</t>
  </si>
  <si>
    <t>810+810+810+235</t>
  </si>
  <si>
    <t>12x39 CİVATA (ACS)</t>
  </si>
  <si>
    <t>M10-B</t>
  </si>
  <si>
    <t>57X18.8X2 RONDELA</t>
  </si>
  <si>
    <t>T2221 M20 MONTAJ MALZEMESİ</t>
  </si>
  <si>
    <t>SA58</t>
  </si>
  <si>
    <t>47x12,5x2 RONDELA (İKİNCİ PARTİ)</t>
  </si>
  <si>
    <t>R47*12,5*2</t>
  </si>
  <si>
    <t>M11-A</t>
  </si>
  <si>
    <t>25 ÇUVAL</t>
  </si>
  <si>
    <t>37x12x2,5 RONDELA</t>
  </si>
  <si>
    <t>R37*12*2,5</t>
  </si>
  <si>
    <t>M11-B</t>
  </si>
  <si>
    <t>24 ÇUVAL</t>
  </si>
  <si>
    <t>12x49 CİVATA</t>
  </si>
  <si>
    <t>CA12*49</t>
  </si>
  <si>
    <t>24 KOLİ</t>
  </si>
  <si>
    <t>27x10,5x2 RONDELA (İKİNCİ PARTİ)</t>
  </si>
  <si>
    <t>17 ÇUVAL</t>
  </si>
  <si>
    <t>96x16x6 RONDELA</t>
  </si>
  <si>
    <t>M11-C</t>
  </si>
  <si>
    <t>16x40 CİVATA</t>
  </si>
  <si>
    <t>CA16*40</t>
  </si>
  <si>
    <t>13 KOLİ (65 KUTU)</t>
  </si>
  <si>
    <t>16x8x2,5 RONDELA</t>
  </si>
  <si>
    <t>R16*8*2,5</t>
  </si>
  <si>
    <t>M12-A</t>
  </si>
  <si>
    <t>27x10,5x2,5 RONDELA</t>
  </si>
  <si>
    <t>R27*10,5*2,5</t>
  </si>
  <si>
    <t>37x10,5x2,5 RONDELA</t>
  </si>
  <si>
    <t>R37*10,5*2,5</t>
  </si>
  <si>
    <t>M12-B</t>
  </si>
  <si>
    <t>37x12,5x2 RONDELA</t>
  </si>
  <si>
    <t>R37*12,5*2</t>
  </si>
  <si>
    <t>R70*12*2,5</t>
  </si>
  <si>
    <t>56x10x2,5 RONDELA</t>
  </si>
  <si>
    <t>R56*10*2,5</t>
  </si>
  <si>
    <t>M13-A</t>
  </si>
  <si>
    <t>11 ÇUVAL</t>
  </si>
  <si>
    <t>6x37 CİVATA</t>
  </si>
  <si>
    <t>CA6*37</t>
  </si>
  <si>
    <t>47x16x2,5 RONDELA</t>
  </si>
  <si>
    <t>R47*16*2,5</t>
  </si>
  <si>
    <t>M13-B</t>
  </si>
  <si>
    <t>10x29 CİVATA</t>
  </si>
  <si>
    <t>CA10*29</t>
  </si>
  <si>
    <t>16x50 CİVATA</t>
  </si>
  <si>
    <t>CA16*50</t>
  </si>
  <si>
    <t>195x20x5 PASLANMAZ RONDELA</t>
  </si>
  <si>
    <t>RP195*20*5-AISI 304</t>
  </si>
  <si>
    <t>195x24,6x6 PASLANMAZ RONDELA</t>
  </si>
  <si>
    <t>RP195*24,5*6-AISI 304</t>
  </si>
  <si>
    <t>M22 YAYLI RONDELA</t>
  </si>
  <si>
    <t>YR32,5*22,5*5,2</t>
  </si>
  <si>
    <t>65x10x2,5 RONDELA</t>
  </si>
  <si>
    <t>R65*10*2,5</t>
  </si>
  <si>
    <t>M13-C</t>
  </si>
  <si>
    <t>14 ÇUVAL</t>
  </si>
  <si>
    <t>8x37 CİVATA</t>
  </si>
  <si>
    <t>CA8*37</t>
  </si>
  <si>
    <t>M14-A</t>
  </si>
  <si>
    <t>10x29,5 CİVATA</t>
  </si>
  <si>
    <t>CA10*29,5</t>
  </si>
  <si>
    <t>12x19 CİVATA</t>
  </si>
  <si>
    <t>CA12*19</t>
  </si>
  <si>
    <t>M14-B</t>
  </si>
  <si>
    <t>16X4X2,5RONDELA</t>
  </si>
  <si>
    <t>R16*4*2,5</t>
  </si>
  <si>
    <t>6X35 CİVATA</t>
  </si>
  <si>
    <t>CA6*35</t>
  </si>
  <si>
    <t>8x10 CİVATA</t>
  </si>
  <si>
    <t>CA8*10</t>
  </si>
  <si>
    <t>6 KOLİ + 1 ÇUVAL</t>
  </si>
  <si>
    <t>M14-C</t>
  </si>
  <si>
    <t>CA10*30</t>
  </si>
  <si>
    <t>M15-A</t>
  </si>
  <si>
    <t>42 KOLİ</t>
  </si>
  <si>
    <t>65X12X3,5 RONDELA</t>
  </si>
  <si>
    <t>R65*12*3,5</t>
  </si>
  <si>
    <t>M15-B</t>
  </si>
  <si>
    <t>12x24 CİVATA</t>
  </si>
  <si>
    <t>CA12*24</t>
  </si>
  <si>
    <t>12x37 CİVATA</t>
  </si>
  <si>
    <t>CA12*37</t>
  </si>
  <si>
    <t>8 KOLİ</t>
  </si>
  <si>
    <t>10x27 CİVATA</t>
  </si>
  <si>
    <t>CA10*27</t>
  </si>
  <si>
    <t>M16-A</t>
  </si>
  <si>
    <t>6x56 CİVATA</t>
  </si>
  <si>
    <t>CA6*56</t>
  </si>
  <si>
    <t>10x39 CİVATA</t>
  </si>
  <si>
    <t>CA10*39</t>
  </si>
  <si>
    <t>12x35 CİVATA</t>
  </si>
  <si>
    <t>CA12*35</t>
  </si>
  <si>
    <t>10x40 CİVATA</t>
  </si>
  <si>
    <t>CA10*40</t>
  </si>
  <si>
    <t>M16-B</t>
  </si>
  <si>
    <t>2 KOLİ+1 BEYAZ</t>
  </si>
  <si>
    <t>10x57 CİVATA</t>
  </si>
  <si>
    <t>CA10*57</t>
  </si>
  <si>
    <t>8x45 CİVATA</t>
  </si>
  <si>
    <t>CA8*45</t>
  </si>
  <si>
    <t>14 KOLİ</t>
  </si>
  <si>
    <t>14x30 CİVATA</t>
  </si>
  <si>
    <t>CA14*30</t>
  </si>
  <si>
    <t>T1433-T2998 SACI İÇİN</t>
  </si>
  <si>
    <t>SA13 İÇİN METAL</t>
  </si>
  <si>
    <t>M16-C</t>
  </si>
  <si>
    <t>T4365 METALİ</t>
  </si>
  <si>
    <t>SA50</t>
  </si>
  <si>
    <t>T3813 METALİ (KARE)</t>
  </si>
  <si>
    <t>L105</t>
  </si>
  <si>
    <t>KD04</t>
  </si>
  <si>
    <t>KD12</t>
  </si>
  <si>
    <t>M10 KAPAK (19x1 KÖR PUL)</t>
  </si>
  <si>
    <t>KD10</t>
  </si>
  <si>
    <t>M17-C</t>
  </si>
  <si>
    <t>38x10,5x2 RONDELA</t>
  </si>
  <si>
    <t>R38*10,5*2</t>
  </si>
  <si>
    <t>M18-A</t>
  </si>
  <si>
    <t>M12 KAPAK</t>
  </si>
  <si>
    <t>K12</t>
  </si>
  <si>
    <t>M10 KAPAK (19x1 ÇANAK PUL)</t>
  </si>
  <si>
    <t>K10</t>
  </si>
  <si>
    <t>7,5x1 KAPAK</t>
  </si>
  <si>
    <t>K06</t>
  </si>
  <si>
    <t>M6 KÖR PUL (10x1)</t>
  </si>
  <si>
    <t>KD06</t>
  </si>
  <si>
    <t>115x115 KARE RONDELA (CRLA115*M12*37)</t>
  </si>
  <si>
    <t>L111</t>
  </si>
  <si>
    <t>M19-A</t>
  </si>
  <si>
    <t>75x10,5x3 RONDELA</t>
  </si>
  <si>
    <t>R75*10,5*3</t>
  </si>
  <si>
    <t>75x16,7x2,5 RONDELA</t>
  </si>
  <si>
    <t>R75*16,7*2,5</t>
  </si>
  <si>
    <t>190x24,5x4 RONDELA</t>
  </si>
  <si>
    <t>RL190*24,5*4</t>
  </si>
  <si>
    <t>M18 YAYLI RONDELA</t>
  </si>
  <si>
    <t>YR29,4*19*3,5</t>
  </si>
  <si>
    <t>34x19x3 RONDELA (T3050 MONTAJ)</t>
  </si>
  <si>
    <t>R34*19*3</t>
  </si>
  <si>
    <t>47x10x6 RONDELA</t>
  </si>
  <si>
    <t>RL47*10*6</t>
  </si>
  <si>
    <t>100x32,5x6 T2637 MONTAJ MALZEMESİ</t>
  </si>
  <si>
    <t>RL100*32,5*6</t>
  </si>
  <si>
    <t>32x6x2,5 rondela</t>
  </si>
  <si>
    <t>R32*6*2,5</t>
  </si>
  <si>
    <t>195x16x3 RONDELA</t>
  </si>
  <si>
    <t>RL195*16*3</t>
  </si>
  <si>
    <t>M19-B</t>
  </si>
  <si>
    <t>120x18,8x3 RONDELA</t>
  </si>
  <si>
    <t>RL120*18,8*3</t>
  </si>
  <si>
    <t>96x12x3 RONDELA</t>
  </si>
  <si>
    <t>R96*12*3</t>
  </si>
  <si>
    <t>96x20x3 RONDELA</t>
  </si>
  <si>
    <t>R96*20*3</t>
  </si>
  <si>
    <t>145x16x3 RONDELA</t>
  </si>
  <si>
    <t>RL145*16*3</t>
  </si>
  <si>
    <t>120x16x3 RONDELA</t>
  </si>
  <si>
    <t>RL120*16*3</t>
  </si>
  <si>
    <t>24x8,5x2 RONDELA</t>
  </si>
  <si>
    <t>R24*8,5*2</t>
  </si>
  <si>
    <t xml:space="preserve">1 KASA + 10 ÇUVAL </t>
  </si>
  <si>
    <t>RÖ67*22*7,5</t>
  </si>
  <si>
    <t>M19-C</t>
  </si>
  <si>
    <t>16x43,5 CİVATA</t>
  </si>
  <si>
    <t>CA16*43,5</t>
  </si>
  <si>
    <t>M8 PASLANMAZ SOMUN</t>
  </si>
  <si>
    <t>M20-A</t>
  </si>
  <si>
    <t>8x20 PASLANMAZ CİVATA</t>
  </si>
  <si>
    <t>3 KOLİ (24 KUTU+1 POŞET)</t>
  </si>
  <si>
    <t>T4385 METALİ</t>
  </si>
  <si>
    <t>L117</t>
  </si>
  <si>
    <t>M20-B</t>
  </si>
  <si>
    <t>120x20x3 RONDELA</t>
  </si>
  <si>
    <t>RL120*20*3</t>
  </si>
  <si>
    <t>145x18,8x3 RONDELA</t>
  </si>
  <si>
    <t>RL145*18,8*3</t>
  </si>
  <si>
    <t>145x24,6x4 RONDELA</t>
  </si>
  <si>
    <t>RL145*24,6*4</t>
  </si>
  <si>
    <t>195x24,5x3 RONDELA</t>
  </si>
  <si>
    <t>RL195*24,5*3</t>
  </si>
  <si>
    <t>10x22 CİVATA</t>
  </si>
  <si>
    <t>CA10*22</t>
  </si>
  <si>
    <t>M21-A</t>
  </si>
  <si>
    <t>T3434-T3436 ÜST SACI</t>
  </si>
  <si>
    <t>SA43</t>
  </si>
  <si>
    <t>1 KUTU</t>
  </si>
  <si>
    <t>M21-B</t>
  </si>
  <si>
    <t>T2221 ALT SAC</t>
  </si>
  <si>
    <t>SA08</t>
  </si>
  <si>
    <t>3 KASA</t>
  </si>
  <si>
    <t>16x44,5 CİVATA</t>
  </si>
  <si>
    <t>CA16*44,5</t>
  </si>
  <si>
    <t>M21-C</t>
  </si>
  <si>
    <t>T3179 6 KÖŞE RONDELA</t>
  </si>
  <si>
    <t>L094</t>
  </si>
  <si>
    <t>8x27 CİVATA</t>
  </si>
  <si>
    <t>CA8*27</t>
  </si>
  <si>
    <t>M22-A</t>
  </si>
  <si>
    <t>2 KASA</t>
  </si>
  <si>
    <t>75X75 KARE RONDELA(M10)</t>
  </si>
  <si>
    <t>RL75*75*10*3</t>
  </si>
  <si>
    <t>M22-B</t>
  </si>
  <si>
    <t>12x17 CİVATA</t>
  </si>
  <si>
    <t>CA12*17</t>
  </si>
  <si>
    <t>T1017 METALİ</t>
  </si>
  <si>
    <t>SA01</t>
  </si>
  <si>
    <t>M22-C</t>
  </si>
  <si>
    <t>SA02</t>
  </si>
  <si>
    <t>8x30 CİVATA</t>
  </si>
  <si>
    <t>CA8*30</t>
  </si>
  <si>
    <t>M23-A</t>
  </si>
  <si>
    <t>CA8*20</t>
  </si>
  <si>
    <t>T2042 METALİ</t>
  </si>
  <si>
    <t>L043</t>
  </si>
  <si>
    <t>T2914-15 BORUSU</t>
  </si>
  <si>
    <t>BO13</t>
  </si>
  <si>
    <t>M23-B</t>
  </si>
  <si>
    <t>SRL330x70x10-M10</t>
  </si>
  <si>
    <t>L127</t>
  </si>
  <si>
    <t>SA51</t>
  </si>
  <si>
    <t>20x20 PASLANMAZ KAPALI OTOMAT SOMUN</t>
  </si>
  <si>
    <t>SPO20*20</t>
  </si>
  <si>
    <t>M24-A</t>
  </si>
  <si>
    <t>16x19 SOMUN</t>
  </si>
  <si>
    <t>SO17</t>
  </si>
  <si>
    <t>M24-B</t>
  </si>
  <si>
    <t>T2221-M20 SOMUN</t>
  </si>
  <si>
    <t>S35 M20</t>
  </si>
  <si>
    <t>T4148 KAPALI OTOMAT SOMUN</t>
  </si>
  <si>
    <t>M24-D</t>
  </si>
  <si>
    <t>M25-A</t>
  </si>
  <si>
    <t>16x16 PASLANMAZ KAPALI OTOMAT SOMUN</t>
  </si>
  <si>
    <t>SPO16*16-1</t>
  </si>
  <si>
    <t>T3124 M12 SOMUNU</t>
  </si>
  <si>
    <t>SO12*15</t>
  </si>
  <si>
    <t xml:space="preserve">3 KOLİ </t>
  </si>
  <si>
    <t>T3003 SOMUNU</t>
  </si>
  <si>
    <t>SO16*20</t>
  </si>
  <si>
    <t>M25-D</t>
  </si>
  <si>
    <t>SO16x20</t>
  </si>
  <si>
    <t>8x10 KAPALI OTOMAT SOMUN</t>
  </si>
  <si>
    <t>T4384</t>
  </si>
  <si>
    <t>L116</t>
  </si>
  <si>
    <t>M25-E</t>
  </si>
  <si>
    <t>T4935 SOMUNU</t>
  </si>
  <si>
    <t>SO08*10-A-1</t>
  </si>
  <si>
    <t>T3361-M16 SOMUN</t>
  </si>
  <si>
    <t>SO14</t>
  </si>
  <si>
    <t>M26-A</t>
  </si>
  <si>
    <t>T4579 MONTAJ MALZEMESİ</t>
  </si>
  <si>
    <t>M26-B</t>
  </si>
  <si>
    <t>T2998 MONTAJ MALZEMESİ GALVANİZLİ</t>
  </si>
  <si>
    <t>RÖ81*16,1*9,5</t>
  </si>
  <si>
    <t>T2993 METALİ GALVANİZLİ</t>
  </si>
  <si>
    <t>RÖ110*20*10-P</t>
  </si>
  <si>
    <t>T2998 MONTAJ MALZEMESİ</t>
  </si>
  <si>
    <t>M16 YAYLI RONDELA</t>
  </si>
  <si>
    <t>YR26*16,5*3,6</t>
  </si>
  <si>
    <t>M27 A</t>
  </si>
  <si>
    <t>M27-B</t>
  </si>
  <si>
    <t>T2993 MONTAJ MALZEMESİ</t>
  </si>
  <si>
    <t>RÖ74*16*8</t>
  </si>
  <si>
    <t>M27-C</t>
  </si>
  <si>
    <t>T2221 MONTAJ MALZEMESİ</t>
  </si>
  <si>
    <t>SA07</t>
  </si>
  <si>
    <t>M28-A</t>
  </si>
  <si>
    <t>M20 YAYLI RONDELA</t>
  </si>
  <si>
    <t>YR33,6*21,2*3,8</t>
  </si>
  <si>
    <t>1 ÇUVAL + 1 POŞET</t>
  </si>
  <si>
    <t>M20 DÜZ RONDELA</t>
  </si>
  <si>
    <t>R65*17*3</t>
  </si>
  <si>
    <t>RÖ109*20*10</t>
  </si>
  <si>
    <t>M29-A</t>
  </si>
  <si>
    <t>12x34 CİVATA (OMEGA)</t>
  </si>
  <si>
    <t>CA12*34</t>
  </si>
  <si>
    <t>16x49,5 CİVATA</t>
  </si>
  <si>
    <t>CA16*49,5</t>
  </si>
  <si>
    <t>6x14 CİVATA</t>
  </si>
  <si>
    <t>CA6*14</t>
  </si>
  <si>
    <t>10x28 CİVATA</t>
  </si>
  <si>
    <t>CA10*28</t>
  </si>
  <si>
    <t>M29-B</t>
  </si>
  <si>
    <t>16x47,5 CİVATA</t>
  </si>
  <si>
    <t>CA16*47,5</t>
  </si>
  <si>
    <t>40 KOLİ</t>
  </si>
  <si>
    <t>12x25 CİVATA</t>
  </si>
  <si>
    <t>CA12*25</t>
  </si>
  <si>
    <t>8x32 CİVATA (ACS)</t>
  </si>
  <si>
    <t>CA8*32</t>
  </si>
  <si>
    <t>M29-C</t>
  </si>
  <si>
    <t>8x32 CİVATA (OMEGA)</t>
  </si>
  <si>
    <t>CA10*25</t>
  </si>
  <si>
    <t>8x12 CİVATA</t>
  </si>
  <si>
    <t>CA8*12</t>
  </si>
  <si>
    <t>M30-A</t>
  </si>
  <si>
    <t>10x20 CİVATA</t>
  </si>
  <si>
    <t>CA10*20</t>
  </si>
  <si>
    <t>CA8*14</t>
  </si>
  <si>
    <t>M30-B</t>
  </si>
  <si>
    <t>16x63 CİVATA</t>
  </si>
  <si>
    <t>CA16*63</t>
  </si>
  <si>
    <t>12x22 CİVATA</t>
  </si>
  <si>
    <t>CA12*22</t>
  </si>
  <si>
    <t>5x20 CİVATA</t>
  </si>
  <si>
    <t>CA5*20</t>
  </si>
  <si>
    <t>CA6*25</t>
  </si>
  <si>
    <t xml:space="preserve">M30-C  </t>
  </si>
  <si>
    <t>M30-C</t>
  </si>
  <si>
    <t>6x27 CİVATA</t>
  </si>
  <si>
    <t>CA6*27</t>
  </si>
  <si>
    <t>8x22 CİVATA</t>
  </si>
  <si>
    <t>CA8*22</t>
  </si>
  <si>
    <t>M31-A</t>
  </si>
  <si>
    <t>12x27 CİVATA</t>
  </si>
  <si>
    <t>CA12*27</t>
  </si>
  <si>
    <t>5x12 CİVATA</t>
  </si>
  <si>
    <t>CA5*12</t>
  </si>
  <si>
    <t>M31-B</t>
  </si>
  <si>
    <t>12x36 CİVATA</t>
  </si>
  <si>
    <t>CA12*36</t>
  </si>
  <si>
    <t>M12 SOMUN ( CİVTEK)</t>
  </si>
  <si>
    <t>10x14 CİVATA</t>
  </si>
  <si>
    <t>CA10*14</t>
  </si>
  <si>
    <t>12x30 CİVATA</t>
  </si>
  <si>
    <t>CA12*30</t>
  </si>
  <si>
    <t>M31-C</t>
  </si>
  <si>
    <t>2 ÇUVAL+ 2 KOLİ</t>
  </si>
  <si>
    <t>8x18 CİVATA</t>
  </si>
  <si>
    <t>CA8*18</t>
  </si>
  <si>
    <t>14x37 CİVATA</t>
  </si>
  <si>
    <t>CA14*37</t>
  </si>
  <si>
    <t>M32-A</t>
  </si>
  <si>
    <t>M4 DÜZ SOMUN</t>
  </si>
  <si>
    <t>SD04</t>
  </si>
  <si>
    <t>M8 DÜZ SOMUN</t>
  </si>
  <si>
    <t>SD08</t>
  </si>
  <si>
    <t>6x15 CİVATA</t>
  </si>
  <si>
    <t>CA6*15</t>
  </si>
  <si>
    <t>M32-B</t>
  </si>
  <si>
    <t>10x24 ÖZEL CİVATA (T3434-T3436)</t>
  </si>
  <si>
    <t>CA10*24-DIN 603</t>
  </si>
  <si>
    <t>2 KUTU</t>
  </si>
  <si>
    <t>16x5x2,5 RONDELA</t>
  </si>
  <si>
    <t>R16*5*2,5</t>
  </si>
  <si>
    <t>M32-D</t>
  </si>
  <si>
    <t>7500+7500+5500</t>
  </si>
  <si>
    <t>CA6*12</t>
  </si>
  <si>
    <t>M33-E</t>
  </si>
  <si>
    <t>CA12*20</t>
  </si>
  <si>
    <t>M32-E</t>
  </si>
  <si>
    <t>CA5*14</t>
  </si>
  <si>
    <t>CA10*32</t>
  </si>
  <si>
    <t>12x50 CİVATA</t>
  </si>
  <si>
    <t>CA12*50</t>
  </si>
  <si>
    <t>M33-A</t>
  </si>
  <si>
    <t>8x16 CİVATA</t>
  </si>
  <si>
    <t>CA8*16</t>
  </si>
  <si>
    <t>M33-B</t>
  </si>
  <si>
    <t>M33-C</t>
  </si>
  <si>
    <t>4x12 CİVATA</t>
  </si>
  <si>
    <t>CA4*12</t>
  </si>
  <si>
    <t>M33-D</t>
  </si>
  <si>
    <t>CA8*55</t>
  </si>
  <si>
    <t>CA8*38</t>
  </si>
  <si>
    <t>CA6*16</t>
  </si>
  <si>
    <t>CA6*20</t>
  </si>
  <si>
    <t>16x55,5 CİVATA</t>
  </si>
  <si>
    <t>CA16*55,5</t>
  </si>
  <si>
    <t>M34-A</t>
  </si>
  <si>
    <t>16x45 CİVATA</t>
  </si>
  <si>
    <t>CA16*45</t>
  </si>
  <si>
    <t>8x20 CİVATA ANAHTAR BAŞ</t>
  </si>
  <si>
    <t>12x34 CİVATA (ACS)</t>
  </si>
  <si>
    <t>M34 B-C</t>
  </si>
  <si>
    <t>5x16 CİVATA</t>
  </si>
  <si>
    <t>CA5*16</t>
  </si>
  <si>
    <t>2 KOLİ + 1 KUTU</t>
  </si>
  <si>
    <t>CA16*37,5</t>
  </si>
  <si>
    <t>M34-D</t>
  </si>
  <si>
    <t>M6 6 KÖŞE KAPAK</t>
  </si>
  <si>
    <t>M34-E</t>
  </si>
  <si>
    <t>M8 6 KÖŞE KAPAK</t>
  </si>
  <si>
    <t>K08</t>
  </si>
  <si>
    <t>M10 6 KÖŞE KAPAK</t>
  </si>
  <si>
    <t>M12 6 KÖŞE KAPAK</t>
  </si>
  <si>
    <t>6x17 CİVATA</t>
  </si>
  <si>
    <t>CA6*17</t>
  </si>
  <si>
    <t>M35-A</t>
  </si>
  <si>
    <t>8x15 ANAHTAR BAŞ CİVATA</t>
  </si>
  <si>
    <t>CA8*15</t>
  </si>
  <si>
    <t>6x38 CİVATA ALTI KÖŞE</t>
  </si>
  <si>
    <t>CA6*38</t>
  </si>
  <si>
    <t xml:space="preserve">GJM 12X151 </t>
  </si>
  <si>
    <t>GJM12*151</t>
  </si>
  <si>
    <t>M35-B</t>
  </si>
  <si>
    <t xml:space="preserve">6X10 CİVATA </t>
  </si>
  <si>
    <t>CA6*10</t>
  </si>
  <si>
    <t xml:space="preserve">16X19,5 CİVATA </t>
  </si>
  <si>
    <t>CA16*19,5</t>
  </si>
  <si>
    <t>M35-C</t>
  </si>
  <si>
    <t>16X18 CİVATA 6 KÖŞE</t>
  </si>
  <si>
    <t>CA16*18</t>
  </si>
  <si>
    <t>M35-E</t>
  </si>
  <si>
    <t>10X16  CİVATA 6 KÖŞE</t>
  </si>
  <si>
    <t>CA10*16</t>
  </si>
  <si>
    <t>8x40 CİVATA</t>
  </si>
  <si>
    <t>CA8*40</t>
  </si>
  <si>
    <t>M36-A</t>
  </si>
  <si>
    <t>16X39 CİVATA 6 KÖŞE</t>
  </si>
  <si>
    <t>CA16*39</t>
  </si>
  <si>
    <t>CA10*17</t>
  </si>
  <si>
    <t>20x90 CİVATA</t>
  </si>
  <si>
    <t>CA20*90</t>
  </si>
  <si>
    <t>M24 YARIM DİŞ CİVATA (CR326 İÇİN)</t>
  </si>
  <si>
    <t>CYA24*120</t>
  </si>
  <si>
    <t>8x15 CİVATA</t>
  </si>
  <si>
    <t>M36 B-C-D</t>
  </si>
  <si>
    <t>8X10 CİVATA 6 KÖŞE</t>
  </si>
  <si>
    <t>M36-E</t>
  </si>
  <si>
    <t>6X42 CİVATA 6 KÖŞE</t>
  </si>
  <si>
    <t>CA6*42</t>
  </si>
  <si>
    <t>6X20 CİVATA</t>
  </si>
  <si>
    <t>GJM20X101,5</t>
  </si>
  <si>
    <t>GJM20*101,5</t>
  </si>
  <si>
    <t>M37-A</t>
  </si>
  <si>
    <t>8x50 CİVATA</t>
  </si>
  <si>
    <t>CA8*50</t>
  </si>
  <si>
    <t>10x15 6 KÖŞE CİVATA</t>
  </si>
  <si>
    <t>CA10*15</t>
  </si>
  <si>
    <t>8x13 CİVATA</t>
  </si>
  <si>
    <t>CA8*13</t>
  </si>
  <si>
    <t>M37 A VE B</t>
  </si>
  <si>
    <t>30X17X3 RONDELA(T3816)MONTAJ</t>
  </si>
  <si>
    <t>R30*17*3</t>
  </si>
  <si>
    <t>M37-B</t>
  </si>
  <si>
    <t>10x21 CİVATA</t>
  </si>
  <si>
    <t>CA10*21</t>
  </si>
  <si>
    <t>8x35 CİVATA</t>
  </si>
  <si>
    <t>CA8*35</t>
  </si>
  <si>
    <t>MT002 SOMUNU</t>
  </si>
  <si>
    <t>COM20*45-M16*75-120</t>
  </si>
  <si>
    <t>M37-C</t>
  </si>
  <si>
    <t>12x15 CİVATA</t>
  </si>
  <si>
    <t>CA12*15</t>
  </si>
  <si>
    <t>6X22 CİVATA</t>
  </si>
  <si>
    <t>CA6*22</t>
  </si>
  <si>
    <t>M37-E</t>
  </si>
  <si>
    <t>T1017 AÇIK OTOMAT SOMUN</t>
  </si>
  <si>
    <t>SO10</t>
  </si>
  <si>
    <t>1 KASA + 2 KUTU</t>
  </si>
  <si>
    <t>6x10 CİVATA ANAHTAR BAŞ</t>
  </si>
  <si>
    <t>M38-A</t>
  </si>
  <si>
    <t>M16 YARIM DİŞ CİVATA</t>
  </si>
  <si>
    <t>CYA16*120</t>
  </si>
  <si>
    <t>14x40 CİVATA</t>
  </si>
  <si>
    <t>CA14*40</t>
  </si>
  <si>
    <t>5x25 CİVATA</t>
  </si>
  <si>
    <t>CA5*25</t>
  </si>
  <si>
    <t>M38-B</t>
  </si>
  <si>
    <t>14x45 CİVATA</t>
  </si>
  <si>
    <t>CA14*45</t>
  </si>
  <si>
    <t>12x42 ALTI KÖŞE CİVATA</t>
  </si>
  <si>
    <t>CA12*42</t>
  </si>
  <si>
    <t>CO16*117</t>
  </si>
  <si>
    <t>M22 DÜZ SOMUN</t>
  </si>
  <si>
    <t>SD22</t>
  </si>
  <si>
    <t>M24 FİBERLİ SOMUN</t>
  </si>
  <si>
    <t>M38-D</t>
  </si>
  <si>
    <t>16x90 1,5 DİŞ CİVATA</t>
  </si>
  <si>
    <t>CO16*90-1,5</t>
  </si>
  <si>
    <t>M39-A</t>
  </si>
  <si>
    <t>1 TORBA</t>
  </si>
  <si>
    <t>12x90 1,5 DİŞ CİVATA</t>
  </si>
  <si>
    <t>CO12*90-1,5</t>
  </si>
  <si>
    <t>42xM16x13 SOMUNLU RONDELA                                   T3124-M16-70-1-X MONTAJI</t>
  </si>
  <si>
    <t>SRM42*M16*13</t>
  </si>
  <si>
    <t>MT002 İÇİN PİM</t>
  </si>
  <si>
    <t>PM5,4*10</t>
  </si>
  <si>
    <t>M39-B</t>
  </si>
  <si>
    <t>M20 FİBERLİ SOMUN</t>
  </si>
  <si>
    <t>CO12*95</t>
  </si>
  <si>
    <t>M39-C</t>
  </si>
  <si>
    <t>10x15 OTOMAT SOMUN</t>
  </si>
  <si>
    <t>SO10*15</t>
  </si>
  <si>
    <t>M39-E</t>
  </si>
  <si>
    <t>M12 FİBERLİ SOMUN</t>
  </si>
  <si>
    <t>M40-A</t>
  </si>
  <si>
    <t>M20 DÜZ MONTAJ SOMUNU</t>
  </si>
  <si>
    <t>M18x70 MONTAJ SOMUNU 1,5 DİŞ (T3050 MONTAJ)</t>
  </si>
  <si>
    <t>CO18*70-1,5</t>
  </si>
  <si>
    <t>M10 FİBERLİ SOMUN</t>
  </si>
  <si>
    <t>M40-B</t>
  </si>
  <si>
    <t>M10 DİŞSİZ SOMUN</t>
  </si>
  <si>
    <t>M40-C</t>
  </si>
  <si>
    <t>12x15 OTOMAT SOMUN (T3124)</t>
  </si>
  <si>
    <t>M10 DÜZ MONTAJ SOMUNU</t>
  </si>
  <si>
    <t>SD10</t>
  </si>
  <si>
    <t>M41-A</t>
  </si>
  <si>
    <t>M14 FİBERLİ SOMUN</t>
  </si>
  <si>
    <t>M16 FİBERLİ SOMUN</t>
  </si>
  <si>
    <t>M41-B</t>
  </si>
  <si>
    <t>M16 DÜZ KISA SOMUN (T2925)</t>
  </si>
  <si>
    <t>SD16*10-1,5</t>
  </si>
  <si>
    <t>20x10,5x2 RONDELA</t>
  </si>
  <si>
    <t>R20*10,5*2</t>
  </si>
  <si>
    <t>M42-A</t>
  </si>
  <si>
    <t>M22 TIRTIKLI YAYLI RONDELA (NUMUNE)</t>
  </si>
  <si>
    <t>16x16 KAPALI OTOMAT SOMUN</t>
  </si>
  <si>
    <t>SO11</t>
  </si>
  <si>
    <t>M42-B</t>
  </si>
  <si>
    <t>16x19 OTOMAT SOMUN (ESKİ VERSİYON)</t>
  </si>
  <si>
    <t>SO09</t>
  </si>
  <si>
    <t>M42-C</t>
  </si>
  <si>
    <t>12x15 AÇIK OTOMAT SOMUN (DIŞ ÇAP 19)</t>
  </si>
  <si>
    <t>SO12*15-A</t>
  </si>
  <si>
    <t>SO8*10-A-1</t>
  </si>
  <si>
    <t>8x12 OTOMAT SOMUN</t>
  </si>
  <si>
    <t>S08*12</t>
  </si>
  <si>
    <t>M42-D</t>
  </si>
  <si>
    <t>20x20 OTOMAT SOMUN</t>
  </si>
  <si>
    <t>SO03</t>
  </si>
  <si>
    <t>M40-E ve M41-E ve M42-E</t>
  </si>
  <si>
    <t>2 KASA + 1 KOLİ</t>
  </si>
  <si>
    <t>20x20 OTOMAT SOMUN(3 MİLİM)</t>
  </si>
  <si>
    <t>M42-E</t>
  </si>
  <si>
    <t>T3797 ALT SACI</t>
  </si>
  <si>
    <t>SA48</t>
  </si>
  <si>
    <t>2 PALET</t>
  </si>
  <si>
    <t>T3797 ÇANAK</t>
  </si>
  <si>
    <t>T2637 ÇANAK</t>
  </si>
  <si>
    <t>SA10</t>
  </si>
  <si>
    <t>16X6X2,5 PASLANMAZ RONDELA</t>
  </si>
  <si>
    <t>RP16*6*2,5</t>
  </si>
  <si>
    <t>P1-A</t>
  </si>
  <si>
    <t>145x20x3 PASLANMAZ RONDELA</t>
  </si>
  <si>
    <t>RP145*20*3-AISI 304</t>
  </si>
  <si>
    <t>8x17 PASLANMAZ CİVATA</t>
  </si>
  <si>
    <t>CP8*17</t>
  </si>
  <si>
    <t>P1-B</t>
  </si>
  <si>
    <t>23x8x2 PASLANMAZ RONDELA</t>
  </si>
  <si>
    <t>5X12 PASLANMAZ CİVATA</t>
  </si>
  <si>
    <t>CP5*12-AISI 304</t>
  </si>
  <si>
    <t>P1-C</t>
  </si>
  <si>
    <t>10x25 PASLANMAZ CİVATA</t>
  </si>
  <si>
    <t>CP10*25</t>
  </si>
  <si>
    <t>8 KUTU</t>
  </si>
  <si>
    <t>8x25 PASLANMAZ CİVATA 316 KALİTE</t>
  </si>
  <si>
    <t>CP8*25-AISI 316</t>
  </si>
  <si>
    <t>P1-D</t>
  </si>
  <si>
    <t>3 KOLİ (24 KUTU)</t>
  </si>
  <si>
    <t>3 KUTU 300 ADET</t>
  </si>
  <si>
    <t>8x35 PASLANMAZ CİVATA</t>
  </si>
  <si>
    <t>CP8*35</t>
  </si>
  <si>
    <t>P1-E</t>
  </si>
  <si>
    <t>7 KUTU</t>
  </si>
  <si>
    <t>6X10 KROM CİVATA 6 KÖŞE</t>
  </si>
  <si>
    <t>CP6*10</t>
  </si>
  <si>
    <t>8x35 PASLANMAZ CİVATA 316 KALİTE</t>
  </si>
  <si>
    <t>CP8*35-316</t>
  </si>
  <si>
    <t>P2-A</t>
  </si>
  <si>
    <t>3 KUTU</t>
  </si>
  <si>
    <t>8x25 PASLANMAZ CİVATA</t>
  </si>
  <si>
    <t>CP8*25</t>
  </si>
  <si>
    <t>8 KOLİ (86 KUTU)</t>
  </si>
  <si>
    <t>8x16 PASLANMAZ CİVATA</t>
  </si>
  <si>
    <t>CP8*16</t>
  </si>
  <si>
    <t>8x18 PASLANMAZ CİVATA</t>
  </si>
  <si>
    <t>CP8*18</t>
  </si>
  <si>
    <t>10x20 PASLANMAZ CİVATA</t>
  </si>
  <si>
    <t>CP10*20</t>
  </si>
  <si>
    <t>P2-B</t>
  </si>
  <si>
    <t>1 KOLİ (5 KUTU)</t>
  </si>
  <si>
    <t>12x35 PASLANMAZ CİVATA</t>
  </si>
  <si>
    <t>CP12*35</t>
  </si>
  <si>
    <t xml:space="preserve">1 KOLİ </t>
  </si>
  <si>
    <t>6x18 PASLANMAZ CİVATA</t>
  </si>
  <si>
    <t>CP6*18</t>
  </si>
  <si>
    <t>6x8 PASLANMAZ CİVATA</t>
  </si>
  <si>
    <t>CP6*8-AISI 304</t>
  </si>
  <si>
    <t>P2-C</t>
  </si>
  <si>
    <t>SP04</t>
  </si>
  <si>
    <t>12x40 PASLANMAZ CİVATA</t>
  </si>
  <si>
    <t>CP12*40</t>
  </si>
  <si>
    <t>8x30 PASLANMAZ CİVATA</t>
  </si>
  <si>
    <t>CP8*30</t>
  </si>
  <si>
    <t>P2-D</t>
  </si>
  <si>
    <t>1 KOLİ (4 KUTU)</t>
  </si>
  <si>
    <t>10x22 PASLANMAZ CİVATA</t>
  </si>
  <si>
    <t>CP10*22</t>
  </si>
  <si>
    <t>16x45 PASLANMAZ CİVATA</t>
  </si>
  <si>
    <t>CP16*45</t>
  </si>
  <si>
    <t>P2-E</t>
  </si>
  <si>
    <t>15 KUTU</t>
  </si>
  <si>
    <t>6x12 PASLANMAZ CİVATA</t>
  </si>
  <si>
    <t>CP6*12</t>
  </si>
  <si>
    <t>P3-A</t>
  </si>
  <si>
    <t>6x20 PASLANMAZ CİVATA</t>
  </si>
  <si>
    <t>CP6*20</t>
  </si>
  <si>
    <t>3 KOLİ (36 KUTU)</t>
  </si>
  <si>
    <t>8x22 PASLANMAZ CİVATA</t>
  </si>
  <si>
    <t>CP8*22</t>
  </si>
  <si>
    <t>4 KOLİ (45 KUTU) +1 KUTU</t>
  </si>
  <si>
    <t xml:space="preserve">M10 PASLANMAZ SOMUN </t>
  </si>
  <si>
    <t>SP10</t>
  </si>
  <si>
    <t>P3-C</t>
  </si>
  <si>
    <t>2 KOLİ (14 KUTU)</t>
  </si>
  <si>
    <t xml:space="preserve">M12 PASLANMAZ SOMUN </t>
  </si>
  <si>
    <t>SP12</t>
  </si>
  <si>
    <t>8x14 PASLANMAZ CİVATA</t>
  </si>
  <si>
    <t>CP8*14</t>
  </si>
  <si>
    <t>22x8x2,5 PASLANMAZ RONDELA</t>
  </si>
  <si>
    <t>RP22*8*2,5</t>
  </si>
  <si>
    <t>P3-D</t>
  </si>
  <si>
    <t>M6 PASLANMAZ KAPAK</t>
  </si>
  <si>
    <t>KP06</t>
  </si>
  <si>
    <t>P3-E</t>
  </si>
  <si>
    <t xml:space="preserve">M12 PASLANMAZ KAPAK </t>
  </si>
  <si>
    <t>KP12</t>
  </si>
  <si>
    <t>8x40 316 KALİTE PASLANMAZ CİVATA</t>
  </si>
  <si>
    <t>CP8*40-316</t>
  </si>
  <si>
    <t>P4-A</t>
  </si>
  <si>
    <t>1 KOLİ (8 KUTU) +1 KOLİ</t>
  </si>
  <si>
    <t>24x8x2,5 PASLANMAZ RONDELA</t>
  </si>
  <si>
    <t>RP24*8*2,5</t>
  </si>
  <si>
    <t>P4-B</t>
  </si>
  <si>
    <t>96x18,8x3 PASLANMAZ RONDELA</t>
  </si>
  <si>
    <t>RP96*18,8*3</t>
  </si>
  <si>
    <t xml:space="preserve">M16 PASLANMAZ SOMUN </t>
  </si>
  <si>
    <t>SP16</t>
  </si>
  <si>
    <t>11 KUTU</t>
  </si>
  <si>
    <t>M8 PASLANMAZ KAPAK(16X1)</t>
  </si>
  <si>
    <t>KP08</t>
  </si>
  <si>
    <t>P4-C</t>
  </si>
  <si>
    <t>M6 PASLANMAZ SOMUN</t>
  </si>
  <si>
    <t>SP06</t>
  </si>
  <si>
    <t>27x8x2,5 PASLANMAZ RONDELA</t>
  </si>
  <si>
    <t>RP27*8*2,5</t>
  </si>
  <si>
    <t>P4-D</t>
  </si>
  <si>
    <t>4  ÇUVAL</t>
  </si>
  <si>
    <t>145x16x3 PASLANMAZ RONDELA</t>
  </si>
  <si>
    <t>RP145*16*3-AISI 304</t>
  </si>
  <si>
    <t>P4-E</t>
  </si>
  <si>
    <t>M10 PASLANMAZ KAPAK</t>
  </si>
  <si>
    <t>KP10</t>
  </si>
  <si>
    <t>10x30 PASLANMAZ CİVATA</t>
  </si>
  <si>
    <t>CP10*30</t>
  </si>
  <si>
    <t>P5-A</t>
  </si>
  <si>
    <t>10x27 PASLANMAZ CİVATA</t>
  </si>
  <si>
    <t>CP10*27</t>
  </si>
  <si>
    <t>8x22 ÖZEL CİVATA</t>
  </si>
  <si>
    <t>CP8*22- DIN7991</t>
  </si>
  <si>
    <t>P5-B</t>
  </si>
  <si>
    <t>70x14,7x2,5 PASLANMAZ RONDELA</t>
  </si>
  <si>
    <t>RP70*14,7*2,5</t>
  </si>
  <si>
    <t>P5-C</t>
  </si>
  <si>
    <t>4x10 PASLANMAZ CİVATA</t>
  </si>
  <si>
    <t>CP4*10</t>
  </si>
  <si>
    <t>P5-D</t>
  </si>
  <si>
    <t>HER KOLİ 5000 1 KOLİ 3050</t>
  </si>
  <si>
    <t>27x8x4 PASLANMAZ RONDELA</t>
  </si>
  <si>
    <t>RP27*8*4</t>
  </si>
  <si>
    <t>P5-E</t>
  </si>
  <si>
    <t>M16 PASLANMAZ KAPAK (26x1,5-304)</t>
  </si>
  <si>
    <t>KP16</t>
  </si>
  <si>
    <t>8x12 PASLANMAZ CİVATA</t>
  </si>
  <si>
    <t>CP8*12</t>
  </si>
  <si>
    <t>P6-A</t>
  </si>
  <si>
    <t>3 KOLİ (22 KUTU + 1 POŞET)</t>
  </si>
  <si>
    <t>47x10x3 PASLANMAZ RONDELA</t>
  </si>
  <si>
    <t>RP47*10*3</t>
  </si>
  <si>
    <t>47x12,5x2,5 PASLANMAZ RONDELA</t>
  </si>
  <si>
    <t>RP47*12,5*2,5</t>
  </si>
  <si>
    <t>P6-B</t>
  </si>
  <si>
    <t>96x20x3 PASLANMAZ RONDELA</t>
  </si>
  <si>
    <t>RP96*20*3</t>
  </si>
  <si>
    <t>16x5x2 PASLANMAZ RONDELA</t>
  </si>
  <si>
    <t>RP16*5*2</t>
  </si>
  <si>
    <t>P6-C</t>
  </si>
  <si>
    <t>37x8x2,5 PASLANMAZ RONDELA 316 KALİTE</t>
  </si>
  <si>
    <t>RP37*8*2,5-316</t>
  </si>
  <si>
    <t>37x10,5x2 PASLANMAZ RONDELA</t>
  </si>
  <si>
    <t>RP37*10,5*2-AISI 304</t>
  </si>
  <si>
    <t>P6-D</t>
  </si>
  <si>
    <t>37x12,5x2,5 PASLANMAZ RONDELA</t>
  </si>
  <si>
    <t>RP37*12,5*2,5</t>
  </si>
  <si>
    <t>65x16x3 PASLANMAZ RONDELA</t>
  </si>
  <si>
    <t>RP65*16*3</t>
  </si>
  <si>
    <t>P6-E</t>
  </si>
  <si>
    <t>47x10x2 PASLANMAZ RONDELA</t>
  </si>
  <si>
    <t>RP47*10*2</t>
  </si>
  <si>
    <t>37x8x2,5 PASLANMAZ RONDELA</t>
  </si>
  <si>
    <t>RP37*8*2,5</t>
  </si>
  <si>
    <t>P7-A</t>
  </si>
  <si>
    <t>20x8x2 PASLANMAZ RONDELA 316 KALİTE</t>
  </si>
  <si>
    <t>RP20*8*2-316</t>
  </si>
  <si>
    <t>P7-B</t>
  </si>
  <si>
    <t>P7-C</t>
  </si>
  <si>
    <t>P7-D</t>
  </si>
  <si>
    <t>37x10x2,5 PASLANMAZ RONDELA</t>
  </si>
  <si>
    <t>RP37*10*2,5</t>
  </si>
  <si>
    <t>37x8x2 PASLANMAZ RONDELA</t>
  </si>
  <si>
    <t>RP37*8*2</t>
  </si>
  <si>
    <t>27x6x2,5 PASLANMAZ RONDELA</t>
  </si>
  <si>
    <t>RP27*6*2,5</t>
  </si>
  <si>
    <t>P7-E</t>
  </si>
  <si>
    <t>47x12,5x2 PASLANMAZ RONDELA</t>
  </si>
  <si>
    <t>RP47*12,5*2-AISI 304</t>
  </si>
  <si>
    <t>P8-A</t>
  </si>
  <si>
    <t>37x10,5x2,5 PASLANMAZ RONDELA</t>
  </si>
  <si>
    <t>RP37*10,5*2,5</t>
  </si>
  <si>
    <t>P8-B</t>
  </si>
  <si>
    <t>22x6x2,5 PASLANMAZ RONDELA</t>
  </si>
  <si>
    <t>RP22*6*2,5</t>
  </si>
  <si>
    <t>28x8x2 PASLANMAZ RONDELA 316 KALİTE</t>
  </si>
  <si>
    <t>RP28*8*2-316</t>
  </si>
  <si>
    <t>P8-C</t>
  </si>
  <si>
    <t>16x8x2,5 PASLANMAZ RONDELA</t>
  </si>
  <si>
    <t>RP16*8*2,5</t>
  </si>
  <si>
    <t xml:space="preserve">1 ÇUVAL </t>
  </si>
  <si>
    <t>37x8x2 PASLANMAZ RONDELA 316 KALİTE</t>
  </si>
  <si>
    <t>RP37*8*2-316</t>
  </si>
  <si>
    <t>P8-D</t>
  </si>
  <si>
    <t>13x5x2 PASLANMAZ RONDELA</t>
  </si>
  <si>
    <t>RP13*5*2</t>
  </si>
  <si>
    <t>13x5x3 PASLANMAZ RONDELA</t>
  </si>
  <si>
    <t>RP13*5*3</t>
  </si>
  <si>
    <t>P8-E</t>
  </si>
  <si>
    <t>47x16x2,5 PASLANMAZ RONDELA</t>
  </si>
  <si>
    <t>RP47*16*2,5</t>
  </si>
  <si>
    <t>13x4x2,5 PASLANMAZ RONDELA</t>
  </si>
  <si>
    <t>RP13*4*2,5</t>
  </si>
  <si>
    <t>1 ÇUVAL +1 POŞET</t>
  </si>
  <si>
    <t>55x12,5x2 PASLANMAZ RONDELA</t>
  </si>
  <si>
    <t>RP55*12,5*2</t>
  </si>
  <si>
    <t>T2882 BORUSU</t>
  </si>
  <si>
    <t>BO16</t>
  </si>
  <si>
    <t>YUKARIDA</t>
  </si>
  <si>
    <t>1 GRİ PALET</t>
  </si>
  <si>
    <t>T2882 METALİ</t>
  </si>
  <si>
    <t>SA31</t>
  </si>
  <si>
    <t>T4166 METALİ GALVANİZLİ</t>
  </si>
  <si>
    <t>L112</t>
  </si>
  <si>
    <t>75x25x3 RONDELA</t>
  </si>
  <si>
    <t xml:space="preserve">R75*25*3 </t>
  </si>
  <si>
    <t>T2637 METALİ</t>
  </si>
  <si>
    <t>SA09</t>
  </si>
  <si>
    <t>T3609 MONTAJ MALZEMESİ</t>
  </si>
  <si>
    <t>R70*16,1*4</t>
  </si>
  <si>
    <t>1 KASA + 1 ÇUVAL GALVANİZSİZ</t>
  </si>
  <si>
    <t>RÖ88*16*10</t>
  </si>
  <si>
    <t>T3609 SACI</t>
  </si>
  <si>
    <t>SA30</t>
  </si>
  <si>
    <t>T3609 BORUSU</t>
  </si>
  <si>
    <t>BO15</t>
  </si>
  <si>
    <t>SA03</t>
  </si>
  <si>
    <t>5 KASA</t>
  </si>
  <si>
    <t>70x10x2,5 RONDELA</t>
  </si>
  <si>
    <t>R70*10*2,5</t>
  </si>
  <si>
    <t>75x12x3 RONDELA</t>
  </si>
  <si>
    <t>R75*12*3</t>
  </si>
  <si>
    <t>6 KÖŞE KAPAK</t>
  </si>
  <si>
    <t>17,5x1,5 KAPAK</t>
  </si>
  <si>
    <t>17,5 ÇANAK PUL</t>
  </si>
  <si>
    <t>15x1,5 KAPAK</t>
  </si>
  <si>
    <t>15 ÇANAK PUL</t>
  </si>
  <si>
    <t>98x18,8x3 RONDELA</t>
  </si>
  <si>
    <t>R98*18,8*3</t>
  </si>
  <si>
    <t>T2908 METALLERİ</t>
  </si>
  <si>
    <t>L073-L074-L082</t>
  </si>
  <si>
    <t>33x13x2 PASLANMAZ RONDELA</t>
  </si>
  <si>
    <t>RP33*13*2</t>
  </si>
  <si>
    <t>T4647 METALİ</t>
  </si>
  <si>
    <t>RLB360*20*41</t>
  </si>
  <si>
    <t>T3124 ÇANAK</t>
  </si>
  <si>
    <t>SA36</t>
  </si>
  <si>
    <t>T2221</t>
  </si>
  <si>
    <t>L083 (49X16X10)</t>
  </si>
  <si>
    <t>L083</t>
  </si>
  <si>
    <t>DEPO GİRİŞİNDE</t>
  </si>
  <si>
    <t>L084</t>
  </si>
  <si>
    <t>T3050 METALİ</t>
  </si>
  <si>
    <t>L085</t>
  </si>
  <si>
    <t>CO16*70-1,5</t>
  </si>
  <si>
    <t>57x14x2 RONDELA</t>
  </si>
  <si>
    <t>R57*14*2</t>
  </si>
  <si>
    <t>TARTILIP YERLEŞTİRİLMEDİ</t>
  </si>
  <si>
    <t>SRMK40*M12*15</t>
  </si>
  <si>
    <t>M10x10 KAPALI OTOMAT SOMUN</t>
  </si>
  <si>
    <t>10X30 CİVATA ACS</t>
  </si>
  <si>
    <t>10X30 CİVATA OMEGA</t>
  </si>
  <si>
    <t>YERLEŞTİRİLMEDİ</t>
  </si>
  <si>
    <t>SA28</t>
  </si>
  <si>
    <t>SA29</t>
  </si>
  <si>
    <t>SA45*SO08 KAYNAK (T3816)</t>
  </si>
  <si>
    <t>SA45*SO08</t>
  </si>
  <si>
    <t>T2925</t>
  </si>
  <si>
    <t>SA27</t>
  </si>
  <si>
    <t>SA26</t>
  </si>
  <si>
    <t>12X12 CİVATA</t>
  </si>
  <si>
    <t>CA12*12</t>
  </si>
  <si>
    <t>4 KASA</t>
  </si>
  <si>
    <t>12X40 CİVATA</t>
  </si>
  <si>
    <t>CA12*40</t>
  </si>
  <si>
    <t>10X12 CİVATA</t>
  </si>
  <si>
    <t>CA10*12</t>
  </si>
  <si>
    <t>45X45 KD M10 KARE</t>
  </si>
  <si>
    <t>8X42 CİVATA</t>
  </si>
  <si>
    <t>CA8*42</t>
  </si>
  <si>
    <t>20X50 CİVATA</t>
  </si>
  <si>
    <t>CA20*50</t>
  </si>
  <si>
    <t>16X65 CİVATA</t>
  </si>
  <si>
    <t>CA16*65</t>
  </si>
  <si>
    <t>20x45 CİVATA</t>
  </si>
  <si>
    <t>CA20*45</t>
  </si>
  <si>
    <t>16x47 CİVATA</t>
  </si>
  <si>
    <t>CA16*47</t>
  </si>
  <si>
    <t>ÜRÜNLER</t>
  </si>
  <si>
    <t>R47*10,5*2,5</t>
  </si>
  <si>
    <t>7 ÇUVAL</t>
  </si>
  <si>
    <t>95x18,8x3 RONDELA</t>
  </si>
  <si>
    <t>R95*18,8*3</t>
  </si>
  <si>
    <t>27x6x2,5 RONDELA</t>
  </si>
  <si>
    <t>R27*6*2,5</t>
  </si>
  <si>
    <t>37x8x2 RONDELA</t>
  </si>
  <si>
    <t>R37*8*2</t>
  </si>
  <si>
    <t>60x10x2,5 RONDELA</t>
  </si>
  <si>
    <t>R60*10*2,5</t>
  </si>
  <si>
    <t>40x8x2,5 RONDELA</t>
  </si>
  <si>
    <t>R40*8*2,5</t>
  </si>
  <si>
    <t>22x10x2,5 RONDELA</t>
  </si>
  <si>
    <t>R22*10*2,5</t>
  </si>
  <si>
    <t>61x12,5x2,5 RONDELA</t>
  </si>
  <si>
    <t>R61*12,5*2,5</t>
  </si>
  <si>
    <t>16x6x2,5 RONDELA</t>
  </si>
  <si>
    <t>R16*6*2,5</t>
  </si>
  <si>
    <t>M44-C</t>
  </si>
  <si>
    <t>48x8x2 RONDELA</t>
  </si>
  <si>
    <t>R48*8*2</t>
  </si>
  <si>
    <t>22x4x2,5 RONDELA</t>
  </si>
  <si>
    <t>R22*4*2,5</t>
  </si>
  <si>
    <t>M45-B</t>
  </si>
  <si>
    <t>M45-C</t>
  </si>
  <si>
    <t>36x8x2,5 RONDELA</t>
  </si>
  <si>
    <t>R36*8*2,5</t>
  </si>
  <si>
    <t>22x10,5x2 RONDELA</t>
  </si>
  <si>
    <t>R22*10,5*2</t>
  </si>
  <si>
    <t>60x12,5x2,5 RONDELA</t>
  </si>
  <si>
    <t>R60*12,5*2,5</t>
  </si>
  <si>
    <t>M46-B</t>
  </si>
  <si>
    <t>27x10x2,5 RONDELA</t>
  </si>
  <si>
    <t>R27*10*2,5</t>
  </si>
  <si>
    <t>27x6x2 RONDELA</t>
  </si>
  <si>
    <t>R27*6*2</t>
  </si>
  <si>
    <t>M46-C</t>
  </si>
  <si>
    <t>56x12,5x2,5 RONDELA</t>
  </si>
  <si>
    <t>R56*12,5*2,5</t>
  </si>
  <si>
    <t>56x8x2,5 RONDELA</t>
  </si>
  <si>
    <t>R56*8*2,5</t>
  </si>
  <si>
    <t>M47-B</t>
  </si>
  <si>
    <t>37x8x3,5 RONDELA</t>
  </si>
  <si>
    <t>R37*8*3,5</t>
  </si>
  <si>
    <t>48x10x2 RONDELA</t>
  </si>
  <si>
    <t>R48*10*2</t>
  </si>
  <si>
    <t>M47-C</t>
  </si>
  <si>
    <t>47x10x2 RONDELA</t>
  </si>
  <si>
    <t>R47*10*2</t>
  </si>
  <si>
    <t>25x8x3 RONDELA</t>
  </si>
  <si>
    <t>R25*8*3</t>
  </si>
  <si>
    <t>24x6x2,5 RONDELA</t>
  </si>
  <si>
    <t>M48-B</t>
  </si>
  <si>
    <t>65x14,7x2,5 RONDELA</t>
  </si>
  <si>
    <t>R65*14,7*2,5</t>
  </si>
  <si>
    <t>37x10x3,5 RONDELA</t>
  </si>
  <si>
    <t>R37*10*3,5</t>
  </si>
  <si>
    <t>47x14,7x2,5 RONDELA</t>
  </si>
  <si>
    <t>R47*14,7*2,5</t>
  </si>
  <si>
    <t>47x10x3 RONDELA</t>
  </si>
  <si>
    <t>R47*10*3</t>
  </si>
  <si>
    <t>56x12x3,5 RONDELA</t>
  </si>
  <si>
    <t>R56*12*3,5</t>
  </si>
  <si>
    <t>M49-B</t>
  </si>
  <si>
    <t>13 ÇUVAL</t>
  </si>
  <si>
    <t>56x14,5x2,5 RONDELA</t>
  </si>
  <si>
    <t>R56*14,5*2,5</t>
  </si>
  <si>
    <t>70x14,7x2 RONDELA</t>
  </si>
  <si>
    <t>R70*14,7*2</t>
  </si>
  <si>
    <t>60x12x2,5 RONDELA</t>
  </si>
  <si>
    <t>R60*12*2,5</t>
  </si>
  <si>
    <t>M49-C</t>
  </si>
  <si>
    <t>65x12x2,5 RONDELA</t>
  </si>
  <si>
    <t>R65*12*2,5</t>
  </si>
  <si>
    <t>27x12,5x2,5 RONDELA</t>
  </si>
  <si>
    <t>R27*12,5*2,5</t>
  </si>
  <si>
    <t>M50-B</t>
  </si>
  <si>
    <t>16x6x2 RONDELA</t>
  </si>
  <si>
    <t>R16*6*2</t>
  </si>
  <si>
    <t>65x12x3,5 RONDELA</t>
  </si>
  <si>
    <t>M50-C</t>
  </si>
  <si>
    <t>65x10x3,5 RONDELA</t>
  </si>
  <si>
    <t>R65*10*3,5</t>
  </si>
  <si>
    <t>196x14x2,5 RONDELA</t>
  </si>
  <si>
    <t>RL196*14*2,5</t>
  </si>
  <si>
    <t>M51-B</t>
  </si>
  <si>
    <t>27x8x2 RONDELA</t>
  </si>
  <si>
    <t>R27*8*2</t>
  </si>
  <si>
    <t>37x6x2,5 RONDELA</t>
  </si>
  <si>
    <t>R37*6*2,5</t>
  </si>
  <si>
    <t>96x16x5 RONDELA</t>
  </si>
  <si>
    <t>RL96*16*5</t>
  </si>
  <si>
    <t>70x10x3,5 RONDELA</t>
  </si>
  <si>
    <t>R70*10*3,5</t>
  </si>
  <si>
    <t>M51-C</t>
  </si>
  <si>
    <t>27x6x3,5 RONDELA</t>
  </si>
  <si>
    <t>R27*6*3,5</t>
  </si>
  <si>
    <t>27x10x2 RONDELA</t>
  </si>
  <si>
    <t>R27*10*2</t>
  </si>
  <si>
    <t>22x5x2,5 RONDELA</t>
  </si>
  <si>
    <t>R22*5*2,5</t>
  </si>
  <si>
    <t>76x12x3 RONDELA</t>
  </si>
  <si>
    <t>R76*12*3</t>
  </si>
  <si>
    <t>M52-B</t>
  </si>
  <si>
    <t>75x12x2,5 RONDELA</t>
  </si>
  <si>
    <t>R75*12*2,5</t>
  </si>
  <si>
    <t>27x5x2,5 RONDELA</t>
  </si>
  <si>
    <t>R27*5*2,5</t>
  </si>
  <si>
    <t>M52-C</t>
  </si>
  <si>
    <t>70x10x3 RONDELA</t>
  </si>
  <si>
    <t>R70*10*3</t>
  </si>
  <si>
    <t>26x8x3 RONDELA</t>
  </si>
  <si>
    <t>R26*8*3</t>
  </si>
  <si>
    <t>53x10x2,5 RONDELA</t>
  </si>
  <si>
    <t>R53*10*2,5</t>
  </si>
  <si>
    <t>M53-B</t>
  </si>
  <si>
    <t>26x10,5x2,5 RONDELA</t>
  </si>
  <si>
    <t>R26*10,5*2,5</t>
  </si>
  <si>
    <t>75x14,7x2,5 RONDELA</t>
  </si>
  <si>
    <t>R75*14,7*2,5</t>
  </si>
  <si>
    <t>22x6x3 RONDELA</t>
  </si>
  <si>
    <t>R22*6*3</t>
  </si>
  <si>
    <t>M53-C</t>
  </si>
  <si>
    <t>75x14x2,5 RONDELA</t>
  </si>
  <si>
    <t>R75*14*2,5</t>
  </si>
  <si>
    <t>M54-B</t>
  </si>
  <si>
    <t>M54-C</t>
  </si>
  <si>
    <t>56x10x4 RONDELA</t>
  </si>
  <si>
    <t>R56*10*4</t>
  </si>
  <si>
    <t>90x16x3 RONDELA</t>
  </si>
  <si>
    <t>R90*16*3</t>
  </si>
  <si>
    <t>27x10x3,5 RONDELA</t>
  </si>
  <si>
    <t>R27*10*3,5</t>
  </si>
  <si>
    <t>56x10x3 RONDELA</t>
  </si>
  <si>
    <t>R56*10*3</t>
  </si>
  <si>
    <t>37x10x2 RONDELA</t>
  </si>
  <si>
    <t>R37*10*2</t>
  </si>
  <si>
    <t>70x18,8x3 RONDELA</t>
  </si>
  <si>
    <t>27x10,5x2 PASLANMAZ RONDELA</t>
  </si>
  <si>
    <t>70x12x2,5 RONDELA</t>
  </si>
  <si>
    <t>SP08</t>
  </si>
  <si>
    <t>2 KOLİ + 3 KUTU</t>
  </si>
  <si>
    <t>12xm4x4 PASLANMAZ KAPAKLI SOMUN,</t>
  </si>
  <si>
    <t>SRMK12*M4*4</t>
  </si>
  <si>
    <t>T3813 METALİ</t>
  </si>
  <si>
    <t>8x20 PASLANMAZ CİVATA - 316 KALİTE</t>
  </si>
  <si>
    <t>CP8*20-316</t>
  </si>
  <si>
    <t>1 KOLİ (7 KUTU +1 POŞET)</t>
  </si>
  <si>
    <t>T4693 ÇANAĞI (İÇ ÇAP 14,8)</t>
  </si>
  <si>
    <t>SA55</t>
  </si>
  <si>
    <t>06 01 2026 ALINDI</t>
  </si>
  <si>
    <t>58x10x2,5 RONDELA</t>
  </si>
  <si>
    <t>R58*10*2,5</t>
  </si>
  <si>
    <t>16x8x18 MONONBLOK CİVATA</t>
  </si>
  <si>
    <t>CRMA16*M8*18</t>
  </si>
  <si>
    <t>3 KOLİ 5550</t>
  </si>
  <si>
    <t>T2221 ALT SACI</t>
  </si>
  <si>
    <t>07 01 2026 da alınmış</t>
  </si>
  <si>
    <t>T3361 ALT SACI (KUMLANMIŞ)</t>
  </si>
  <si>
    <t>SA41</t>
  </si>
  <si>
    <t>6X8 PASLANMAZ Cİ,VATA</t>
  </si>
  <si>
    <t>56x10x2,5 PASLANMAZ RONDELA</t>
  </si>
  <si>
    <t>RP56*10*2,5</t>
  </si>
  <si>
    <t>12 01 2026</t>
  </si>
  <si>
    <t>9xM4x4 PİRİNÇ KAPLAMA</t>
  </si>
  <si>
    <t>SRMKCU9*M4*4</t>
  </si>
  <si>
    <t>2 ÇUVAL + 1 POŞET</t>
  </si>
  <si>
    <t>1 ÇUVAL  18000</t>
  </si>
  <si>
    <t>12xM4x10 MONOBLOK CİVATA</t>
  </si>
  <si>
    <t>CRMA12*M4*10</t>
  </si>
  <si>
    <t>2 KOLİ 16000</t>
  </si>
  <si>
    <t>17 01 2026</t>
  </si>
  <si>
    <t>8x25 CİVATA (ACS)</t>
  </si>
  <si>
    <t>35 KOLİ</t>
  </si>
  <si>
    <t>2KOLİ 3600</t>
  </si>
  <si>
    <t>22x6x18 MONOBLOK CİVATA (OMEGA)</t>
  </si>
  <si>
    <t>CRMA22*M6*18</t>
  </si>
  <si>
    <t>22xM6x18 MONOBLOK CİVATA</t>
  </si>
  <si>
    <t>46 KOLİ</t>
  </si>
  <si>
    <t>3 KOLİ 3900</t>
  </si>
  <si>
    <t>T 4216 67X22X7,5 RONDELA</t>
  </si>
  <si>
    <t>22 01 2026</t>
  </si>
  <si>
    <t>T3003 ÇANAK</t>
  </si>
  <si>
    <t>T3003 ALT SAC</t>
  </si>
  <si>
    <t>R70*18,8*3</t>
  </si>
  <si>
    <t>300  26 01 2026</t>
  </si>
  <si>
    <t>27x10,5x2,5 PASLANMAZ RONDELA</t>
  </si>
  <si>
    <t>RP27*10,5*2,5</t>
  </si>
  <si>
    <t>135  26 01 2026</t>
  </si>
  <si>
    <t>RP27*10,5*2</t>
  </si>
  <si>
    <t>644  26 01 2026</t>
  </si>
  <si>
    <t>M8 PASLANMAZ KAPAK</t>
  </si>
  <si>
    <t>300   25 01 2026</t>
  </si>
  <si>
    <t>16x20 OTOMAT SOMUN</t>
  </si>
  <si>
    <t>1500  26 01 2026</t>
  </si>
  <si>
    <t>13X6X2 PASLANMAZ RONDELA</t>
  </si>
  <si>
    <t>RP13*6*2</t>
  </si>
  <si>
    <t>500 27 01 2026</t>
  </si>
  <si>
    <t>M4 PASLANMAZ KAYNAK SOMUN</t>
  </si>
  <si>
    <t>509 27 01 2026</t>
  </si>
  <si>
    <t>T2925 ÜST SAC</t>
  </si>
  <si>
    <t>85 (27 01 2026)</t>
  </si>
  <si>
    <t>T2925 ALT SAC</t>
  </si>
  <si>
    <t>26  (27 01 2026)</t>
  </si>
  <si>
    <t>6xM3x4,5 AÇIK MONOBLOK SOMUN (T4966 SOMUNU)</t>
  </si>
  <si>
    <t>SRM6*M3*4,5</t>
  </si>
  <si>
    <t>16x20 OTOMAT SOMUN (T3003 SOMUNU)</t>
  </si>
  <si>
    <t>GJM20*150</t>
  </si>
  <si>
    <t>GJM10X82,5</t>
  </si>
  <si>
    <t>GJM10*82,5</t>
  </si>
  <si>
    <t>28 01 2026</t>
  </si>
  <si>
    <t>TEDARİKÇİ KODU</t>
  </si>
  <si>
    <t>ÜRÜN</t>
  </si>
  <si>
    <t>İSKA KODU</t>
  </si>
  <si>
    <t>PASLANMAZ KAPAKLAR İÇİNDE TEDARİKÇİ KODU AYNI SADECE SONLARINDA -304 YAZAR. İSKA KODLARIDA KP OLARAK GÖRÜLÜR.</t>
  </si>
  <si>
    <t>ÜRÜN KODU</t>
  </si>
  <si>
    <t>İÇERİĞİ</t>
  </si>
  <si>
    <t>7x1 KÖR PUL</t>
  </si>
  <si>
    <t>T3405 İÇİN-M6 KAPAK</t>
  </si>
  <si>
    <t>T1017-M10</t>
  </si>
  <si>
    <t>SA01 ÜST ÇANAK</t>
  </si>
  <si>
    <t>10x1 KÖR PUL</t>
  </si>
  <si>
    <t>M6 TABLALI SOMUN İÇİN</t>
  </si>
  <si>
    <t>SA02 ALT SAC</t>
  </si>
  <si>
    <t>M6 6 KÖŞE SOMUN PUNTA İÇİN</t>
  </si>
  <si>
    <t>T2172</t>
  </si>
  <si>
    <t>SA03 SAC</t>
  </si>
  <si>
    <t>15x1 KÖR PUL</t>
  </si>
  <si>
    <t>M8 KAPAK</t>
  </si>
  <si>
    <t>KD08</t>
  </si>
  <si>
    <t>BO06 BORUSU</t>
  </si>
  <si>
    <t>19x1 KÖR PUL</t>
  </si>
  <si>
    <t>M10 KAPAK</t>
  </si>
  <si>
    <t>RÖ109*20*10 MONTAJ MALZEMESİ</t>
  </si>
  <si>
    <t>22x1,5 KÖR PUL</t>
  </si>
  <si>
    <t>L046 MONTAJ MALZEMESİ</t>
  </si>
  <si>
    <t>8x1 KÖR PUL</t>
  </si>
  <si>
    <t>M4 KAPAK</t>
  </si>
  <si>
    <t>T2220</t>
  </si>
  <si>
    <t>SA06 ÜST SAC</t>
  </si>
  <si>
    <t>S28 SOMUNU</t>
  </si>
  <si>
    <t>16x1 ÇANAK PUL</t>
  </si>
  <si>
    <t>SA05 MONTAJ SACI</t>
  </si>
  <si>
    <t>19x1 ÇANAK PUL</t>
  </si>
  <si>
    <t>RL42*18,1*3 MONTAJ MALZEMESİ</t>
  </si>
  <si>
    <t>22x1,5 ÇANAK PUL</t>
  </si>
  <si>
    <t>SA08 ÜST SAC</t>
  </si>
  <si>
    <t>26x1,5 ÇANAK PUL</t>
  </si>
  <si>
    <t>M16 KAPAK</t>
  </si>
  <si>
    <t>K16</t>
  </si>
  <si>
    <t>S29 SOMUNU</t>
  </si>
  <si>
    <t>SA07 MONTAJ MALZEMESİ</t>
  </si>
  <si>
    <t>RL70*26,1*4 MONTAJ MALZEMESİ</t>
  </si>
  <si>
    <t>T1017-M12</t>
  </si>
  <si>
    <t>SA17 ALT SAC</t>
  </si>
  <si>
    <t>SO02 SOMUN</t>
  </si>
  <si>
    <t>GELEN KOLİ/ÇUVAL SAYISI</t>
  </si>
  <si>
    <t>GELEN TOPLAM ADET</t>
  </si>
  <si>
    <t>KOLİ/ÇUVAL İÇİ</t>
  </si>
  <si>
    <t>HER KOLİ 3000 + 1 KOLİ 1025</t>
  </si>
  <si>
    <t>27 KOLİ</t>
  </si>
  <si>
    <t>140 YEŞİL ÇUVALLAR TOPLAM 1000</t>
  </si>
  <si>
    <t>52 ÇUVAL</t>
  </si>
  <si>
    <t>HER ÇUVAL 912                    12 ÇUVAL 1000           1 ÇUVAL 500</t>
  </si>
  <si>
    <t>L099</t>
  </si>
  <si>
    <t>40*M12*15 MONOBLOK KAPAKLI SOMUN</t>
  </si>
  <si>
    <t>2 ÇUVAL+1 KOLİ</t>
  </si>
  <si>
    <t>1 KASA+5 ÇUVAL</t>
  </si>
  <si>
    <t>1 KASA+ 3 ÇUVAL</t>
  </si>
  <si>
    <t>RL82*20*4</t>
  </si>
  <si>
    <t>RL55*13*3</t>
  </si>
  <si>
    <t>RÖ80,5*8,2*5,9</t>
  </si>
  <si>
    <t>8125 + 2875</t>
  </si>
  <si>
    <t>1 KUTU 1000          2 KUTU 500</t>
  </si>
  <si>
    <t>HER ÇUVAL 2550  1 ÇUVAL 1400</t>
  </si>
  <si>
    <t>KULLANILAN MİKTAR</t>
  </si>
  <si>
    <t>KALAN KOLİ/ÇUVAL</t>
  </si>
  <si>
    <t>CRMA12*M5*8</t>
  </si>
  <si>
    <t>19 KOLİ</t>
  </si>
  <si>
    <t>73 KOLİ</t>
  </si>
  <si>
    <t>4 KUTU</t>
  </si>
  <si>
    <t>82 KOLİ</t>
  </si>
  <si>
    <t>6 KUTU</t>
  </si>
  <si>
    <t>7xM4x4 PASLANMAZ MONOBLOK SOMUN</t>
  </si>
  <si>
    <t>SRMP7xM4x4</t>
  </si>
  <si>
    <t>16xM6x35 MONOBLOK CİVATA</t>
  </si>
  <si>
    <t>CRMA16*M6*35</t>
  </si>
  <si>
    <t>CP8*20</t>
  </si>
  <si>
    <t>5x8 PARABAŞ PASLANMAZ CİVATA</t>
  </si>
  <si>
    <t>41 ÇUVAL</t>
  </si>
  <si>
    <t>43 ÇUVAL</t>
  </si>
  <si>
    <t>2 KOLİ 10 KUTU</t>
  </si>
  <si>
    <t>27 ÇUVAL</t>
  </si>
  <si>
    <t>KOLİ/ ÇUVAL SAYISI</t>
  </si>
  <si>
    <t>47x10,5x2,5 RONDELA</t>
  </si>
  <si>
    <t>ÇUVAL İÇİ</t>
  </si>
  <si>
    <t>1 PALET-5 ÇUVAL</t>
  </si>
  <si>
    <t>700+</t>
  </si>
  <si>
    <t>RL50*12,2*3</t>
  </si>
  <si>
    <t>36250 - 1 ÇUVAL 43000</t>
  </si>
  <si>
    <t>KASA 1025        KOLİ 700</t>
  </si>
  <si>
    <t>T2993 METALİ SARI KAPLAMA</t>
  </si>
  <si>
    <t>T2172 MONTAJ MALZEMESİ SARI KAPLAMA</t>
  </si>
  <si>
    <t>L046</t>
  </si>
  <si>
    <t>M12 EMNİYET SACI</t>
  </si>
  <si>
    <t>M12 MONTAJ SOMUNU</t>
  </si>
  <si>
    <t>T3361-M20 MONTAJ SOMUNU</t>
  </si>
  <si>
    <t>SA38</t>
  </si>
  <si>
    <t>T3361-M16 MONTAJ SOMUNU</t>
  </si>
  <si>
    <t>ASAŞTAN GELEN SAC (R 1202)</t>
  </si>
  <si>
    <t>-</t>
  </si>
  <si>
    <t>10 KOLİ +1 ÇUVAL</t>
  </si>
  <si>
    <t>KOLİ 600 ÇUVAL 250</t>
  </si>
  <si>
    <t>1 KOLİ + 2 ÇUVAL</t>
  </si>
  <si>
    <t>CO16*67-1,5</t>
  </si>
  <si>
    <t>16x70 MONTAJ SOMUNU 1,5 DİŞ (T2925)</t>
  </si>
  <si>
    <t>B11-D</t>
  </si>
  <si>
    <t>CP5*8</t>
  </si>
  <si>
    <t>1587 1 ÇUVAL 1537</t>
  </si>
  <si>
    <t>96x16,7x3 RONDELA</t>
  </si>
  <si>
    <t>RL96*16,7*3</t>
  </si>
  <si>
    <t>3 KOLİ (30 KUTU) + 1 POŞET</t>
  </si>
  <si>
    <t>500 (POŞET 1500)</t>
  </si>
  <si>
    <t>13x8x2,5 RONDELA</t>
  </si>
  <si>
    <t>R13*8*2,5</t>
  </si>
  <si>
    <t>19 ÇUVAL</t>
  </si>
  <si>
    <t>174 KOLİ</t>
  </si>
  <si>
    <t>10x30 CİVATA OMEGA</t>
  </si>
  <si>
    <t>03 02 2026</t>
  </si>
  <si>
    <t>R16*8,40*1,50</t>
  </si>
  <si>
    <t>96x16x3 RONDELA</t>
  </si>
  <si>
    <t>RL96*16*6</t>
  </si>
  <si>
    <t>02 02 2026</t>
  </si>
  <si>
    <t>SA35</t>
  </si>
  <si>
    <t>AL10</t>
  </si>
  <si>
    <t>NR677</t>
  </si>
  <si>
    <t>M15-C</t>
  </si>
  <si>
    <t>T3049 METALİ</t>
  </si>
  <si>
    <t>T3434-T3436 ALÜMİNYUM</t>
  </si>
  <si>
    <t>LB0001</t>
  </si>
  <si>
    <t>9xM4x4 PİRİNÇ</t>
  </si>
  <si>
    <t>180 KOLİ</t>
  </si>
  <si>
    <t>srm27*m6</t>
  </si>
  <si>
    <t>RL56,5*13,8*2</t>
  </si>
  <si>
    <t>SO10 SOMUN</t>
  </si>
  <si>
    <t>SA16 ÜST ÇANAK</t>
  </si>
  <si>
    <t>SA15 MONTAJ MALZEMESİ</t>
  </si>
  <si>
    <t>T1433</t>
  </si>
  <si>
    <t>SA13 SAC</t>
  </si>
  <si>
    <t>BO05 BORUSU</t>
  </si>
  <si>
    <t>RÖ74*16*8 MONTAJ MALZEMESİ</t>
  </si>
  <si>
    <t>R68*16*3 MONTAJ MALZEMESİ</t>
  </si>
  <si>
    <t>8 KOLİ+1 ÇUVAL</t>
  </si>
  <si>
    <t>CA8*24</t>
  </si>
  <si>
    <t>CA12*32</t>
  </si>
  <si>
    <t>10 ÇUVAL</t>
  </si>
  <si>
    <t>37x8x3 RONDELA</t>
  </si>
  <si>
    <t>R37*8*3</t>
  </si>
  <si>
    <t>23 ÇUVAL</t>
  </si>
  <si>
    <t>22x5x2 RONDELA</t>
  </si>
  <si>
    <t>R22*5*2</t>
  </si>
  <si>
    <t>KD08-1</t>
  </si>
  <si>
    <t>10,45x2,2 KÖR PUL</t>
  </si>
  <si>
    <t>10x12 PASLANMAZ CİVATA</t>
  </si>
  <si>
    <t>CP10*12</t>
  </si>
  <si>
    <t>14x70 PASLANMAZ CİVATA</t>
  </si>
  <si>
    <t>CP14*70</t>
  </si>
  <si>
    <t>24x8x2 PASLANMAZ RONDELA</t>
  </si>
  <si>
    <t>RP24*8*2</t>
  </si>
  <si>
    <t>T2998</t>
  </si>
  <si>
    <t>BO14 BORUSU</t>
  </si>
  <si>
    <t>RÖ81*16,1*9,5 MONTAJ MALZEMESİ</t>
  </si>
  <si>
    <t>R65*17*3 MONTAJ MALZEMESİ</t>
  </si>
  <si>
    <t>T2914-T2915</t>
  </si>
  <si>
    <t>SA24 SACI</t>
  </si>
  <si>
    <t>T2919-T2920</t>
  </si>
  <si>
    <t>SA25 SACI</t>
  </si>
  <si>
    <t>BO13 BORUSU</t>
  </si>
  <si>
    <t>SA26 SACI</t>
  </si>
  <si>
    <t>SA27 SACI</t>
  </si>
  <si>
    <t>SD16*10-1,5 (KISA OLAN) DÜZ SOMUN</t>
  </si>
  <si>
    <t>YR26*16,5*3,6 YAYLI RONDELA MONTAJ MALZEMESİ</t>
  </si>
  <si>
    <t>R30*17*3 MONTAJ MALZEMESİ</t>
  </si>
  <si>
    <t>T3003-M16</t>
  </si>
  <si>
    <t>SA28 ÇANAK</t>
  </si>
  <si>
    <t>SA29 ALT SAC</t>
  </si>
  <si>
    <t>S016*20 SOMUNU</t>
  </si>
  <si>
    <t>T3049</t>
  </si>
  <si>
    <t>SA35 SACI</t>
  </si>
  <si>
    <t>L083 MONTAJ MALZEMESİ</t>
  </si>
  <si>
    <t>L085 MONTAJ MALZEMESİ</t>
  </si>
  <si>
    <t>R31*17*2,5 MONTAJ MALZEMESİ</t>
  </si>
  <si>
    <t>SD16-1,5 DÜZ SOMUN</t>
  </si>
  <si>
    <t>T3609</t>
  </si>
  <si>
    <t>SA30 SACI</t>
  </si>
  <si>
    <t>BO15 BORUSU</t>
  </si>
  <si>
    <t>RÖ88*16*10 MONTAJ MALZEMESİ</t>
  </si>
  <si>
    <t>R70*16,3*4 MONTAJ MALZEMESİ</t>
  </si>
  <si>
    <t>T2882</t>
  </si>
  <si>
    <t>SA31 SACI</t>
  </si>
  <si>
    <t>T3050</t>
  </si>
  <si>
    <t>SA33 SACI</t>
  </si>
  <si>
    <t>SA34 SACI</t>
  </si>
  <si>
    <t>C018*70-1,5 CİVATASI</t>
  </si>
  <si>
    <t>C016*67-1,5 CİVATASI (KARE KISIM 8)</t>
  </si>
  <si>
    <t>CO16*70-1,5 CİVATASI (KARE KISIM 5)</t>
  </si>
  <si>
    <t>L084 MONTAJ MALZEMESİ</t>
  </si>
  <si>
    <t>SD18-1,5 DÜZ SOMUN</t>
  </si>
  <si>
    <t>SD18*11-1,5 (KISA OLAN) DÜZ SOMUN</t>
  </si>
  <si>
    <t>M18 MONTAJ SOMUNU</t>
  </si>
  <si>
    <t>SD18-1,5</t>
  </si>
  <si>
    <t>R34*19*3 MONTAJ MALZEMESİ</t>
  </si>
  <si>
    <t>YR29,4*19*3,5 YAYLI RONDELA MONTAJ MALZEMESİ</t>
  </si>
  <si>
    <t>T3124-M12</t>
  </si>
  <si>
    <t>SA36 ÜST SAC</t>
  </si>
  <si>
    <t>SA37 ALT SAC</t>
  </si>
  <si>
    <t>SO12*15 SOMUNU</t>
  </si>
  <si>
    <t>T3361-M16 EMNİYET SACLI</t>
  </si>
  <si>
    <t>SA39 ÜST SAC</t>
  </si>
  <si>
    <t>SA41 ALT SAC</t>
  </si>
  <si>
    <t>SA38 EMNİYET SACI MONTAJ MALZEMESİ</t>
  </si>
  <si>
    <t>S014 SOMUN</t>
  </si>
  <si>
    <t>T3361-M16</t>
  </si>
  <si>
    <t>SA40 ÜST SAC</t>
  </si>
  <si>
    <t>T3434-T3435-T3436</t>
  </si>
  <si>
    <t>SA43 SACI</t>
  </si>
  <si>
    <t>AL10 ALÜMİNYUM</t>
  </si>
  <si>
    <t>CA10*24-DIN 603 CİVATA</t>
  </si>
  <si>
    <t>T3729</t>
  </si>
  <si>
    <t>SA44 SACI</t>
  </si>
  <si>
    <t>CA10*27 CİVATASI</t>
  </si>
  <si>
    <t>L102 METALİ (3 DELİKLİ DİKDÖRTGEN)</t>
  </si>
  <si>
    <t>T3816</t>
  </si>
  <si>
    <t>SA45+SO08 SOMUN KAYNAKLI SAC</t>
  </si>
  <si>
    <t>T3797-M16</t>
  </si>
  <si>
    <t>SA48 ALT SACI</t>
  </si>
  <si>
    <t>SA51 ÜST SACI</t>
  </si>
  <si>
    <t>SO16*25 SOMUNU</t>
  </si>
  <si>
    <t>T3797-M20</t>
  </si>
  <si>
    <t>SO20*25 SOMUNU</t>
  </si>
  <si>
    <t>T2993</t>
  </si>
  <si>
    <t>SA49 SACI</t>
  </si>
  <si>
    <t>BO23 BORUSU</t>
  </si>
  <si>
    <t>RÖ110*20*10-P MONTAJ MALZEMESİ</t>
  </si>
  <si>
    <t>RL82*20*4 MONTAJ MALZEMESİ</t>
  </si>
  <si>
    <t>RÖ110*20*11 MONTAJ MALZEMESİ</t>
  </si>
  <si>
    <t>T4365</t>
  </si>
  <si>
    <t>SA50 SACI</t>
  </si>
  <si>
    <t>T4579</t>
  </si>
  <si>
    <t>SA52 SACI</t>
  </si>
  <si>
    <t>BO24 BORUSU</t>
  </si>
  <si>
    <t>BO16 BORUSU</t>
  </si>
  <si>
    <t>RL55*13*3 MONTAJ MAKZEMESİ</t>
  </si>
  <si>
    <t>RL50*12,2*3 MONTAJ MALZEMESİ</t>
  </si>
  <si>
    <t>T4692-Q12,5</t>
  </si>
  <si>
    <t>SA53 ÜST SACI (ORTA ÇAP 12,5)</t>
  </si>
  <si>
    <t>T4692-M10</t>
  </si>
  <si>
    <t>T4693-M12</t>
  </si>
  <si>
    <t>SA55 ÜST SAC (ORTA ÇAP 14,8)</t>
  </si>
  <si>
    <t>SA56 ALT SAC</t>
  </si>
  <si>
    <t>S12 SOMUN</t>
  </si>
  <si>
    <t>S10 SOMUN</t>
  </si>
  <si>
    <t>T4693-Q17</t>
  </si>
  <si>
    <t>SA57 ÜST SAC (ORTA ÇAP 17)</t>
  </si>
  <si>
    <t>T2221-M20</t>
  </si>
  <si>
    <t>SA58 MONTAJ MALZEMESİ</t>
  </si>
  <si>
    <t>T2042</t>
  </si>
  <si>
    <t>L043 METALİ 169,9*59,9 DİKDÖRTGEN</t>
  </si>
  <si>
    <t>T2171</t>
  </si>
  <si>
    <t>L045 METALİ 88*62*2 KÖŞELERİ KESİK</t>
  </si>
  <si>
    <t>SRM30*M6*6</t>
  </si>
  <si>
    <t xml:space="preserve">L054 METALİ 120*86*3 </t>
  </si>
  <si>
    <t>S34 SOMUN</t>
  </si>
  <si>
    <t>RÖ80,5*8,2*5,9 MONTAJ MALZEMESİ</t>
  </si>
  <si>
    <t>R47*10*3 MONTAJ MALZEMESİ</t>
  </si>
  <si>
    <t>T2633</t>
  </si>
  <si>
    <t>L060 METALİ 199 LUK YUVARLAK 6MM KALINLIK</t>
  </si>
  <si>
    <t>T2687</t>
  </si>
  <si>
    <t>L065 METALİ 190*106 DİKDÖRTGEN 4 DELİKLİ KALINLIK 6MM</t>
  </si>
  <si>
    <t>T3813</t>
  </si>
  <si>
    <t>L105 METALİ 125*125 4 DELİKLİ KARE</t>
  </si>
  <si>
    <t>T3862</t>
  </si>
  <si>
    <t>L107 METALİ 72*16,3*6MM RONDELA</t>
  </si>
  <si>
    <t>T4136</t>
  </si>
  <si>
    <t>L111 METALİ 115*115 KARE ORTA ÇAP 12 KÜÇÜK DELİK 4</t>
  </si>
  <si>
    <t>T4166</t>
  </si>
  <si>
    <t>L112 METALİ 160 GENİŞLİK 8MM KALINLIK</t>
  </si>
  <si>
    <t>S08 SOMUN</t>
  </si>
  <si>
    <t>R38*10,5*2 RONDELA</t>
  </si>
  <si>
    <t>T4383-M8</t>
  </si>
  <si>
    <t>L115 METALİ 100*44,5 YAN DELİKLER 7</t>
  </si>
  <si>
    <t>L116 METALİ 100*44,5 YAN DELİKLER 9</t>
  </si>
  <si>
    <t>R38*12,5*2 RONDELA</t>
  </si>
  <si>
    <t>T4384-M10</t>
  </si>
  <si>
    <t>T4385-M10</t>
  </si>
  <si>
    <t>L117 METALİ 115*49,5 YAN DELİKLER 10</t>
  </si>
  <si>
    <t>T0148</t>
  </si>
  <si>
    <t>L120 METALİ 165*60</t>
  </si>
  <si>
    <t>L121 METALİ 100*40 DİKDÖRTGEN</t>
  </si>
  <si>
    <t>T4612</t>
  </si>
  <si>
    <t>L125 METALİ BOYNUZ ŞEKLİNDE</t>
  </si>
  <si>
    <t>T4694</t>
  </si>
  <si>
    <t xml:space="preserve">L129 METALİ </t>
  </si>
  <si>
    <t>T3179</t>
  </si>
  <si>
    <t>L094 METALİ 6 KÖŞE RONDELA</t>
  </si>
  <si>
    <t>L126 + BO25 KAYNAKLI</t>
  </si>
  <si>
    <t>SRL330*70*10-M10</t>
  </si>
  <si>
    <t>L127 METALİ</t>
  </si>
  <si>
    <t>T5069</t>
  </si>
  <si>
    <t>R24*8,4*2 RONDELA</t>
  </si>
  <si>
    <t>T4590</t>
  </si>
  <si>
    <t>R36*13*2 RONDELA</t>
  </si>
  <si>
    <t xml:space="preserve">RÖ36*15*5,5 </t>
  </si>
  <si>
    <t>T3040</t>
  </si>
  <si>
    <t>T2972</t>
  </si>
  <si>
    <t>B018 BORUSU</t>
  </si>
  <si>
    <t>BO19 BORUSU</t>
  </si>
  <si>
    <t>T2846</t>
  </si>
  <si>
    <t>SO05 SOMUN</t>
  </si>
  <si>
    <t>SO07 SOMUN</t>
  </si>
  <si>
    <t>T4216</t>
  </si>
  <si>
    <t>T2170</t>
  </si>
  <si>
    <t>AL01 ALÜMİNYUM</t>
  </si>
  <si>
    <t>T3676 - İLETKEN</t>
  </si>
  <si>
    <t>SRL96*36*10-2*M10 2 DELİKLİ</t>
  </si>
  <si>
    <t>SRL96*36*10-3*M10 3 DELİKLİ</t>
  </si>
  <si>
    <t>YAY01</t>
  </si>
  <si>
    <t>YAY01 MONTAJ YAYI</t>
  </si>
  <si>
    <t>CAS10x10 (10*10 SETİSKUR) MONTAJ MALZEMESİ</t>
  </si>
  <si>
    <t>T2615</t>
  </si>
  <si>
    <t>RL110*40*3 2 DELİKLİ DİKDÖRTGEN</t>
  </si>
  <si>
    <t>T2869</t>
  </si>
  <si>
    <t>T3676 İLETKEN MONTAJ YAYI</t>
  </si>
  <si>
    <t>T3676 İLETKEN MONTAJI SETİSKUR</t>
  </si>
  <si>
    <t>CAS10*10</t>
  </si>
  <si>
    <t>KONTROLÜ DEVAM EDENLER</t>
  </si>
  <si>
    <t>PM4*6 PİM MONTAJ MALZEMESİ</t>
  </si>
  <si>
    <t>CO16*117 CİVATA</t>
  </si>
  <si>
    <t>SD16 SOMUN</t>
  </si>
  <si>
    <t>R30*17*3 RONDELA</t>
  </si>
  <si>
    <t>SA54 ALT SAC</t>
  </si>
  <si>
    <t>S35 SOMUN</t>
  </si>
  <si>
    <t>RL70*28,1*4 MONTAJ MALZEMESİ</t>
  </si>
  <si>
    <t>CRBA100*M22*35*50 CİVATA KAYNAKLI</t>
  </si>
  <si>
    <t>YR32,5*22,5*5,2 YAYLI RONDELA</t>
  </si>
  <si>
    <t>SD22 DÜZ SOMUN</t>
  </si>
  <si>
    <t>SO20*20</t>
  </si>
  <si>
    <t>M20 DÜZ SOMUN</t>
  </si>
  <si>
    <t>M41-C</t>
  </si>
  <si>
    <t>SA15</t>
  </si>
  <si>
    <t>SO02</t>
  </si>
  <si>
    <t>M16 KAYNAK SOMUN</t>
  </si>
  <si>
    <t>10x45 CİVATA</t>
  </si>
  <si>
    <t>CA10*45</t>
  </si>
  <si>
    <t>ŞUAN DEPODA DEĞİLLER GERİ GELEBİLİRLER</t>
  </si>
  <si>
    <t>CP4*16</t>
  </si>
  <si>
    <t>4x16 PASLANMAZ CİVATA</t>
  </si>
  <si>
    <t>CA8*11,5</t>
  </si>
  <si>
    <t>B3-C</t>
  </si>
  <si>
    <t xml:space="preserve">62 KOLİ </t>
  </si>
  <si>
    <t>8x25 ACS</t>
  </si>
  <si>
    <t>M35-D</t>
  </si>
  <si>
    <t>8x14 CİVATA</t>
  </si>
  <si>
    <t>12x20 CİVATA 6 KÖŞE</t>
  </si>
  <si>
    <t>5x14 CİVATA</t>
  </si>
  <si>
    <t>10x32 CİVATA</t>
  </si>
  <si>
    <t>8x55 CİVATA 6 KÖŞE</t>
  </si>
  <si>
    <t>8x38 CİVATA 6 KÖŞE</t>
  </si>
  <si>
    <t>6x16 CİVATA 6 KÖŞE</t>
  </si>
  <si>
    <t>6x20 ÖZEL CİVATA</t>
  </si>
  <si>
    <t>6x12 CİVATA 6 KÖŞE</t>
  </si>
  <si>
    <t>16x37,5 CİVATA</t>
  </si>
  <si>
    <t>13xM4x12 MONOBLOK CİVATA</t>
  </si>
  <si>
    <t>32x10,5x2,5 RONDELA</t>
  </si>
  <si>
    <t>R32*10,5*2,5</t>
  </si>
  <si>
    <t>SD12</t>
  </si>
  <si>
    <t>KASA 6732</t>
  </si>
  <si>
    <t>R22*6*2,5</t>
  </si>
  <si>
    <t>22x6x2,5 RONDELA</t>
  </si>
  <si>
    <t>SD16-1,5</t>
  </si>
  <si>
    <t>5 02 2026</t>
  </si>
  <si>
    <t>4 02 2026</t>
  </si>
  <si>
    <t>R96*19*5</t>
  </si>
  <si>
    <t>96x19x5 RONDELA</t>
  </si>
  <si>
    <t>22x8x2,5 RONDELA</t>
  </si>
  <si>
    <t>SRMp13*M5*5</t>
  </si>
  <si>
    <t>T3361-M16 EMNİYET SACI</t>
  </si>
  <si>
    <t>T3361 EMNİYET SACI</t>
  </si>
  <si>
    <t>RP24*8*2-316</t>
  </si>
  <si>
    <t>58 KOLİ</t>
  </si>
  <si>
    <t>8 02 2026</t>
  </si>
  <si>
    <t>SRMK28,5*M6*9,5</t>
  </si>
  <si>
    <t>M16 TIRTIKLI RONDELA</t>
  </si>
  <si>
    <t>RT26*17*3</t>
  </si>
  <si>
    <t>22X1,5 ÇANAK PUL(M12 KAPAK)</t>
  </si>
  <si>
    <t>KD06-1</t>
  </si>
  <si>
    <t>7,5*1 KÖR PUL</t>
  </si>
  <si>
    <t>SRM26*M8 TABLALI SOMUN İÇİN SIKTIKÇA İLERLEYEN KAPAK</t>
  </si>
  <si>
    <t>K08-Ö</t>
  </si>
  <si>
    <t>M14 KAPAK</t>
  </si>
  <si>
    <t>K14</t>
  </si>
  <si>
    <t>28x8x2 PASLANMAZ RONDELA-316 KALİTE</t>
  </si>
  <si>
    <t>8x40 316 KALİTE PASLANMAZ CİVATA RONDELA KAYNAKLI</t>
  </si>
  <si>
    <t>1 POŞET + 1 KOLİ</t>
  </si>
  <si>
    <t>M5-C</t>
  </si>
  <si>
    <t>M4-B</t>
  </si>
  <si>
    <t>49 ÇUVAL</t>
  </si>
  <si>
    <t>RP13*4,1*2,5</t>
  </si>
  <si>
    <t>2 POŞET</t>
  </si>
  <si>
    <t>4*6 PİM</t>
  </si>
  <si>
    <t>PM4*6</t>
  </si>
  <si>
    <t>L054</t>
  </si>
  <si>
    <t>M12 DÜZ SOMUN (GALVANİZLİ)</t>
  </si>
  <si>
    <t xml:space="preserve">MT001 RONDELASI </t>
  </si>
  <si>
    <t>RÖ25*12,2*11</t>
  </si>
  <si>
    <t>8x20 CİVATA</t>
  </si>
  <si>
    <t>6x12 CİVATA</t>
  </si>
  <si>
    <t>B0038 BORUSU</t>
  </si>
  <si>
    <t>BO09</t>
  </si>
  <si>
    <t>S35</t>
  </si>
  <si>
    <t>M43-C</t>
  </si>
  <si>
    <t>T2221-M20 SOMUNU</t>
  </si>
  <si>
    <t>M43-B</t>
  </si>
  <si>
    <t>11 02 2026</t>
  </si>
  <si>
    <t>16xM6x16 MONOBLOK CİVATA</t>
  </si>
  <si>
    <t>10x24 CİVATA</t>
  </si>
  <si>
    <t>31 KOLİ</t>
  </si>
  <si>
    <t>R68*17*3</t>
  </si>
  <si>
    <t>T1433 MONTAJ GALVANİZLİ</t>
  </si>
  <si>
    <t>M37-D</t>
  </si>
  <si>
    <t>2 ÇUVAL + 2 KUTU</t>
  </si>
  <si>
    <t>12 02 2026</t>
  </si>
  <si>
    <t>SA29 ALT SAC GALVANİZLİ (T3003)</t>
  </si>
  <si>
    <t>SA56</t>
  </si>
  <si>
    <t>SA67</t>
  </si>
  <si>
    <t>T4693 İÇ ÇAP 21 EMNİYET SACI</t>
  </si>
  <si>
    <t>T4693 ALT SAC</t>
  </si>
  <si>
    <t>44 ÇUVAL</t>
  </si>
  <si>
    <t>T2305 ALT METALİ</t>
  </si>
  <si>
    <t>10x40 PASLANMAZ CİVATA</t>
  </si>
  <si>
    <t>CP10*40</t>
  </si>
  <si>
    <t>M14 KAYNAK SOMUN</t>
  </si>
  <si>
    <t>S14</t>
  </si>
  <si>
    <t>8x10 AÇIK OTOMAT SOMUN (KAFA DERİNLİĞİ 2)</t>
  </si>
  <si>
    <t>SRM16*M6*4</t>
  </si>
  <si>
    <t>787 (1 ÇUVAL 335)</t>
  </si>
  <si>
    <t>RP47*10*2,5</t>
  </si>
  <si>
    <t>787 (1 ÇUVAL 191)</t>
  </si>
  <si>
    <t>837 (1 ÇUVAL 202)</t>
  </si>
  <si>
    <t>47x10x2,5 PASLANMAZ RONDELA</t>
  </si>
  <si>
    <t>SRMP12*M4*4</t>
  </si>
  <si>
    <t>SRMP13*M5*5</t>
  </si>
  <si>
    <t>CRMA6*M3*7</t>
  </si>
  <si>
    <t>CRMA13*M5*14</t>
  </si>
  <si>
    <t>CA8*52</t>
  </si>
  <si>
    <t>CA10*24</t>
  </si>
  <si>
    <t>14 02 2026</t>
  </si>
  <si>
    <t>16 02 2026</t>
  </si>
  <si>
    <t>T2377-T2305 METALİ (L055 DEN BÜKÜLÜYOR)</t>
  </si>
  <si>
    <t>RÖ34*34*2</t>
  </si>
  <si>
    <t>RÖ34*34*7,5</t>
  </si>
  <si>
    <t>34x34 KARE RONDELA 2 MİLİM</t>
  </si>
  <si>
    <t>8x52 CİVATA</t>
  </si>
  <si>
    <t>45 ÇUVAL</t>
  </si>
  <si>
    <t>38 ÇUVAL</t>
  </si>
  <si>
    <t>M44-B</t>
  </si>
  <si>
    <t>T2221-M20 MONTAJ SACI</t>
  </si>
  <si>
    <t>12xM5x5 PASLANMAZ KAPALI SOMUN</t>
  </si>
  <si>
    <t>B13-B</t>
  </si>
  <si>
    <t>SA49</t>
  </si>
  <si>
    <t>T2993 ALT SAC BOYALI</t>
  </si>
  <si>
    <t>T2172 ALT SAC BOYALI</t>
  </si>
  <si>
    <t>T2172 ALT SACI</t>
  </si>
  <si>
    <t>P3-B</t>
  </si>
  <si>
    <t>M25-B</t>
  </si>
  <si>
    <t>SRM12*M4*7</t>
  </si>
  <si>
    <t>16xM6x4 MONOBLOK AÇIK SOMUN</t>
  </si>
  <si>
    <t>CRMA16*M6*25</t>
  </si>
  <si>
    <t>16xM6x25 MONOBLOK CİVATA</t>
  </si>
  <si>
    <t>6x25 ANAHTAR BAŞ CİVATA</t>
  </si>
  <si>
    <t>HAMURHANE DEPOSU</t>
  </si>
  <si>
    <t>350 1 ÇUVAL 400</t>
  </si>
  <si>
    <t>56500 1 ÇUVAL 53750</t>
  </si>
  <si>
    <t>SD16</t>
  </si>
  <si>
    <t>BO21 BORUSU MONTAJ MALZEMESİ</t>
  </si>
  <si>
    <t>CO16X110 MONTAJ</t>
  </si>
  <si>
    <t>CO16*110</t>
  </si>
  <si>
    <t>27X10,5x2 PASLANMAZ RONDELA</t>
  </si>
  <si>
    <t>T3361 MONTAJ TASI</t>
  </si>
  <si>
    <t>RÖ109*20*10 KAYNAKSIZ MONTAJ</t>
  </si>
  <si>
    <t xml:space="preserve">RT15*8,4*2 </t>
  </si>
  <si>
    <t>co16x117 cıvata</t>
  </si>
  <si>
    <t>M40-D</t>
  </si>
  <si>
    <t>M41-D</t>
  </si>
  <si>
    <t>81 ÇUVAL</t>
  </si>
  <si>
    <t>26xM8x12 MONOBLOK CİVATA(OMEGA)</t>
  </si>
  <si>
    <t>26X8X12 MONOBLOK CİVATA (ACS)</t>
  </si>
  <si>
    <t>27X8X13 MONOBLOK CİVATA (ACS)</t>
  </si>
  <si>
    <t>CRMA27*8*13</t>
  </si>
  <si>
    <t>B4-C</t>
  </si>
  <si>
    <t>5 KUTU</t>
  </si>
  <si>
    <t>M27-A</t>
  </si>
  <si>
    <t>16X5X16 MONOBLOK CİVATA</t>
  </si>
  <si>
    <t>70X14,7X2,5 RONDELA</t>
  </si>
  <si>
    <t>47X12,5X2 RONDELA</t>
  </si>
  <si>
    <t>58 ÇUVAL</t>
  </si>
  <si>
    <t>M26-C</t>
  </si>
  <si>
    <t>M12 TORNALANMIŞ SOMUN</t>
  </si>
  <si>
    <t>T2172 METALİ</t>
  </si>
  <si>
    <t>M28-B</t>
  </si>
  <si>
    <t>M8 16X1 ÇANAK PUL</t>
  </si>
  <si>
    <t>K8</t>
  </si>
  <si>
    <t xml:space="preserve">M37-C </t>
  </si>
  <si>
    <t>1 KASA (GALVANİZLİ)  + 2 KOLİ (GALVANİZSİZ)</t>
  </si>
  <si>
    <t>m16 düz somun galvanizli</t>
  </si>
  <si>
    <t>M16-1,5 MONTAJ SOMUNU  (T3816)</t>
  </si>
  <si>
    <t>32X10X2,5 PASLANMAZ RONDELA</t>
  </si>
  <si>
    <t>RP32*10*2,5</t>
  </si>
  <si>
    <t>GJM12X150,8</t>
  </si>
  <si>
    <t>GJM12*150,8</t>
  </si>
  <si>
    <t>M17-A</t>
  </si>
  <si>
    <t>12X4X5 (T5134) ÖZEL CİVATA</t>
  </si>
  <si>
    <t>GİRİŞTE</t>
  </si>
  <si>
    <t>M8 TIRTIKLI RONDELA</t>
  </si>
  <si>
    <t>SA53</t>
  </si>
  <si>
    <t>SA62</t>
  </si>
  <si>
    <t>SA57</t>
  </si>
  <si>
    <t>12X95 MT004 MONTAJ CİVATA</t>
  </si>
  <si>
    <t>SF12</t>
  </si>
  <si>
    <t>8X10 OTOMAT SOMUN</t>
  </si>
  <si>
    <t>SO8*10</t>
  </si>
  <si>
    <t>M24-E</t>
  </si>
  <si>
    <t>16x67 MONTAJ CİVATA 1,5 DİŞ (T3049)</t>
  </si>
  <si>
    <t>100XM22X32X50</t>
  </si>
  <si>
    <t>CRBA100*M22*32*50</t>
  </si>
  <si>
    <t>SA54</t>
  </si>
  <si>
    <t>26*02-2026</t>
  </si>
  <si>
    <t>5x16 PASLANMAZ CİVATA</t>
  </si>
  <si>
    <t>CP5*16</t>
  </si>
  <si>
    <t>10X10 PASLANMAZ MONOBLOK SOMUN</t>
  </si>
  <si>
    <t>SPO10*10</t>
  </si>
  <si>
    <t>T1462 METALİ</t>
  </si>
  <si>
    <t>94 ÇUVAL</t>
  </si>
  <si>
    <t>26x8x20 MONOBLOK CİVATA</t>
  </si>
  <si>
    <t>B10-A</t>
  </si>
  <si>
    <t>59 KOLİ</t>
  </si>
  <si>
    <t>CRMA26*M8*21</t>
  </si>
  <si>
    <t>B10-C ÖNÜ PALETTE</t>
  </si>
  <si>
    <t>166 KOLİ</t>
  </si>
  <si>
    <t>22 KOLİ</t>
  </si>
  <si>
    <t>55 KOLİ</t>
  </si>
  <si>
    <t>1 KOLİ+1 KUTU</t>
  </si>
  <si>
    <t>13X4.1X2,5 PASLANMAZ RONDELA</t>
  </si>
  <si>
    <t>96X16 PASLANMAZ KAPAK KÖR PUL</t>
  </si>
  <si>
    <t>KP96*16</t>
  </si>
  <si>
    <t>122 KOLİ</t>
  </si>
  <si>
    <t>T2993 METALİ GALVANİZSİZ</t>
  </si>
  <si>
    <t xml:space="preserve">17 KOLİ </t>
  </si>
  <si>
    <t>CRMP12*M4*10</t>
  </si>
  <si>
    <t>B2-C</t>
  </si>
  <si>
    <t>HER KOLİ 10000.BİR KOLİ 4695</t>
  </si>
  <si>
    <t>CRMP7*M4*10</t>
  </si>
  <si>
    <t>6X40 ALTIKÖŞE CİVATA</t>
  </si>
  <si>
    <t>CA6*40</t>
  </si>
  <si>
    <t>1 KOLİ:1350.1 KOLİ:1800</t>
  </si>
  <si>
    <t>B1 YANI</t>
  </si>
  <si>
    <t>M18 18X11-1,5 KISA SOMUN</t>
  </si>
  <si>
    <t>SD18*11-1,5</t>
  </si>
  <si>
    <t>B1 ve B2-A</t>
  </si>
  <si>
    <t>CRMA12*M4*5</t>
  </si>
  <si>
    <t>78 ÇUVAL</t>
  </si>
  <si>
    <t>70x16x3 RONDELA</t>
  </si>
  <si>
    <t>R70x16x3</t>
  </si>
  <si>
    <t>M18-C</t>
  </si>
  <si>
    <t>T3434-T3436 CİVATASI</t>
  </si>
  <si>
    <t>M15 VE M16-C</t>
  </si>
  <si>
    <t>12x2 KÖR PUL</t>
  </si>
  <si>
    <t>T4692 ALT SAC</t>
  </si>
  <si>
    <t>T4692 ÇANAK</t>
  </si>
  <si>
    <t>T4693 Q18,8 ÇANAK</t>
  </si>
  <si>
    <t>T4693 Q17 ÇANAK</t>
  </si>
  <si>
    <t>T4693 Q14,7 ÇANAK</t>
  </si>
  <si>
    <t>L055</t>
  </si>
  <si>
    <t>1 KOLİ + 1 KUTU</t>
  </si>
  <si>
    <t>R42*17*3</t>
  </si>
  <si>
    <t>42x17x3 RONDELA</t>
  </si>
  <si>
    <t>M24 VE M25-C</t>
  </si>
  <si>
    <t>SO08*10</t>
  </si>
  <si>
    <t>M16 (26X1,5mm)ÇANAK PUL</t>
  </si>
  <si>
    <t>CA16x47</t>
  </si>
  <si>
    <t>M6 ALTI KÖŞE KAPAK</t>
  </si>
  <si>
    <t>T4279 SIKTIKÇA İLERLEYEN KAPAK</t>
  </si>
  <si>
    <t>34x34 KARE RONDELA 7,5 MİLİM</t>
  </si>
  <si>
    <t>5x15 CİVATA</t>
  </si>
  <si>
    <t>CA5*15</t>
  </si>
  <si>
    <t>8x19 CİVATA</t>
  </si>
  <si>
    <t>CA8x19</t>
  </si>
  <si>
    <t>SF24</t>
  </si>
  <si>
    <t>SF20</t>
  </si>
  <si>
    <t>SF10</t>
  </si>
  <si>
    <t>SF14</t>
  </si>
  <si>
    <t>SF16</t>
  </si>
  <si>
    <t>SD23 (KOD KONTROLÜ)</t>
  </si>
  <si>
    <t>T2993-T2172 ALT SACI</t>
  </si>
  <si>
    <t>T2993 BORUSU</t>
  </si>
  <si>
    <t>BO26</t>
  </si>
  <si>
    <t>8x11,5 CİVATA</t>
  </si>
  <si>
    <t>12xM4x7 MONOBLOK SOMUN</t>
  </si>
  <si>
    <t>R96*12*2,5</t>
  </si>
  <si>
    <t>R16*7*2,5</t>
  </si>
  <si>
    <t>GJM14*83</t>
  </si>
  <si>
    <t>RP22*5*2,5</t>
  </si>
  <si>
    <t>BU01</t>
  </si>
  <si>
    <t>SA57 ÇANAK - Q18,8</t>
  </si>
  <si>
    <t>SA53 ÇANAK</t>
  </si>
  <si>
    <t>B0027 METALİ</t>
  </si>
  <si>
    <t>CRMA16*M5*16</t>
  </si>
  <si>
    <t>134 KOLİ</t>
  </si>
  <si>
    <t>89 ÇUVAL</t>
  </si>
  <si>
    <t>M12 VE M13-C</t>
  </si>
  <si>
    <t>M10-B VE C</t>
  </si>
  <si>
    <t>239 KOLİ</t>
  </si>
  <si>
    <t>S31 SOMUN</t>
  </si>
  <si>
    <t>KD08-1 KAPAK</t>
  </si>
  <si>
    <t>T2305-(45/60/75)-M8-W</t>
  </si>
  <si>
    <t>T2305-(45/75)-M8-Q</t>
  </si>
  <si>
    <t>2 KASA + 4 KOLİ</t>
  </si>
  <si>
    <t>8x10 AÇIK OTOMAT SOMUN TRW DEN NUMUNE</t>
  </si>
  <si>
    <t>96X12X2,5 RONDELA</t>
  </si>
  <si>
    <t>M17-B</t>
  </si>
  <si>
    <t>22X5X2,5 PASLANMAZ RONDELA</t>
  </si>
  <si>
    <t>37X10X2,5 PASLANMAZ 316 KALİTE RONDELA</t>
  </si>
  <si>
    <t>56X10X2,5 PASLANMAZ RONDELA 316 KALİTE</t>
  </si>
  <si>
    <t>56X10X2,5 PASLANMAZ RONDELA 304 KALİTE</t>
  </si>
  <si>
    <t>RP56*10*2,6</t>
  </si>
  <si>
    <t>90X18.8X3 RONDELA</t>
  </si>
  <si>
    <t>R90*18.8*3</t>
  </si>
  <si>
    <t>120X21.7X3 RONDELA</t>
  </si>
  <si>
    <t>R120*21.7*3</t>
  </si>
  <si>
    <t>16X7X2,5 RONDELA</t>
  </si>
  <si>
    <t>BO23</t>
  </si>
  <si>
    <t>M23-C</t>
  </si>
  <si>
    <t>6X14 PASLANMAZ CİVATA</t>
  </si>
  <si>
    <t>M18-E</t>
  </si>
  <si>
    <t>2 KUTU+1 POŞET</t>
  </si>
  <si>
    <t>10X29 PASLANMAZ CİVATA</t>
  </si>
  <si>
    <t>10X29 PASLANMAZ CİVATA 316 KALİTE</t>
  </si>
  <si>
    <t>10X22PASLANMAZ CİVATA 316 KALİTE</t>
  </si>
  <si>
    <t>4 ÇUVAL + 1 KASA</t>
  </si>
  <si>
    <t>1 KASA+1 KASA</t>
  </si>
  <si>
    <t>2300+1000</t>
  </si>
  <si>
    <t>T2846 SO05 SOMUNU</t>
  </si>
  <si>
    <t>SO05</t>
  </si>
  <si>
    <t>M17-E</t>
  </si>
  <si>
    <t>T2846 SO07 SOMUNU</t>
  </si>
  <si>
    <t>SO07</t>
  </si>
  <si>
    <t>28 KOLİ</t>
  </si>
  <si>
    <t>28X8X2,5 RONDELA</t>
  </si>
  <si>
    <t>RL28*8*2,5</t>
  </si>
  <si>
    <t>10ÇUVAL</t>
  </si>
  <si>
    <t>T2305 SOMUNU (S34)</t>
  </si>
  <si>
    <t>S34</t>
  </si>
  <si>
    <t>SA37</t>
  </si>
  <si>
    <t>BOYAHANE ALDI 05 03 2026</t>
  </si>
  <si>
    <t>10X17 CİVATA</t>
  </si>
  <si>
    <t>B6-C</t>
  </si>
  <si>
    <t>22XM6X18 MONOBLOK CİVATA</t>
  </si>
  <si>
    <t>22xM6x12 MONOBLOK CİVATA</t>
  </si>
  <si>
    <t>22xM8x20 MONOBLOK CİVATA</t>
  </si>
  <si>
    <t>16xM6x6 MONOBLOK CİVATA</t>
  </si>
  <si>
    <t>26xM8x20 MONOBLOK CİVATA</t>
  </si>
  <si>
    <t>13xM5x14 MONOBLOK CİVATA</t>
  </si>
  <si>
    <t>6xM3x7 MONOBLOK CİVATA</t>
  </si>
  <si>
    <t>9XM4X6  MONOBLOK CİVATA</t>
  </si>
  <si>
    <t>12XM4X10 PASLANMAZ MONOBLOK CİVATA</t>
  </si>
  <si>
    <t>7XM4X10 PASLANMAZ MONOBLOK CİVATA</t>
  </si>
  <si>
    <t>12xM4x8 MONOBLOK CİVATA</t>
  </si>
  <si>
    <t>16XM6X14 MONOBLOK CİVATA</t>
  </si>
  <si>
    <t>12XM5X11</t>
  </si>
  <si>
    <t>CRMA12*M5*11</t>
  </si>
  <si>
    <t>44 KOLİ</t>
  </si>
  <si>
    <t>B9-C ÖNÜ PALETTE</t>
  </si>
  <si>
    <t>47 KOLİ</t>
  </si>
  <si>
    <t>12X42 CİVATA</t>
  </si>
  <si>
    <t>12X45 CİVATA</t>
  </si>
  <si>
    <t>CA12*45</t>
  </si>
  <si>
    <t>M18-B</t>
  </si>
  <si>
    <t>B13-C YANI PALETTE</t>
  </si>
  <si>
    <t>48 ÇUVAL</t>
  </si>
  <si>
    <t>12X4X13 MONOBLOK CİVATA</t>
  </si>
  <si>
    <t>CRMA12*4*13</t>
  </si>
  <si>
    <t>23x6 TABLALI SOMUN</t>
  </si>
  <si>
    <t>8X10  CİVATA</t>
  </si>
  <si>
    <t>CA8*23</t>
  </si>
  <si>
    <t>8X23 CİVATA</t>
  </si>
  <si>
    <t>L100</t>
  </si>
  <si>
    <t>T1451 METALİ</t>
  </si>
  <si>
    <t>GJM14X83</t>
  </si>
  <si>
    <t>26XM8X21 MONOBLOK CİVATA</t>
  </si>
  <si>
    <t>CRMA26*8*21</t>
  </si>
  <si>
    <t>T 5071</t>
  </si>
  <si>
    <t>93 ADET</t>
  </si>
  <si>
    <t>T 5072</t>
  </si>
  <si>
    <t>96 ADET</t>
  </si>
  <si>
    <t>10.03 2026</t>
  </si>
  <si>
    <t>10.03 2027</t>
  </si>
  <si>
    <t xml:space="preserve">26xM8x23 MONOBLOK CİVATA </t>
  </si>
  <si>
    <t>5000  10 03 2026</t>
  </si>
  <si>
    <t>M5 KAYNAK SOMUN</t>
  </si>
  <si>
    <t>SO5</t>
  </si>
  <si>
    <t>1 ÇUVAL+1 KOLİ</t>
  </si>
  <si>
    <t>2 ÇUVAL+1 PALET</t>
  </si>
  <si>
    <t>120+1500</t>
  </si>
  <si>
    <t>6XM3X3 MONOBLOK SOMUN</t>
  </si>
  <si>
    <t>SRM6*M3*3</t>
  </si>
  <si>
    <t>B12-B</t>
  </si>
  <si>
    <t>SRM7*M4</t>
  </si>
  <si>
    <t>5XM3X4 SOMUN</t>
  </si>
  <si>
    <t>13XM5X5 PASLANMAZ SOMUN</t>
  </si>
  <si>
    <t>T2993 BORUSU (B023)</t>
  </si>
  <si>
    <t>12XM4X4 PASLANMAZ KAPALI SOMUN</t>
  </si>
  <si>
    <t>1 ÇUVAL+1 POŞET</t>
  </si>
  <si>
    <t>20X25 OTOMAT SOMUN</t>
  </si>
  <si>
    <t>SO20*25</t>
  </si>
  <si>
    <t>15 KOLİ</t>
  </si>
  <si>
    <t xml:space="preserve">T3124-M16 </t>
  </si>
  <si>
    <t>SA42 ÜST SAC</t>
  </si>
  <si>
    <t>CO16*90-1,5 CİVATA</t>
  </si>
  <si>
    <t>SD16*1,5 DÜZ SOMUN</t>
  </si>
  <si>
    <t>SRM42*M16*13 MONOBLOK AÇIK SOMUN</t>
  </si>
  <si>
    <t>SRMK40*M16*15 MONOBLOK KAPALI SOMUN</t>
  </si>
  <si>
    <t>L100 85*56,5*3 ORTA ÇAP38</t>
  </si>
  <si>
    <t>SRM33*M8*8 MONOBLOK SOMUN</t>
  </si>
  <si>
    <t>T1451</t>
  </si>
  <si>
    <t xml:space="preserve">6X16 CİVATA </t>
  </si>
  <si>
    <t>T4015 METALİ(L109)</t>
  </si>
  <si>
    <t>L109</t>
  </si>
  <si>
    <t>26xM8x23 MONOBLOK CİVATA</t>
  </si>
  <si>
    <t>CRMA26*M8*23</t>
  </si>
  <si>
    <t>120 KOLİ</t>
  </si>
  <si>
    <t>5  KOLİ</t>
  </si>
  <si>
    <t>M38-E</t>
  </si>
  <si>
    <t>12X32 CİVATA</t>
  </si>
  <si>
    <t>81X20X5 MONTAJ RONDELA</t>
  </si>
  <si>
    <t>RL81*20*5</t>
  </si>
  <si>
    <t>11 03 2026</t>
  </si>
  <si>
    <t>1 KOLİ PRESE VERİLDİ 11 03 2026</t>
  </si>
  <si>
    <t xml:space="preserve">10x25 CİVATA </t>
  </si>
  <si>
    <t>27X8X3 RONDELA</t>
  </si>
  <si>
    <t>75X14,7X2,5 RONDELA</t>
  </si>
  <si>
    <t>37X12,5X2,5 RONDELA</t>
  </si>
  <si>
    <t>R37*12,5*2,5</t>
  </si>
  <si>
    <t>M17-D</t>
  </si>
  <si>
    <t>10X22 PASLANMAZ CİVATA</t>
  </si>
  <si>
    <t>2 KOLİ(15 KUTU)</t>
  </si>
  <si>
    <t>HER KUTU 100</t>
  </si>
  <si>
    <t xml:space="preserve">M12 KAYNAK SOMUN </t>
  </si>
  <si>
    <t>13 03 2026</t>
  </si>
  <si>
    <t>T1450 METALİ(L099)</t>
  </si>
  <si>
    <t>M28-C</t>
  </si>
  <si>
    <t>1 KASA+3 ÇUVAL</t>
  </si>
  <si>
    <t>109 AD GALVANİZLİ</t>
  </si>
  <si>
    <t>53X12,5X2,5 RONDELA</t>
  </si>
  <si>
    <t>R53*12,5*2,5</t>
  </si>
  <si>
    <t xml:space="preserve"> KOLİ</t>
  </si>
  <si>
    <t xml:space="preserve">21 KOLİ </t>
  </si>
  <si>
    <t>10x17 CİVATA</t>
  </si>
  <si>
    <t>35 ÇUVAL</t>
  </si>
  <si>
    <t>8X24 CİVATA</t>
  </si>
  <si>
    <t>16X38 CİVATA</t>
  </si>
  <si>
    <t>M18-D</t>
  </si>
  <si>
    <t>24X8,4X2 RONDELA</t>
  </si>
  <si>
    <t>R24*8,4*2</t>
  </si>
  <si>
    <t>1133 ( 13.03.2026 )</t>
  </si>
  <si>
    <t>40 ÇUVAL</t>
  </si>
  <si>
    <t>200 ( 13.03.2026 )</t>
  </si>
  <si>
    <t xml:space="preserve">15 KUTU </t>
  </si>
  <si>
    <t>10x35 CİVATA</t>
  </si>
  <si>
    <t>CA10*35</t>
  </si>
  <si>
    <t>M32-C</t>
  </si>
  <si>
    <t>16X5X2,5 PASLANMAZ 316 KALİTE RONDELA</t>
  </si>
  <si>
    <t>RP16*5*2,5</t>
  </si>
  <si>
    <t>SA45+SO08 KAYNAKLI CANAK SOMUN</t>
  </si>
  <si>
    <t>20X20 AÇIK OTOMAT SOMUN</t>
  </si>
  <si>
    <t>35-A</t>
  </si>
  <si>
    <t>M12 PASLANMAZ SOMUN DÜZ</t>
  </si>
  <si>
    <t>M10X15-AAÇIK MONOBLOK SOMUN</t>
  </si>
  <si>
    <t>SO10*15-A</t>
  </si>
  <si>
    <t>SA65</t>
  </si>
  <si>
    <t xml:space="preserve"> SA65 ÇANAK</t>
  </si>
  <si>
    <t>110 KOLİ</t>
  </si>
  <si>
    <t>101 KOLİ</t>
  </si>
  <si>
    <t>34 KOLİ</t>
  </si>
  <si>
    <t>29 KOLİ</t>
  </si>
  <si>
    <t>72 ÇUVAL</t>
  </si>
  <si>
    <t xml:space="preserve">34X10,5X2 RONDELA </t>
  </si>
  <si>
    <t>R34*10,5*2</t>
  </si>
  <si>
    <t>T1451 SOMUNU 32X9 M10X1,5</t>
  </si>
  <si>
    <t>Genel Toplam</t>
  </si>
  <si>
    <t>Toplam KULLANILAN MİKTAR</t>
  </si>
  <si>
    <t>Toplam KALAN MİKTAR</t>
  </si>
  <si>
    <t>Değerler</t>
  </si>
  <si>
    <t>7XM4 PASLANMAZ SOMUN</t>
  </si>
  <si>
    <t>7XM4  SOMUN</t>
  </si>
  <si>
    <t>SRMP7*M4</t>
  </si>
  <si>
    <t>(boş)</t>
  </si>
  <si>
    <t>69 ÇUVAL</t>
  </si>
  <si>
    <t>38 KOLİ</t>
  </si>
  <si>
    <t>60 KOLİ</t>
  </si>
  <si>
    <t>28,5XM6X9,5 MONOBLOK SOMUN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</si>
</sst>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4"/>
      <color theme="1"/>
      <name val="Times New Roman"/>
      <family val="1"/>
      <charset val="162"/>
    </font>
    <font>
      <sz val="14"/>
      <name val="Times New Roman"/>
      <family val="1"/>
      <charset val="162"/>
    </font>
    <font>
      <sz val="14"/>
      <color rgb="FFFF0000"/>
      <name val="Times New Roman"/>
      <family val="1"/>
      <charset val="162"/>
    </font>
    <font>
      <b/>
      <sz val="11"/>
      <color rgb="FFFF0000"/>
      <name val="Calibri"/>
      <family val="2"/>
      <charset val="162"/>
      <scheme val="minor"/>
    </font>
    <font>
      <sz val="14"/>
      <color rgb="FF000000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4"/>
      <color rgb="FFFF0000"/>
      <name val="Times New Roman"/>
      <family val="1"/>
      <charset val="162"/>
    </font>
    <font>
      <b/>
      <i/>
      <sz val="14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16" fontId="2" fillId="0" borderId="3" xfId="0" applyNumberFormat="1" applyFont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0" fontId="0" fillId="0" borderId="3" xfId="0" applyBorder="1"/>
    <xf numFmtId="0" fontId="7" fillId="0" borderId="0" xfId="0" applyFont="1"/>
    <xf numFmtId="0" fontId="2" fillId="6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 wrapText="1"/>
    </xf>
    <xf numFmtId="0" fontId="0" fillId="6" borderId="0" xfId="0" applyFill="1"/>
    <xf numFmtId="0" fontId="6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wrapText="1"/>
    </xf>
    <xf numFmtId="0" fontId="2" fillId="5" borderId="3" xfId="0" applyFont="1" applyFill="1" applyBorder="1" applyAlignment="1">
      <alignment horizontal="left"/>
    </xf>
    <xf numFmtId="0" fontId="0" fillId="0" borderId="3" xfId="0" applyBorder="1" applyAlignment="1">
      <alignment horizontal="left" wrapText="1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1" fillId="0" borderId="3" xfId="0" applyFont="1" applyBorder="1"/>
    <xf numFmtId="3" fontId="2" fillId="6" borderId="3" xfId="0" applyNumberFormat="1" applyFont="1" applyFill="1" applyBorder="1" applyAlignment="1">
      <alignment horizontal="left"/>
    </xf>
    <xf numFmtId="0" fontId="0" fillId="6" borderId="3" xfId="0" applyFill="1" applyBorder="1" applyAlignment="1">
      <alignment horizontal="left" wrapText="1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2" borderId="1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2" borderId="8" xfId="0" applyFont="1" applyFill="1" applyBorder="1" applyAlignment="1">
      <alignment horizontal="right" wrapText="1"/>
    </xf>
    <xf numFmtId="0" fontId="2" fillId="0" borderId="8" xfId="0" applyFont="1" applyBorder="1"/>
    <xf numFmtId="0" fontId="2" fillId="0" borderId="8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0" borderId="4" xfId="0" applyFont="1" applyBorder="1" applyAlignment="1">
      <alignment horizontal="right"/>
    </xf>
    <xf numFmtId="0" fontId="2" fillId="0" borderId="8" xfId="0" applyFont="1" applyBorder="1" applyAlignment="1">
      <alignment horizontal="left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 wrapText="1"/>
    </xf>
    <xf numFmtId="0" fontId="12" fillId="0" borderId="3" xfId="0" applyFont="1" applyBorder="1"/>
    <xf numFmtId="0" fontId="0" fillId="0" borderId="3" xfId="0" applyBorder="1" applyAlignment="1">
      <alignment wrapText="1"/>
    </xf>
    <xf numFmtId="0" fontId="7" fillId="0" borderId="3" xfId="0" applyFont="1" applyBorder="1" applyAlignment="1">
      <alignment wrapText="1"/>
    </xf>
    <xf numFmtId="0" fontId="2" fillId="7" borderId="3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 wrapText="1"/>
    </xf>
    <xf numFmtId="0" fontId="12" fillId="0" borderId="3" xfId="0" applyFont="1" applyBorder="1" applyAlignment="1">
      <alignment horizontal="left"/>
    </xf>
    <xf numFmtId="0" fontId="13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" fontId="2" fillId="0" borderId="3" xfId="0" applyNumberFormat="1" applyFont="1" applyBorder="1" applyAlignment="1">
      <alignment horizontal="left" wrapText="1"/>
    </xf>
    <xf numFmtId="3" fontId="0" fillId="0" borderId="0" xfId="0" applyNumberFormat="1"/>
    <xf numFmtId="0" fontId="0" fillId="6" borderId="7" xfId="0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0" fillId="0" borderId="3" xfId="0" pivotButton="1" applyNumberFormat="1" applyBorder="1"/>
    <xf numFmtId="3" fontId="0" fillId="0" borderId="3" xfId="0" applyNumberFormat="1" applyBorder="1"/>
    <xf numFmtId="0" fontId="0" fillId="0" borderId="3" xfId="0" pivotButton="1" applyBorder="1"/>
  </cellXfs>
  <cellStyles count="1">
    <cellStyle name="Normal" xfId="0" builtinId="0"/>
  </cellStyles>
  <dxfs count="24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563788888889" createdVersion="8" refreshedVersion="8" minRefreshableVersion="3" recordCount="619" xr:uid="{09F1A811-AA13-4C68-952E-9E659C73B375}">
  <cacheSource type="worksheet">
    <worksheetSource ref="A1:I620" sheet="DEPO"/>
  </cacheSource>
  <cacheFields count="9">
    <cacheField name=" " numFmtId="0">
      <sharedItems containsBlank="1" count="591">
        <s v="16xM6x16 MONOBLOK CİVATA"/>
        <s v="7xM4x10 MONOBLOK CİVATA (KAFA KALINLIĞI 1,5)"/>
        <s v="12xM4x8 MONOBLOK CİVATA"/>
        <s v="12XM5X11"/>
        <s v="26xM8x16 MONOBLOK CİVATA"/>
        <s v="12xM6x23 MONOBLOK CİVATA"/>
        <s v="16xM8x19 MONOBLOK CİVATA"/>
        <s v="12XM4X10 PASLANMAZ MONOBLOK CİVATA"/>
        <s v="7XM4X10 PASLANMAZ MONOBLOK CİVATA"/>
        <s v="9xM4x8 MONOBLOK CİVATA"/>
        <s v="7xM4x10 MONOBLOK CİVATA"/>
        <s v="13xM4x12 MONOBLOK CİVATA"/>
        <s v="9xM5x6 PASLANMAZ MONOBLOK CİVATA"/>
        <s v="6xM3x7 MONOBLOK CİVATA"/>
        <s v="9XM4X6  MONOBLOK CİVATA"/>
        <s v="12xM5x15 MONOBLOK CİVATA"/>
        <s v="12xM4x10 MONOBLOK CİVATA"/>
        <s v="16xM5 TABLALI SOMUN"/>
        <s v="16xM6x25 MONOBLOK CİVATA"/>
        <s v="12xM5x14 MONOBLOK CİVATA"/>
        <s v="16xM5x12 MONOBLOK CİVATA"/>
        <s v="12xM5x12 MONOBLOK CİVATA"/>
        <s v="13x5 MONOBLOK SOMUN"/>
        <s v="26xM8x22 MONOBLOK CİVATA"/>
        <s v="26xM8x23 MONOBLOK CİVATA"/>
        <s v="12xM6x15 MONOBLOK CİVATA"/>
        <s v="23xM10x20 MONOBLOK CİVATA"/>
        <s v="13xM6x12 MONOBLOK CİVATA"/>
        <s v="26xM8x12 MONOBLOK CİVATA(OMEGA)"/>
        <s v="26xM8x25 MONOBOK CİVATA"/>
        <s v="22xM6x20 MONOBLOK CİVATA"/>
        <s v="16xM6x35 MONOBLOK CİVATA"/>
        <s v="12xM4x14 MONOBLOK CİVATA"/>
        <s v="22xM6x8 MONOBLOK CİVATA"/>
        <s v="13xM5x14 MONOBLOK CİVATA"/>
        <s v="16XM6X14 MONOBLOK CİVATA"/>
        <s v="16xM6x8 MONOBLOK CİVATA"/>
        <s v="26xM8x23 MONOBLOK CİVATA "/>
        <s v="22xM6x12 MONOBLOK CİVATA"/>
        <s v="16xM5x10 MONOBLOK CİVATA"/>
        <s v="22XM6X18 MONOBLOK CİVATA"/>
        <s v="22xM8x15 MONOBLOK CİVATA"/>
        <s v="16xM5x8 MONOBLOK CİVATA"/>
        <s v="16xM6x15 MONOBLOK CİVATA"/>
        <s v="20xM6x18 MONOBLOK CİVATA"/>
        <s v="16xM6x18 MONOBLOK CİVATA"/>
        <s v="12xM5x10 MONOBLOK CİVATA"/>
        <s v="22xM8x10 ÖZEL TOLERANS"/>
        <s v="22xM8x20 MONOBLOK CİVATA"/>
        <s v="16xM6x6 MONOBLOK CİVATA"/>
        <s v="26XM8X21 MONOBLOK CİVATA"/>
        <s v="16xM6x10 MONOBLOK CİVATA"/>
        <s v="12x4x6 MONOBLOK CİVATA"/>
        <s v="16xM6x12 MONOBLOK CİVATA"/>
        <s v="22xM6x15 MONOBLOK CİVATA"/>
        <s v="26x8x20 MONOBLOK CİVATA"/>
        <s v="22xM6x10 MONOBLOK CİVATA"/>
        <s v="26xM8x20 MONOBLOK CİVATA"/>
        <s v="16xM8x10 KAPALI MONOBLOK SOMUN"/>
        <s v="12xM4 KAPALI MONOBLOK SOMUN"/>
        <s v="16xM6x7 KAPALI MONOBLOK SOMUN"/>
        <s v="27xM8x6 KAPALI MONOBLOK SOMUN"/>
        <s v="27xM8x10 KAPALI MONOBLOK SOMUN"/>
        <s v="22xM6x10 KAPALI MONOBLOK SOMUN"/>
        <s v="27xM6 MONOBLOK SOMUN"/>
        <s v="16xM6 MONOBLOK SOMUN"/>
        <s v="12XM4X4 PASLANMAZ KAPALI SOMUN"/>
        <s v="M3 PİM"/>
        <s v="16xM5x6 MONOBLOK SOMUN"/>
        <s v="42xM16x13 SOMUNLU RONDELA                                   T3124-M16-70-1-X MONTAJI"/>
        <s v="5XM3X4 SOMUN"/>
        <s v="6XM3X3 MONOBLOK SOMUN"/>
        <s v="10,5xM4x5 MONOBLOK KAPALI SOMUN"/>
        <s v="40xM16x15 KAPALI MONOBLOK SOMUN"/>
        <s v="40*M12*15 MONOBLOK KAPAKLI SOMUN"/>
        <s v="6XM3X7,5 CİVATA"/>
        <s v="12X4X13 MONOBLOK CİVATA"/>
        <s v="12xM5x12 PASLANMAZ MONOBLOK CİVATA"/>
        <s v="16X5X16 MONOBLOK CİVATA"/>
        <s v="13XM5X5 PASLANMAZ SOMUN"/>
        <s v="12xM5x5 PASLANMAZ KAPALI SOMUN"/>
        <s v="16xM6x4 MONOBLOK AÇIK SOMUN"/>
        <s v="12X4X5 (T5134) ÖZEL CİVATA"/>
        <s v="27x8x13  LOGOLU KAYNAKLI PASLANMAZ MONOBLOK "/>
        <s v="M4 LÜK 3 DELİKLİ"/>
        <s v="7XM4  SOMUN"/>
        <s v="7XM4 PASLANMAZ SOMUN"/>
        <s v="8X10  CİVATA"/>
        <s v="27X8X13 MONOBLOK CİVATA (ACS)"/>
        <s v="26X8X12 MONOBLOK CİVATA (ACS)"/>
        <s v="12xM4x7 MONOBLOK SOMUN"/>
        <s v="12x4x15 MONOBLOK CİVATA"/>
        <s v="16x6x8 MONOBLOK CİVATA"/>
        <m/>
        <s v="M8 TIRNAKLI SOMUN"/>
        <s v="26x8 TABLALI SOMUN"/>
        <s v="M12 KAYNAK SOMUN "/>
        <s v="M16 KAYNAK SOMUN"/>
        <s v="M10 KAYNAK SOMUN"/>
        <s v="23x6 TABLALI SOMUN"/>
        <s v="8x25 CİVATA (OMEGA)"/>
        <s v="M8 KAYNAK SOMUN"/>
        <s v="M10 KARE SOMUN"/>
        <s v="13x4 TABLALI SOMUN"/>
        <s v="16x6 TABLALI SOMUN"/>
        <s v="M14 KAYNAK SOMUN"/>
        <s v="12x39 CİVATA (OMEGA)"/>
        <s v="37x12,5x3 RONDELA"/>
        <s v="27x11x2,5 RONDELA"/>
        <s v="96x14,7x2,5 RONDELA"/>
        <s v="M4 KAYNAK SOMUN"/>
        <s v="M20 SOMUN"/>
        <s v="70x14,7x2,5 RONDELA (İLK PARTİ)"/>
        <s v="96x18,8x3 RONDELA"/>
        <s v="8x25 ACS"/>
        <s v="37X12,5X2,5 RONDELA"/>
        <s v="47x14,7x2,5 RONDELA"/>
        <s v="70X14,7X2,5 RONDELA"/>
        <s v="27x8x1,5 RONDELA"/>
        <s v="22x8x2 RONDELA"/>
        <s v="32x10x2,5 RONDELA"/>
        <s v="22x6x2,5 RONDELA"/>
        <s v="24X6X2,5"/>
        <s v="22X8X2,5 RONDELA"/>
        <s v="37x8x2,5 RONDELA"/>
        <s v="8x25 CİVATA (ACS)"/>
        <s v="27X8X3 RONDELA"/>
        <s v="70x14,7x2,5 RONDELA (ÜÇÜNCÜ PARTİ)"/>
        <s v="16x8,40x1,40 RONDELA"/>
        <s v="37x12,5x2 RONDELA"/>
        <s v="47x10x3 RONDELA"/>
        <s v="96x16,7x3 RONDELA"/>
        <s v="47x10x2,5 RONDELA"/>
        <s v="96x14x3,5 RONDELA"/>
        <s v="96x16x3,5 RONDELA"/>
        <s v="70x12,5x2,5 RONDELA"/>
        <s v="56x10,5x2,5 RONDELA"/>
        <s v="65x12,5x2,5 RONDELA"/>
        <s v="38X12,5X2 RONDELA"/>
        <s v="27x8x2,5 RONDELA"/>
        <s v="47x12,5x2,5 RONDELA"/>
        <s v="36x10x2,5 RONDELA"/>
        <s v="75x12,5x2,5 RONDELA"/>
        <s v="56x14,7x2,5 RONDELA"/>
        <s v="37x10x2,5 RONDELA"/>
        <s v="32x8x2,5 RONDELA"/>
        <s v="96x16x3 RONDELA"/>
        <s v="56x12x2,5 RONDELA"/>
        <s v="6x30 CİVATA"/>
        <s v="70x12x2,3 RONDELA"/>
        <s v="37x10,5x2 RONDELA"/>
        <s v="47X12,5X2 RONDELA"/>
        <s v="70x16x3 RONDELA"/>
        <s v="47x8x2,5 RONDELA"/>
        <s v="70x12,5x2 RONDELA"/>
        <s v="47x12x2,5 RONDELA"/>
        <s v="57X18.8X2 RONDELA"/>
        <s v="12x39 CİVATA (ACS)"/>
        <s v="47x12,5x2 RONDELA (İKİNCİ PARTİ)"/>
        <s v="37x12x2,5 RONDELA"/>
        <s v="13x8x2,5 RONDELA"/>
        <s v="12x49 CİVATA"/>
        <s v="27x10,5x2 RONDELA (İKİNCİ PARTİ)"/>
        <s v="96x16x6 RONDELA"/>
        <s v="16x40 CİVATA"/>
        <s v="16x8x2,5 RONDELA"/>
        <s v="27x10,5x2,5 RONDELA"/>
        <s v="24X8,4X2 RONDELA"/>
        <s v="37x10,5x2,5 RONDELA"/>
        <s v="8X24 CİVATA"/>
        <s v="70x12x2,5 RONDELA"/>
        <s v="56x12,5x2,5 RONDELA"/>
        <s v="6x37 CİVATA"/>
        <s v="47x16x2,5 RONDELA"/>
        <s v="10X17 CİVATA"/>
        <s v="10x29 CİVATA"/>
        <s v="16x50 CİVATA"/>
        <s v="195x20x5 PASLANMAZ RONDELA"/>
        <s v="195x24,6x6 PASLANMAZ RONDELA"/>
        <s v="M22 YAYLI RONDELA"/>
        <s v="65x10x2,5 RONDELA"/>
        <s v="8x52 CİVATA"/>
        <s v="8x11,5 CİVATA"/>
        <s v="8x37 CİVATA"/>
        <s v="10x29,5 CİVATA"/>
        <s v="12x19 CİVATA"/>
        <s v="16X4X2,5RONDELA"/>
        <s v="6X35 CİVATA"/>
        <s v="8x10 CİVATA"/>
        <s v="56x10x2,5 RONDELA"/>
        <s v="10x30 CİVATA OMEGA"/>
        <s v="65X12X3,5 RONDELA"/>
        <s v="12x24 CİVATA"/>
        <s v="12x37 CİVATA"/>
        <s v="T4692 ÇANAK"/>
        <s v="T4692 ALT SAC"/>
        <s v="T4693 Q18,8 ÇANAK"/>
        <s v="T4693 Q17 ÇANAK"/>
        <s v="T4693 Q14,7 ÇANAK"/>
        <s v=" SA65 ÇANAK"/>
        <s v="10x27 CİVATA"/>
        <s v="6x56 CİVATA"/>
        <s v="10x39 CİVATA"/>
        <s v="12x35 CİVATA"/>
        <s v="10x40 CİVATA"/>
        <s v="10x57 CİVATA"/>
        <s v="8x45 CİVATA"/>
        <s v="14x30 CİVATA"/>
        <s v="T1433-T2998 SACI İÇİN"/>
        <s v="T4365 METALİ"/>
        <s v="T3813 METALİ (KARE)"/>
        <s v="16X7X2,5 RONDELA"/>
        <s v="GJM12X150,8"/>
        <s v="90X18.8X3 RONDELA"/>
        <s v="96X12X2,5 RONDELA"/>
        <s v="56X10X2,5 PASLANMAZ RONDELA 316 KALİTE"/>
        <s v="10X22 PASLANMAZ CİVATA"/>
        <s v="56X10X2,5 PASLANMAZ RONDELA 304 KALİTE"/>
        <s v="T2846 SO05 SOMUNU"/>
        <s v="GJM14X83"/>
        <s v="T2846 SO07 SOMUNU"/>
        <s v="10x32 CİVATA"/>
        <s v="12x2 KÖR PUL"/>
        <s v="M10X15-AAÇIK MONOBLOK SOMUN"/>
        <s v="53X12,5X2,5 RONDELA"/>
        <s v="38x10,5x2 RONDELA"/>
        <s v="T3434-T3436 ÜST SACI"/>
        <s v="T3434-T3436 ALÜMİNYUM"/>
        <s v="T3434-T3436 CİVATASI"/>
        <s v="16X38 CİVATA"/>
        <s v="6X14 PASLANMAZ CİVATA"/>
        <s v="10X29 PASLANMAZ CİVATA"/>
        <s v="10X29 PASLANMAZ CİVATA 316 KALİTE"/>
        <s v="10X22PASLANMAZ CİVATA 316 KALİTE"/>
        <s v="T1451 SOMUNU 32X9 M10X1,5"/>
        <s v="T1451 METALİ"/>
        <s v="75x10,5x3 RONDELA"/>
        <s v="75x16,7x2,5 RONDELA"/>
        <s v="190x24,5x4 RONDELA"/>
        <s v="M18 YAYLI RONDELA"/>
        <s v="81X20X5 MONTAJ RONDELA"/>
        <s v="34x19x3 RONDELA (T3050 MONTAJ)"/>
        <s v="47x10x6 RONDELA"/>
        <s v="100x32,5x6 T2637 MONTAJ MALZEMESİ"/>
        <s v="32x6x2,5 rondela"/>
        <s v="32x10,5x2,5 RONDELA"/>
        <s v="16x47 CİVATA"/>
        <s v="195x16x3 RONDELA"/>
        <s v="120x18,8x3 RONDELA"/>
        <s v="96x12x3 RONDELA"/>
        <s v="96x20x3 RONDELA"/>
        <s v="145x16x3 RONDELA"/>
        <s v="120x16x3 RONDELA"/>
        <s v="24x8,5x2 RONDELA"/>
        <s v="ASAŞTAN GELEN SAC (R 1202)"/>
        <s v="16x43,5 CİVATA"/>
        <s v="120X21.7X3 RONDELA"/>
        <s v="65x12x2,5 RONDELA"/>
        <s v="T2377-T2305 METALİ (L055 DEN BÜKÜLÜYOR)"/>
        <s v="T2305 ALT METALİ"/>
        <s v="65x14,7x2,5 RONDELA"/>
        <s v="120x20x3 RONDELA"/>
        <s v="145x18,8x3 RONDELA"/>
        <s v="145x24,6x4 RONDELA"/>
        <s v="195x24,5x3 RONDELA"/>
        <s v="10x22 CİVATA"/>
        <s v="10x24 CİVATA"/>
        <s v="L117"/>
        <s v="T2221 ALT SAC"/>
        <s v="16x44,5 CİVATA"/>
        <s v="8x27 CİVATA"/>
        <s v="10x28 CİVATA"/>
        <s v="75X75 KARE RONDELA(M10)"/>
        <s v="T4693 İÇ ÇAP 21 EMNİYET SACI"/>
        <s v="T1017 METALİ"/>
        <s v="8x30 CİVATA"/>
        <s v="8x20 CİVATA"/>
        <s v="T2042 METALİ"/>
        <s v="B0038 BORUSU"/>
        <s v="T2914-15 BORUSU"/>
        <s v="SRL330x70x10-M10"/>
        <s v="20X25 OTOMAT SOMUN"/>
        <s v="BO23 BORUSU"/>
        <s v="20x20 PASLANMAZ KAPALI OTOMAT SOMUN"/>
        <s v="16x19 SOMUN"/>
        <s v="42x17x3 RONDELA"/>
        <s v="T4148 KAPALI OTOMAT SOMUN"/>
        <s v="M10x10 KAPALI OTOMAT SOMUN"/>
        <s v="8X10 OTOMAT SOMUN"/>
        <s v="T3361-M16 SOMUN"/>
        <s v="16x16 PASLANMAZ KAPALI OTOMAT SOMUN"/>
        <s v="12x15 OTOMAT SOMUN (T3124)"/>
        <s v="T1462 METALİ"/>
        <s v="8x10 KAPALI OTOMAT SOMUN"/>
        <s v="T4384"/>
        <s v="T4579 MONTAJ MALZEMESİ"/>
        <s v="16x1 ÇANAK PUL"/>
        <s v="M16 (26X1,5mm)ÇANAK PUL"/>
        <s v="8x1 KÖR PUL"/>
        <s v="T3003 SOMUNU"/>
        <s v="M16 YAYLI RONDELA"/>
        <s v="M12 EMNİYET SACI"/>
        <s v="M12 MONTAJ SOMUNU"/>
        <s v="M20 YAYLI RONDELA"/>
        <s v="M20 DÜZ RONDELA"/>
        <s v="22X1,5 ÇANAK PUL(M12 KAPAK)"/>
        <s v="M10 KAPAK (19x1 ÇANAK PUL)"/>
        <s v="10x15 OTOMAT SOMUN"/>
        <s v="M8 16X1 ÇANAK PUL"/>
        <s v="M6 ALTI KÖŞE KAPAK"/>
        <s v="M6 KÖR PUL (10x1)"/>
        <s v="T4279 SIKTIKÇA İLERLEYEN KAPAK"/>
        <s v="7,5x1 KAPAK"/>
        <s v="28X8X2,5 RONDELA"/>
        <s v="28,5XM6X9,5 MONOBLOK SOMUN"/>
        <s v="T1450 METALİ(L099)"/>
        <s v="12x34 CİVATA (OMEGA)"/>
        <s v="16x49,5 CİVATA"/>
        <s v="6x14 CİVATA"/>
        <s v="16x47,5 CİVATA"/>
        <s v="12x25 CİVATA"/>
        <s v="5x12 CİVATA"/>
        <s v="8x32 CİVATA (ACS)"/>
        <s v="8x32 CİVATA (OMEGA)"/>
        <s v="10x25 CİVATA "/>
        <s v="8x12 CİVATA"/>
        <s v="10x20 CİVATA"/>
        <s v="8x14 CİVATA"/>
        <s v="16x63 CİVATA"/>
        <s v="12x22 CİVATA"/>
        <s v="6x25 ANAHTAR BAŞ CİVATA"/>
        <s v="5x20 CİVATA"/>
        <s v="6x27 CİVATA"/>
        <s v="8x22 CİVATA"/>
        <s v="12x27 CİVATA"/>
        <s v="12x36 CİVATA"/>
        <s v="M12 SOMUN ( CİVTEK)"/>
        <s v="10x14 CİVATA"/>
        <s v="6x12 CİVATA"/>
        <s v="12x30 CİVATA"/>
        <s v="8x18 CİVATA"/>
        <s v="14x37 CİVATA"/>
        <s v="M4 DÜZ SOMUN"/>
        <s v="M8 DÜZ SOMUN"/>
        <s v="8x10 AÇIK OTOMAT SOMUN TRW DEN NUMUNE"/>
        <s v="8x10 AÇIK OTOMAT SOMUN (KAFA DERİNLİĞİ 2)"/>
        <s v="6x15 CİVATA"/>
        <s v="10x35 CİVATA"/>
        <s v="16x5x2,5 RONDELA"/>
        <s v="12X42 CİVATA"/>
        <s v="12x20 CİVATA 6 KÖŞE"/>
        <s v="5x14 CİVATA"/>
        <s v="12x50 CİVATA"/>
        <s v="8x16 CİVATA"/>
        <s v="6X16 CİVATA "/>
        <s v="4x12 CİVATA"/>
        <s v="8x55 CİVATA 6 KÖŞE"/>
        <s v="8x38 CİVATA 6 KÖŞE"/>
        <s v="6x16 CİVATA 6 KÖŞE"/>
        <s v="6x20 ÖZEL CİVATA"/>
        <s v="6x12 CİVATA 6 KÖŞE"/>
        <s v="16x55,5 CİVATA"/>
        <s v="16x45 CİVATA"/>
        <s v="8x20 CİVATA ANAHTAR BAŞ"/>
        <s v="12x34 CİVATA (ACS)"/>
        <s v="5x16 CİVATA"/>
        <s v="5x15 CİVATA"/>
        <s v="16x37,5 CİVATA"/>
        <s v="M6 6 KÖŞE KAPAK"/>
        <s v="M8 6 KÖŞE KAPAK"/>
        <s v="M10 6 KÖŞE KAPAK"/>
        <s v="M12 6 KÖŞE KAPAK"/>
        <s v="20X20 AÇIK OTOMAT SOMUN"/>
        <s v="6x17 CİVATA"/>
        <s v="8x15 ANAHTAR BAŞ CİVATA"/>
        <s v="6x38 CİVATA ALTI KÖŞE"/>
        <s v="6X10 CİVATA "/>
        <s v="10x45 CİVATA"/>
        <s v="16X19,5 CİVATA "/>
        <s v="12X32 CİVATA"/>
        <s v="16X18 CİVATA 6 KÖŞE"/>
        <s v="10X16  CİVATA 6 KÖŞE"/>
        <s v="8x40 CİVATA"/>
        <s v="16X39 CİVATA 6 KÖŞE"/>
        <s v="8x50 CİVATA"/>
        <s v="20x90 CİVATA"/>
        <s v="M24 YARIM DİŞ CİVATA (CR326 İÇİN)"/>
        <s v="8x15 CİVATA"/>
        <s v="8X10 CİVATA 6 KÖŞE"/>
        <s v="6X42 CİVATA 6 KÖŞE"/>
        <s v="8X23 CİVATA"/>
        <s v="6X20 CİVATA"/>
        <s v="10x15 6 KÖŞE CİVATA"/>
        <s v="8x13 CİVATA"/>
        <s v="8x19 CİVATA"/>
        <s v="22x5x2 RONDELA"/>
        <s v="30X17X3 RONDELA(T3816)MONTAJ"/>
        <s v="8x35 CİVATA"/>
        <s v="MT002 SOMUNU"/>
        <s v="12x15 CİVATA"/>
        <s v="M18 18X11-1,5 KISA SOMUN"/>
        <s v="M18 MONTAJ SOMUNU"/>
        <s v="M5 KAYNAK SOMUN"/>
        <s v="M16-1,5 MONTAJ SOMUNU  (T3816)"/>
        <s v="M16 TIRTIKLI RONDELA"/>
        <s v="6X22 CİVATA"/>
        <s v="T1017 AÇIK OTOMAT SOMUN"/>
        <s v="6x10 CİVATA ANAHTAR BAŞ"/>
        <s v="M16 YARIM DİŞ CİVATA"/>
        <s v="14x40 CİVATA"/>
        <s v="5x25 CİVATA"/>
        <s v="14x45 CİVATA"/>
        <s v="10x21 CİVATA"/>
        <s v="12x42 ALTI KÖŞE CİVATA"/>
        <s v="6X40 ALTIKÖŞE CİVATA"/>
        <s v="M24 FİBERLİ SOMUN"/>
        <s v="M22 DÜZ SOMUN"/>
        <s v="16x90 1,5 DİŞ CİVATA"/>
        <s v="M8 TIRTIKLI RONDELA"/>
        <s v="12X95 MT004 MONTAJ CİVATA"/>
        <s v="12x90 1,5 DİŞ CİVATA"/>
        <s v="MT002 İÇİN PİM"/>
        <s v="M12 DÜZ SOMUN (GALVANİZLİ)"/>
        <s v="M20 FİBERLİ SOMUN"/>
        <s v="4*6 PİM"/>
        <s v="16x70 MONTAJ SOMUNU 1,5 DİŞ (T2925)"/>
        <s v="16x67 MONTAJ CİVATA 1,5 DİŞ (T3049)"/>
        <s v="M12 FİBERLİ SOMUN"/>
        <s v="M20 DÜZ MONTAJ SOMUNU"/>
        <s v="M18x70 MONTAJ SOMUNU 1,5 DİŞ (T3050 MONTAJ)"/>
        <s v="M10 FİBERLİ SOMUN"/>
        <s v="MT001 RONDELASI "/>
        <s v="10,45x2,2 KÖR PUL"/>
        <s v="34X10,5X2 RONDELA "/>
        <s v="co16x117 cıvata"/>
        <s v="M10 DÜZ MONTAJ SOMUNU"/>
        <s v="M14 FİBERLİ SOMUN"/>
        <s v="M16 FİBERLİ SOMUN"/>
        <s v="M16 DÜZ KISA SOMUN (T2925)"/>
        <s v="M12 TORNALANMIŞ SOMUN"/>
        <s v="M20 DÜZ SOMUN"/>
        <s v="m16 düz somun galvanizli"/>
        <s v="20x10,5x2 RONDELA"/>
        <s v="M22 TIRTIKLI YAYLI RONDELA (NUMUNE)"/>
        <s v="16x16 KAPALI OTOMAT SOMUN"/>
        <s v="T2305 SOMUNU (S34)"/>
        <s v="CO16X110 MONTAJ"/>
        <s v="12x15 AÇIK OTOMAT SOMUN (DIŞ ÇAP 19)"/>
        <s v="8x12 OTOMAT SOMUN"/>
        <s v="M10 DİŞSİZ SOMUN"/>
        <s v="20x20 OTOMAT SOMUN"/>
        <s v="20x20 OTOMAT SOMUN(3 MİLİM)"/>
        <s v="8x20 PASLANMAZ CİVATA"/>
        <s v="16X6X2,5 PASLANMAZ RONDELA"/>
        <s v="8x17 PASLANMAZ CİVATA"/>
        <s v="23x8x2 PASLANMAZ RONDELA"/>
        <s v="5X12 PASLANMAZ CİVATA"/>
        <s v="10x25 PASLANMAZ CİVATA"/>
        <s v="24x8x2,5 PASLANMAZ RONDELA"/>
        <s v="M8 PASLANMAZ SOMUN"/>
        <s v="8x35 PASLANMAZ CİVATA"/>
        <s v="6X10 KROM CİVATA 6 KÖŞE"/>
        <s v="16X5X2,5 PASLANMAZ 316 KALİTE RONDELA"/>
        <s v="8x25 PASLANMAZ CİVATA"/>
        <s v="8x16 PASLANMAZ CİVATA"/>
        <s v="8x18 PASLANMAZ CİVATA"/>
        <s v="10x20 PASLANMAZ CİVATA"/>
        <s v="12x35 PASLANMAZ CİVATA"/>
        <s v="6x18 PASLANMAZ CİVATA"/>
        <s v="6x8 PASLANMAZ CİVATA"/>
        <s v="12x40 PASLANMAZ CİVATA"/>
        <s v="4x16 PASLANMAZ CİVATA"/>
        <s v="10x12 PASLANMAZ CİVATA"/>
        <s v="14x70 PASLANMAZ CİVATA"/>
        <s v="8x30 PASLANMAZ CİVATA"/>
        <s v="5x16 PASLANMAZ CİVATA"/>
        <s v="10X10 PASLANMAZ MONOBLOK SOMUN"/>
        <s v="16x45 PASLANMAZ CİVATA"/>
        <s v="6x12 PASLANMAZ CİVATA"/>
        <s v="6x20 PASLANMAZ CİVATA"/>
        <s v="47x10x2,5 PASLANMAZ RONDELA"/>
        <s v="M10 PASLANMAZ SOMUN "/>
        <s v="M12 PASLANMAZ SOMUN "/>
        <s v="8x14 PASLANMAZ CİVATA"/>
        <s v="22x8x2,5 PASLANMAZ RONDELA"/>
        <s v="M6 PASLANMAZ KAPAK"/>
        <s v="M12 PASLANMAZ KAPAK "/>
        <s v="22X5X2,5 PASLANMAZ RONDELA"/>
        <s v="37X10X2,5 PASLANMAZ 316 KALİTE RONDELA"/>
        <s v="M12 PASLANMAZ SOMUN DÜZ"/>
        <s v="8x40 316 KALİTE PASLANMAZ CİVATA"/>
        <s v="8x40 316 KALİTE PASLANMAZ CİVATA RONDELA KAYNAKLI"/>
        <s v="96X16 PASLANMAZ KAPAK KÖR PUL"/>
        <s v="13X4.1X2,5 PASLANMAZ RONDELA"/>
        <s v="96x18,8x3 PASLANMAZ RONDELA"/>
        <s v="M8 PASLANMAZ KAPAK(16X1)"/>
        <s v="M6 PASLANMAZ SOMUN"/>
        <s v="27x8x2,5 PASLANMAZ RONDELA"/>
        <s v="M10 PASLANMAZ KAPAK"/>
        <s v="10x30 PASLANMAZ CİVATA"/>
        <s v="10x27 PASLANMAZ CİVATA"/>
        <s v="5x8 PARABAŞ PASLANMAZ CİVATA"/>
        <s v="8x22 ÖZEL CİVATA"/>
        <s v="32X10X2,5 PASLANMAZ RONDELA"/>
        <s v="70x14,7x2,5 PASLANMAZ RONDELA"/>
        <s v="4x10 PASLANMAZ CİVATA"/>
        <s v="27x8x4 PASLANMAZ RONDELA"/>
        <s v="M16 PASLANMAZ KAPAK (26x1,5-304)"/>
        <s v="8x12 PASLANMAZ CİVATA"/>
        <s v="47x10x3 PASLANMAZ RONDELA"/>
        <s v="24x8x2 PASLANMAZ RONDELA"/>
        <s v="47x12,5x2,5 PASLANMAZ RONDELA"/>
        <s v="96x20x3 PASLANMAZ RONDELA"/>
        <s v="16x5x2 PASLANMAZ RONDELA"/>
        <s v="37x8x2,5 PASLANMAZ RONDELA 316 KALİTE"/>
        <s v="20x8x2 PASLANMAZ RONDELA 316 KALİTE"/>
        <s v="37x10,5x2 PASLANMAZ RONDELA"/>
        <s v="37x12,5x2,5 PASLANMAZ RONDELA"/>
        <s v="65x16x3 PASLANMAZ RONDELA"/>
        <s v="47x10x2 PASLANMAZ RONDELA"/>
        <s v="37x8x2,5 PASLANMAZ RONDELA"/>
        <s v="27x10,5x2,5 PASLANMAZ RONDELA"/>
        <s v="27X10,5x2 PASLANMAZ RONDELA"/>
        <s v="37x10x2,5 PASLANMAZ RONDELA"/>
        <s v="37x8x2 PASLANMAZ RONDELA"/>
        <s v="27x6x2,5 PASLANMAZ RONDELA"/>
        <s v="47x12,5x2 PASLANMAZ RONDELA"/>
        <s v="37x10,5x2,5 PASLANMAZ RONDELA"/>
        <s v="22x6x2,5 PASLANMAZ RONDELA"/>
        <s v="28x8x2 PASLANMAZ RONDELA 316 KALİTE"/>
        <s v="16x8x2,5 PASLANMAZ RONDELA"/>
        <s v="37x8x2 PASLANMAZ RONDELA 316 KALİTE"/>
        <s v="13x5x2 PASLANMAZ RONDELA"/>
        <s v="13x5x3 PASLANMAZ RONDELA"/>
        <s v="47x16x2,5 PASLANMAZ RONDELA"/>
        <s v="13x4x2,5 PASLANMAZ RONDELA"/>
        <s v="28x8x2 PASLANMAZ RONDELA-316 KALİTE"/>
        <s v="55x12,5x2 PASLANMAZ RONDELA"/>
        <s v="115x115 KARE RONDELA (CRLA115*M12*37)"/>
        <s v="T2882 BORUSU"/>
        <s v="T2882 METALİ"/>
        <s v="T4166 METALİ GALVANİZLİ"/>
        <s v="75x25x3 RONDELA"/>
        <s v="T2637 METALİ"/>
        <s v="100XM22X32X50"/>
        <s v="T3609 MONTAJ MALZEMESİ"/>
        <s v="T3609 SACI"/>
        <s v="T3609 BORUSU"/>
        <s v="70x10x2,5 RONDELA"/>
        <s v="75x12x3 RONDELA"/>
        <s v="6 KÖŞE KAPAK"/>
        <s v="17,5x1,5 KAPAK"/>
        <s v="15x1,5 KAPAK"/>
        <s v="98x18,8x3 RONDELA"/>
        <s v="T2908 METALLERİ"/>
        <s v="33x13x2 PASLANMAZ RONDELA"/>
        <s v="T4647 METALİ"/>
        <s v="12x17 CİVATA"/>
        <s v="12X12 CİVATA"/>
        <s v="12X40 CİVATA"/>
        <s v="T4015 METALİ(L109)"/>
        <s v="10X12 CİVATA"/>
        <s v="45X45 KD M10 KARE"/>
        <s v="8X42 CİVATA"/>
        <s v="SA45+SO08 KAYNAKLI CANAK SOMUN"/>
        <s v="20X50 CİVATA"/>
        <s v="16X65 CİVATA"/>
        <s v="20x45 CİVATA"/>
        <s v="SA45*SO08 KAYNAK (T3816)"/>
        <s v="10X30 CİVATA ACS"/>
        <s v="T2221 MONTAJ MALZEMESİ"/>
        <s v="T3124 ÇANAK"/>
        <s v="T3361 EMNİYET SACI"/>
        <s v="SA29 ALT SAC GALVANİZLİ (T3003)"/>
        <s v="T3797 ALT SACI"/>
        <s v="T3797 ÇANAK"/>
        <s v="T2637 ÇANAK"/>
        <s v="T4693 ALT SAC"/>
        <s v="T2993-T2172 ALT SACI"/>
        <s v="T2993 BORUSU"/>
        <s v="L083 (49X16X10)"/>
        <s v="L084"/>
        <s v="T3050 METALİ"/>
        <s v="57x14x2 RONDELA"/>
        <s v="T2172 ALT SACI"/>
        <s v="B0027 METALİ"/>
        <s v="SA56 ALT SAC"/>
        <s v="SA54 ALT SAC"/>
        <s v="SA57 ÇANAK - Q18,8"/>
        <s v="SA53 ÇANAK"/>
        <s v="7XM4 OTOMAT SOMUN" u="1"/>
      </sharedItems>
    </cacheField>
    <cacheField name="NETSİS KODU" numFmtId="0">
      <sharedItems containsBlank="1" count="544">
        <s v="CRMA16*M6*16"/>
        <s v="CRMA7*M4*10"/>
        <s v="CRMA12*M4*8"/>
        <s v="CRMA12*M5*11"/>
        <s v="CRMA26*M8*16"/>
        <s v="CRMA12*M6*23"/>
        <s v="CRMA16*M8*19"/>
        <s v="CRMP12*M4*10"/>
        <s v="CRMP7*M4*10"/>
        <s v="CRMA9*M4*8"/>
        <s v="CRMA13*M4*12"/>
        <s v="CRMP9*M5*6"/>
        <s v="CRMA6*M3*7"/>
        <s v="CRMA9*M4*6"/>
        <s v="CRMA12*M5*15"/>
        <s v="CRMA12*M4*10"/>
        <s v="SRM16*M5"/>
        <s v="CRMA16*M6*25"/>
        <s v="CRMA12*M5*14"/>
        <s v="CRMA16*M5*12"/>
        <s v="CRMA12*M5*12"/>
        <s v="SRM13*M5"/>
        <s v="CRMA26*M8*22"/>
        <s v="CRMA26*M8*23"/>
        <s v="CRMA12*M6*15"/>
        <s v="CRMA23*M10*20"/>
        <s v="CRMA13*M6*12"/>
        <s v="CRMA26*M8*12"/>
        <s v="CRMA26*M8*25"/>
        <s v="CRMA22*M6*20"/>
        <s v="CRMA16*M6*35"/>
        <s v="CRMA12*M4*14"/>
        <s v="CRMA22*M6*8"/>
        <s v="CRMA13*M5*14"/>
        <s v="CRMA16*M6*14"/>
        <s v="CRMA16*M6*8"/>
        <s v="CRMA28*M8*23"/>
        <s v="CRMA22*M6*12"/>
        <s v="CRMA16*M5*10"/>
        <s v="CRMA22*M6*18"/>
        <s v="CRMA22*M8*15"/>
        <s v="CRMA16*M5*8"/>
        <s v="CRMA16*M6*15"/>
        <s v="CRMA20*M6*18"/>
        <s v="CRMA16*M6*18"/>
        <s v="CRMA12*M5*10"/>
        <s v="CRMA22*M8*10"/>
        <s v="CRMA22*M8*20"/>
        <s v="CRMA16*M6*6"/>
        <s v="CRMA26*8*21"/>
        <s v="CRMA16*M6*10"/>
        <s v="CRMA12*M4*6"/>
        <s v="CRMA16*M6*12"/>
        <s v="CRMA22*M6*15"/>
        <s v="CRMA26*M8*20"/>
        <s v="CRMA22*M6*10"/>
        <s v="CRMA26*M8*21"/>
        <s v="SRMK16*M8*10"/>
        <s v="SRMK12*M4"/>
        <s v="SRMK16*M6*7"/>
        <s v="SRMK27*M8*6"/>
        <s v="SRMK27*M8*10"/>
        <s v="SRMK22*M6*10"/>
        <s v="SRM27*M6"/>
        <s v="SRM16*M6"/>
        <s v="SRMP12*M4*4"/>
        <s v="M3 PİM"/>
        <s v="SRM16*M5*6"/>
        <s v="SRM42*M16*13"/>
        <s v="SRM5*M3*4"/>
        <s v="SRM6*M3*3"/>
        <s v="SRMK10,5*M4*5"/>
        <s v="SRMK40*M16*15"/>
        <s v="SRMK40*M12*15"/>
        <s v="CRMA6*M3*7,5"/>
        <s v="CRMA12*4*13"/>
        <s v="CRMP12*M5*12"/>
        <s v="CRMA16*M5*16"/>
        <s v="SRMP13*M5*5"/>
        <s v="SRM16*M6*4"/>
        <s v="CRMA12*M4*5"/>
        <s v="CRPÖ27*M8*13"/>
        <s v="RÖ30*M4*3"/>
        <s v="SRM7*M4"/>
        <s v="SRMP7*M4"/>
        <s v="CA8*10"/>
        <s v="CRMA27*8*13"/>
        <s v="SRM12*M4*7"/>
        <s v="CRMA12*M4*15"/>
        <m/>
        <s v="SÇ08"/>
        <s v="SRM27*M8"/>
        <s v="S12"/>
        <s v="S16"/>
        <s v="S10"/>
        <s v="SRM23*M6"/>
        <s v="CA8*25"/>
        <s v="S08"/>
        <s v="SÇ10"/>
        <s v="SRM12*M4"/>
        <s v="SRM18*M6"/>
        <s v="S14"/>
        <s v="CA12*39"/>
        <s v="R37*12,5*3"/>
        <s v="R27*11*2,5"/>
        <s v="R96*14,7*2,5"/>
        <s v="S04"/>
        <s v="SD20"/>
        <s v="R70*14,7*2,5"/>
        <s v="R96*18,8*3"/>
        <s v="R37*12,5*2,5"/>
        <s v="R47*14,7*2,5"/>
        <s v="R27*8*1,5"/>
        <s v="R22*8*2"/>
        <s v="R32*10*2,5"/>
        <s v="R22*6*2,5"/>
        <s v="R24*6*2,5"/>
        <s v="R22*8*2,5"/>
        <s v="R37*8*2,5"/>
        <s v="R27*8*3"/>
        <s v="R16*8,40*1,50"/>
        <s v="R37*12,5*2"/>
        <s v="R47*10*3"/>
        <s v="RL96*16,7*3"/>
        <s v="R47*10*2,5"/>
        <s v="R96*14*3,5"/>
        <s v="R96*16*3,5"/>
        <s v="R70*12,5*2,5"/>
        <s v="R56*10,5*2,5"/>
        <s v="R65*12,5*2,5"/>
        <s v="R38*12,5*2"/>
        <s v="R27*8*2,5"/>
        <s v="R47*12,5*2,5"/>
        <s v="R36*10*2,5"/>
        <s v="R75*12,5*2,5"/>
        <s v="R56*14,7*2,5"/>
        <s v="R37*10*2,5"/>
        <s v="R32*8*2,5"/>
        <s v="R96*16*3"/>
        <s v="R56*12*2,5"/>
        <s v="CA6*30"/>
        <s v="R70*12*2,3"/>
        <s v="R37*10,5*2"/>
        <s v="R47*12,5*2"/>
        <s v="R70x16x3"/>
        <s v="R47*8*2,5"/>
        <s v="R70*12,5*2"/>
        <s v="R47*12*2,5"/>
        <s v="RL56,5*13,8*2"/>
        <s v="R37*12*2,5"/>
        <s v="R13*8*2,5"/>
        <s v="CA12*49"/>
        <s v="R27*10,5*2"/>
        <s v="RL96*16*6"/>
        <s v="CA16*40"/>
        <s v="R16*8*2,5"/>
        <s v="R27*10,5*2,5"/>
        <s v="R24*8,4*2"/>
        <s v="R37*10,5*2,5"/>
        <s v="CA8*24"/>
        <s v="R70*12*2,5"/>
        <s v="R56*12,5*2,5"/>
        <s v="CA6*37"/>
        <s v="R47*16*2,5"/>
        <s v="CA10*17"/>
        <s v="CA10*29"/>
        <s v="CA16*50"/>
        <s v="RP195*20*5-AISI 304"/>
        <s v="RP195*24,5*6-AISI 304"/>
        <s v="YR32,5*22,5*5,2"/>
        <s v="R65*10*2,5"/>
        <s v="CA8*52"/>
        <s v="CA8*11,5"/>
        <s v="CA8*37"/>
        <s v="CA10*29,5"/>
        <s v="CA12*19"/>
        <s v="R16*4*2,5"/>
        <s v="CA6*35"/>
        <s v="R56*10*2,5"/>
        <s v="CA10*30"/>
        <s v="R65*12*3,5"/>
        <s v="CA12*24"/>
        <s v="CA12*37"/>
        <s v="SA53"/>
        <s v="SA54"/>
        <s v="SA62"/>
        <s v="SA57"/>
        <s v="SA55"/>
        <s v="SA65"/>
        <s v="CA10*27"/>
        <s v="CA6*56"/>
        <s v="CA10*39"/>
        <s v="CA12*35"/>
        <s v="CA10*40"/>
        <s v="CA10*57"/>
        <s v="CA8*45"/>
        <s v="CA14*30"/>
        <s v="SA13 İÇİN METAL"/>
        <s v="SA50"/>
        <s v="L105"/>
        <s v="R16*7*2,5"/>
        <s v="GJM12*150,8"/>
        <s v="R90*18.8*3"/>
        <s v="R96*12*2,5"/>
        <s v="RP56*10*2,5"/>
        <s v="CP10*22"/>
        <s v="RP56*10*2,6"/>
        <s v="SO05"/>
        <s v="GJM14*83"/>
        <s v="SO07"/>
        <s v="CA10*32"/>
        <s v="SO10*15-A"/>
        <s v="R53*12,5*2,5"/>
        <s v="R38*10,5*2"/>
        <s v="SA43"/>
        <s v="AL10"/>
        <s v="CA10*24-DIN 603"/>
        <s v="CA16*18"/>
        <s v="CA6*14"/>
        <s v="CA10*22"/>
        <s v="L100"/>
        <s v="R75*10,5*3"/>
        <s v="R75*16,7*2,5"/>
        <s v="RL190*24,5*4"/>
        <s v="YR29,4*19*3,5"/>
        <s v="RL81*20*5"/>
        <s v="R34*19*3"/>
        <s v="RL47*10*6"/>
        <s v="RL100*32,5*6"/>
        <s v="R32*6*2,5"/>
        <s v="R32*10,5*2,5"/>
        <s v="CA16x47"/>
        <s v="RL195*16*3"/>
        <s v="RL120*18,8*3"/>
        <s v="R96*12*3"/>
        <s v="R96*20*3"/>
        <s v="RL145*16*3"/>
        <s v="RL120*16*3"/>
        <s v="R24*8,5*2"/>
        <s v="-"/>
        <s v="CA16*43,5"/>
        <s v="R120*21.7*3"/>
        <s v="L055"/>
        <s v="R65*12*2,5"/>
        <s v="RÖ80,5*8,2*5,9"/>
        <s v="L054"/>
        <s v="R65*14,7*2,5"/>
        <s v="RL120*20*3"/>
        <s v="RL145*18,8*3"/>
        <s v="RL145*24,6*4"/>
        <s v="RL195*24,5*3"/>
        <s v="CA10*24"/>
        <s v="L117"/>
        <s v="SA08"/>
        <s v="CA16*44,5"/>
        <s v="CA8*27"/>
        <s v="CA10*28"/>
        <s v="RL75*75*10*3"/>
        <s v="SA67"/>
        <s v="SA01"/>
        <s v="SA02"/>
        <s v="CA8*30"/>
        <s v="CA8*20"/>
        <s v="L043"/>
        <s v="BO09"/>
        <s v="BO13"/>
        <s v="L127"/>
        <s v="SO20*25"/>
        <s v="BO23"/>
        <s v="SPO20*20"/>
        <s v="SO17"/>
        <s v="R42*17*3"/>
        <s v="SO8*10"/>
        <s v="SO14"/>
        <s v="SPO16*16-1"/>
        <s v="SO12*15"/>
        <s v="SO08*10"/>
        <s v="L116"/>
        <s v="RL55*13*3"/>
        <s v="RL50*12,2*3"/>
        <s v="K08"/>
        <s v="K16"/>
        <s v="KD04"/>
        <s v="SO16*20"/>
        <s v="YR26*16,5*3,6"/>
        <s v="SA15"/>
        <s v="SO02"/>
        <s v="YR33,6*21,2*3,8"/>
        <s v="K12"/>
        <s v="K10"/>
        <s v="SO10*15"/>
        <s v="K8"/>
        <s v="K06"/>
        <s v="KD06"/>
        <s v="RL28*8*2,5"/>
        <s v="SRMK28,5*M6*9,5"/>
        <s v="L099"/>
        <s v="CA12*34"/>
        <s v="CA16*49,5"/>
        <s v="CA16*47,5"/>
        <s v="CA12*25"/>
        <s v="CA5*12"/>
        <s v="CA8*32"/>
        <s v="CA10*25"/>
        <s v="CA8*12"/>
        <s v="CA10*20"/>
        <s v="CA8*14"/>
        <s v="CA16*63"/>
        <s v="CA12*22"/>
        <s v="CA6*25"/>
        <s v="CA5*20"/>
        <s v="CA6*27"/>
        <s v="CA8*22"/>
        <s v="CA12*27"/>
        <s v="CA12*36"/>
        <s v="CA10*14"/>
        <s v="CA6*12"/>
        <s v="CA12*30"/>
        <s v="CA8*18"/>
        <s v="CA14*37"/>
        <s v="SD04"/>
        <s v="SD08"/>
        <s v="SO8*10-A-1"/>
        <s v="CA6*15"/>
        <s v="CA10*35"/>
        <s v="R16*5*2,5"/>
        <s v="CA12*42"/>
        <s v="CA12*20"/>
        <s v="CA5*14"/>
        <s v="CA12*50"/>
        <s v="CA8*16"/>
        <s v="CA6*16"/>
        <s v="CA4*12"/>
        <s v="CA8*55"/>
        <s v="CA8*38"/>
        <s v="CA6*20"/>
        <s v="CA16*55,5"/>
        <s v="CA16*45"/>
        <s v="CA5*16"/>
        <s v="CA5*15"/>
        <s v="CA16*37,5"/>
        <s v="SO20*20"/>
        <s v="CA6*17"/>
        <s v="CA8*15"/>
        <s v="CA6*38"/>
        <s v="CA6*10"/>
        <s v="CA10*45"/>
        <s v="CA16*19,5"/>
        <s v="CA12*32"/>
        <s v="CA10*16"/>
        <s v="CA8*40"/>
        <s v="CA16*39"/>
        <s v="CA8*50"/>
        <s v="CA20*90"/>
        <s v="CYA24*120"/>
        <s v="CA6*42"/>
        <s v="CA8*23"/>
        <s v="CA10*15"/>
        <s v="CA8*13"/>
        <s v="CA8x19"/>
        <s v="R22*5*2"/>
        <s v="R30*17*3"/>
        <s v="CA8*35"/>
        <s v="COM20*45-M16*75-120"/>
        <s v="CA12*15"/>
        <s v="SD18*11-1,5"/>
        <s v="SD18-1,5"/>
        <s v="SO5"/>
        <s v="SD16-1,5"/>
        <s v="RT26*17*3"/>
        <s v="CA6*22"/>
        <s v="SO10"/>
        <s v="CYA16*120"/>
        <s v="CA14*40"/>
        <s v="CA5*25"/>
        <s v="CA14*45"/>
        <s v="CA10*21"/>
        <s v="CA6*40"/>
        <s v="SF24"/>
        <s v="SD22"/>
        <s v="CO16*90-1,5"/>
        <s v="RT15*8,4*2 "/>
        <s v="CO12*95"/>
        <s v="CO12*90-1,5"/>
        <s v="PM5,4*10"/>
        <s v="SD12"/>
        <s v="SF20"/>
        <s v="PM4*6"/>
        <s v="CO16*70-1,5"/>
        <s v="CO16*67-1,5"/>
        <s v="SF12"/>
        <s v="CO18*70-1,5"/>
        <s v="SF10"/>
        <s v="RÖ25*12,2*11"/>
        <s v="KD08-1"/>
        <s v="R34*10,5*2"/>
        <s v="CO16*117"/>
        <s v="SD10"/>
        <s v="SF14"/>
        <s v="SF16"/>
        <s v="SD16*10-1,5"/>
        <s v="SD16"/>
        <s v="R20*10,5*2"/>
        <s v="SO11"/>
        <s v="S34"/>
        <s v="CO16*110"/>
        <s v="SO12*15-A"/>
        <s v="S08*12"/>
        <s v="SD23 (KOD KONTROLÜ)"/>
        <s v="SO03"/>
        <s v="CP8*20"/>
        <s v="RP16*6*2,5"/>
        <s v="CP8*17"/>
        <s v="RP24*8*2-316"/>
        <s v="CP5*12-AISI 304"/>
        <s v="CP10*25"/>
        <s v="RP24*8*2,5"/>
        <s v="SP08"/>
        <s v="CP8*35"/>
        <s v="CP6*10"/>
        <s v="RP16*5*2,5"/>
        <s v="CP8*25"/>
        <s v="CP8*16"/>
        <s v="CP8*18"/>
        <s v="CP10*20"/>
        <s v="CP12*35"/>
        <s v="CP6*18"/>
        <s v="CP6*8-AISI 304"/>
        <s v="CP12*40"/>
        <s v="CP4*16"/>
        <s v="CP10*12"/>
        <s v="CP14*70"/>
        <s v="CP8*30"/>
        <s v="CP5*16"/>
        <s v="SPO10*10"/>
        <s v="CP16*45"/>
        <s v="CP6*12"/>
        <s v="CP6*20"/>
        <s v="RP47*10*2,5"/>
        <s v="SP10"/>
        <s v="SP12"/>
        <s v="CP8*14"/>
        <s v="RP22*8*2,5"/>
        <s v="KP06"/>
        <s v="KP12"/>
        <s v="RP22*5*2,5"/>
        <s v="RP37*10*2,5"/>
        <s v="CP8*40-316"/>
        <s v="KP96*16"/>
        <s v="RP13*4,1*2,5"/>
        <s v="RP96*18,8*3"/>
        <s v="KP08"/>
        <s v="SP06"/>
        <s v="RP27*8*2,5"/>
        <s v="KP10"/>
        <s v="CP10*30"/>
        <s v="CP10*27"/>
        <s v="CP5*8"/>
        <s v="CP8*22- DIN7991"/>
        <s v="RP32*10*2,5"/>
        <s v="RP70*14,7*2,5"/>
        <s v="CP4*10"/>
        <s v="RP27*8*4"/>
        <s v="KP16"/>
        <s v="CP8*12"/>
        <s v="RP47*10*3"/>
        <s v="RP24*8*2"/>
        <s v="RP47*12,5*2,5"/>
        <s v="RP96*20*3"/>
        <s v="RP16*5*2"/>
        <s v="RP37*8*2,5-316"/>
        <s v="RP20*8*2-316"/>
        <s v="RP37*10,5*2-AISI 304"/>
        <s v="RP37*12,5*2,5"/>
        <s v="RP65*16*3"/>
        <s v="RP47*10*2"/>
        <s v="RP37*8*2,5"/>
        <s v="RP27*10,5*2,5"/>
        <s v="RP27*10,5*2"/>
        <s v="RP37*8*2"/>
        <s v="RP27*6*2,5"/>
        <s v="RP47*12,5*2-AISI 304"/>
        <s v="RP37*10,5*2,5"/>
        <s v="RP22*6*2,5"/>
        <s v="RP28*8*2-316"/>
        <s v="RP16*8*2,5"/>
        <s v="RP37*8*2-316"/>
        <s v="RP13*5*2"/>
        <s v="RP13*5*3"/>
        <s v="RP47*16*2,5"/>
        <s v="RP13*4*2,5"/>
        <s v="RP55*12,5*2"/>
        <s v="L111"/>
        <s v="BO16"/>
        <s v="SA31"/>
        <s v="L112"/>
        <s v="R75*25*3 "/>
        <s v="SA09"/>
        <s v="SA10"/>
        <s v="CRBA100*M22*32*50"/>
        <s v="R70*16,1*4"/>
        <s v="RÖ88*16*10"/>
        <s v="SA30"/>
        <s v="BO15"/>
        <s v="R70*10*2,5"/>
        <s v="R75*12*3"/>
        <s v="6 KÖŞE KAPAK"/>
        <s v="17,5 ÇANAK PUL"/>
        <s v="15 ÇANAK PUL"/>
        <s v="R98*18,8*3"/>
        <s v="L073-L074-L082"/>
        <s v="RP33*13*2"/>
        <s v="RLB360*20*41"/>
        <s v="CA12*17"/>
        <s v="CA12*12"/>
        <s v="CA12*40"/>
        <s v="L109"/>
        <s v="CA10*12"/>
        <s v="CA8*42"/>
        <s v="CA20*50"/>
        <s v="CA16*65"/>
        <s v="CA20*45"/>
        <s v="CA16*47"/>
        <s v="SA45*SO08"/>
        <s v="SA07"/>
        <s v="SA37"/>
        <s v="SA36"/>
        <s v="SA38"/>
        <s v="SA29"/>
        <s v="SA48"/>
        <s v="SA51"/>
        <s v="SA56"/>
        <s v="SA49"/>
        <s v="BO26"/>
        <s v="L083"/>
        <s v="L084"/>
        <s v="L085"/>
        <s v="R57*14*2"/>
        <s v="SA03"/>
        <s v="BU01"/>
        <s v="SA56 ALT SAC"/>
        <s v="SA54 ALT SAC"/>
        <s v="SA57 ÇANAK - Q18,8"/>
        <s v="SA53 ÇANAK"/>
      </sharedItems>
    </cacheField>
    <cacheField name="OLDUKLARI RAF" numFmtId="0">
      <sharedItems containsBlank="1" count="251">
        <s v="B1 ve B2-A"/>
        <s v="B1-B"/>
        <s v="B1-D"/>
        <s v="B1-C"/>
        <s v="B1-E"/>
        <s v="B2-B"/>
        <s v="B2-D"/>
        <s v="B2-C"/>
        <s v="B2-E"/>
        <s v="B3-A"/>
        <s v="B3-B"/>
        <s v="B3-C"/>
        <s v="B4-A"/>
        <s v="B4-B"/>
        <s v="B4-C"/>
        <s v="B5-A"/>
        <s v="B5-B"/>
        <s v="B6-A"/>
        <s v="B6-B"/>
        <s v="B6-C"/>
        <s v="B7-A"/>
        <s v="B7-B"/>
        <s v="B7-C"/>
        <s v="B8-A"/>
        <s v="B8-B"/>
        <s v="B8-C"/>
        <s v="B8-B ve B9-B"/>
        <s v="B9-A"/>
        <s v="B9-B"/>
        <s v="B9-C"/>
        <s v="B9-C ÖNÜ PALETTE"/>
        <s v="B10-A"/>
        <s v="B10-B"/>
        <s v="B10-C"/>
        <s v="B10-C ÖNÜ PALETTE"/>
        <s v="B11-A"/>
        <s v="B11-B"/>
        <s v="B11-C"/>
        <s v="B11-D"/>
        <s v="B11-E"/>
        <s v="B12-B"/>
        <s v="B12-C"/>
        <s v="B12-D"/>
        <s v="B13-A"/>
        <s v="B13-B"/>
        <s v="B13-C"/>
        <s v="B13-C YANI PALETTE"/>
        <s v="B13-D"/>
        <s v="B MERDİVEN YANI"/>
        <m/>
        <s v="M1-A"/>
        <s v="M1-B"/>
        <s v="M1-C"/>
        <s v="M2-A"/>
        <s v="M2-B"/>
        <s v="M2-C"/>
        <s v="M3-A"/>
        <s v="M3-B"/>
        <s v="M3-C"/>
        <s v="M4-B"/>
        <s v="M4-C"/>
        <s v="M5-A"/>
        <s v="M5-B"/>
        <s v="M5-C"/>
        <s v="M6-A"/>
        <s v="M6-B"/>
        <s v="M6-C"/>
        <s v="M7-A"/>
        <s v="M7-B"/>
        <s v="M7-C"/>
        <s v="M8-A"/>
        <s v="M8-B"/>
        <s v="M8-C"/>
        <s v="M9-A"/>
        <s v="M9-B"/>
        <s v="M9-C"/>
        <s v="M10-A"/>
        <s v="M10-B"/>
        <s v="M10-B VE C"/>
        <s v="M11-A"/>
        <s v="M11-B"/>
        <s v="M11-C"/>
        <s v="M12-A"/>
        <s v="M12-B"/>
        <s v="M12 VE M13-C"/>
        <s v="M13-A"/>
        <s v="M13-B"/>
        <s v="M13-C"/>
        <s v="M14-A"/>
        <s v="M14-B"/>
        <s v="M14-C"/>
        <s v="M15-A"/>
        <s v="M15-B"/>
        <s v="M15 VE M16-C"/>
        <s v="M15-C"/>
        <s v="M16-A"/>
        <s v="M16-B"/>
        <s v="M16-C"/>
        <s v="M17-A"/>
        <s v="M17-B"/>
        <s v="M17-C"/>
        <s v="M17-D"/>
        <s v="M17-E"/>
        <s v="M18-A"/>
        <s v="M18-B"/>
        <s v="M18-C"/>
        <s v="M18-D"/>
        <s v="M18-E"/>
        <s v="M19-A"/>
        <s v="M19-B"/>
        <s v="M19-C"/>
        <s v="M20-A"/>
        <s v="M20-B"/>
        <s v="M21-A"/>
        <s v="M21-B"/>
        <s v="M21-C"/>
        <s v="M22-A"/>
        <s v="M22-B"/>
        <s v="M22-C"/>
        <s v="M23-A"/>
        <s v="M23-B"/>
        <s v="M23-C"/>
        <s v="M24-A"/>
        <s v="M24-B"/>
        <s v="M24-D"/>
        <s v="M24-E"/>
        <s v="M25-A"/>
        <s v="M25-B"/>
        <s v="M24 VE M25-C"/>
        <s v="M25-D"/>
        <s v="M25-E"/>
        <s v="M26-A"/>
        <s v="M26-B"/>
        <s v="M26-C"/>
        <s v="M27 A"/>
        <s v="M27-B"/>
        <s v="M27-A"/>
        <s v="M27-C"/>
        <s v="M28-A"/>
        <s v="M28-B"/>
        <s v="M28-C"/>
        <s v="M29-A"/>
        <s v="M29-B"/>
        <s v="M29-C"/>
        <s v="M30-A"/>
        <s v="M30-B"/>
        <s v="M30-C"/>
        <s v="M30-C  "/>
        <s v="M31-A"/>
        <s v="M31-B"/>
        <s v="M31-C"/>
        <s v="M32-A"/>
        <s v="M32-B"/>
        <s v="M32-C"/>
        <s v="M32-D"/>
        <s v="M32-E"/>
        <s v="M33-A"/>
        <s v="M33-B"/>
        <s v="M33-C"/>
        <s v="M33-D"/>
        <s v="M33-E"/>
        <s v="M34-A"/>
        <s v="M34 B-C"/>
        <s v="M34-D"/>
        <s v="M34-E"/>
        <s v="35-A"/>
        <s v="M35-A"/>
        <s v="M35-B"/>
        <s v="M35-C"/>
        <s v="M35-D"/>
        <s v="M35-E"/>
        <s v="M36-A"/>
        <s v="M36 B-C-D"/>
        <s v="M36-E"/>
        <s v="M37-A"/>
        <s v="M37 A VE B"/>
        <s v="M37-B"/>
        <s v="M37-C"/>
        <s v="M37-C "/>
        <s v="M37-D"/>
        <s v="M37-E"/>
        <s v="M38-A"/>
        <s v="M38-B"/>
        <s v="M38-D"/>
        <s v="M38-E"/>
        <s v="M39-A"/>
        <s v="M39-B"/>
        <s v="M39-C"/>
        <s v="M39-E"/>
        <s v="M40-A"/>
        <s v="M40-B"/>
        <s v="M40-C"/>
        <s v="M40-D"/>
        <s v="M41-A"/>
        <s v="M41-B"/>
        <s v="M41-C"/>
        <s v="M41-D"/>
        <s v="M42-A"/>
        <s v="M42-B"/>
        <s v="M42-C"/>
        <s v="M42-D"/>
        <s v="M40-E ve M41-E ve M42-E"/>
        <s v="M42-E"/>
        <s v="P1-A"/>
        <s v="P1-B"/>
        <s v="P1-C"/>
        <s v="P1-D"/>
        <s v="P1-E"/>
        <s v="P2-A"/>
        <s v="P2-B"/>
        <s v="P2-C"/>
        <s v="P2-D"/>
        <s v="P2-E"/>
        <s v="P3-A"/>
        <s v="P3-B"/>
        <s v="P3-C"/>
        <s v="P3-D"/>
        <s v="P3-E"/>
        <s v="P4-A"/>
        <s v="P4-B"/>
        <s v="P4-C"/>
        <s v="P4-D"/>
        <s v="P4-E"/>
        <s v="P5-A"/>
        <s v="P5-B"/>
        <s v="P5-C"/>
        <s v="P5-D"/>
        <s v="P5-E"/>
        <s v="P6-A"/>
        <s v="P6-B"/>
        <s v="P6-C"/>
        <s v="P6-D"/>
        <s v="P6-E"/>
        <s v="P7-A"/>
        <s v="P7-B"/>
        <s v="P7-C"/>
        <s v="P7-D"/>
        <s v="P7-E"/>
        <s v="P8-A"/>
        <s v="P8-B"/>
        <s v="P8-C"/>
        <s v="P8-D"/>
        <s v="P8-E"/>
        <s v="YUKARIDA"/>
        <s v="DEPO GİRİŞİNDE"/>
        <s v="GİRİŞTE"/>
        <s v="B1 YANI"/>
        <s v="HAMURHANE DEPOSU"/>
        <s v="TARTILIP YERLEŞTİRİLMEDİ"/>
        <s v="-"/>
        <s v="YERLEŞTİRİLMEDİ"/>
      </sharedItems>
    </cacheField>
    <cacheField name="GELEN KOLİ/ÇUVAL SAYISI" numFmtId="0">
      <sharedItems containsBlank="1"/>
    </cacheField>
    <cacheField name="GELEN TOPLAM ADET" numFmtId="0">
      <sharedItems containsBlank="1" containsMixedTypes="1" containsNumber="1" containsInteger="1" minValue="13" maxValue="790390"/>
    </cacheField>
    <cacheField name="KULLANILAN MİKTAR" numFmtId="0">
      <sharedItems containsBlank="1" containsMixedTypes="1" containsNumber="1" containsInteger="1" minValue="0" maxValue="133660"/>
    </cacheField>
    <cacheField name="KALAN MİKTAR" numFmtId="0">
      <sharedItems containsString="0" containsBlank="1" containsNumber="1" containsInteger="1" minValue="0" maxValue="790390"/>
    </cacheField>
    <cacheField name="KALAN KOLİ/ÇUVAL" numFmtId="0">
      <sharedItems containsBlank="1" containsMixedTypes="1" containsNumber="1" containsInteger="1" minValue="4" maxValue="63"/>
    </cacheField>
    <cacheField name="KOLİ/ÇUVAL İÇİ" numFmtId="0">
      <sharedItems containsBlank="1" containsMixedTypes="1" containsNumber="1" containsInteger="1" minValue="6" maxValue="307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x v="0"/>
    <x v="0"/>
    <x v="0"/>
    <s v="31 KOLİ"/>
    <n v="99636"/>
    <n v="24750"/>
    <n v="74886"/>
    <s v="22 KOLİ"/>
    <n v="2750"/>
  </r>
  <r>
    <x v="1"/>
    <x v="1"/>
    <x v="1"/>
    <s v="7 KOLİ"/>
    <n v="126000"/>
    <m/>
    <n v="126000"/>
    <m/>
    <n v="18000"/>
  </r>
  <r>
    <x v="2"/>
    <x v="2"/>
    <x v="2"/>
    <s v="10 KOLİ"/>
    <n v="91460"/>
    <n v="76000"/>
    <n v="15460"/>
    <s v="2 KOLİ"/>
    <n v="9500"/>
  </r>
  <r>
    <x v="3"/>
    <x v="3"/>
    <x v="3"/>
    <s v="5 KOLİ"/>
    <n v="29480"/>
    <m/>
    <n v="29480"/>
    <s v="5 KOLİ"/>
    <m/>
  </r>
  <r>
    <x v="4"/>
    <x v="4"/>
    <x v="4"/>
    <s v="11 KOLİ"/>
    <n v="10900"/>
    <n v="5900"/>
    <n v="5000"/>
    <s v="5 KOLİ"/>
    <n v="1000"/>
  </r>
  <r>
    <x v="5"/>
    <x v="5"/>
    <x v="5"/>
    <s v="6 KOLİ"/>
    <n v="16025"/>
    <n v="15000"/>
    <n v="1025"/>
    <s v="1 KOLİ"/>
    <s v="HER KOLİ 3000 + 1 KOLİ 1025"/>
  </r>
  <r>
    <x v="6"/>
    <x v="6"/>
    <x v="6"/>
    <s v="1 KOLİ"/>
    <n v="1000"/>
    <n v="0"/>
    <n v="1000"/>
    <s v="1 KOLİ"/>
    <n v="1000"/>
  </r>
  <r>
    <x v="7"/>
    <x v="7"/>
    <x v="7"/>
    <s v="3 KOLİ"/>
    <n v="24695"/>
    <m/>
    <n v="24695"/>
    <s v="3 KOLİ"/>
    <s v="HER KOLİ 10000.BİR KOLİ 4695"/>
  </r>
  <r>
    <x v="8"/>
    <x v="8"/>
    <x v="7"/>
    <s v="1 KOLİ"/>
    <n v="12450"/>
    <m/>
    <n v="12450"/>
    <m/>
    <m/>
  </r>
  <r>
    <x v="9"/>
    <x v="9"/>
    <x v="8"/>
    <s v="1 KOLİ"/>
    <n v="5000"/>
    <n v="0"/>
    <n v="5000"/>
    <m/>
    <n v="5000"/>
  </r>
  <r>
    <x v="10"/>
    <x v="1"/>
    <x v="9"/>
    <s v="3 KOLİ"/>
    <n v="61650"/>
    <n v="0"/>
    <n v="61650"/>
    <m/>
    <n v="20000"/>
  </r>
  <r>
    <x v="11"/>
    <x v="10"/>
    <x v="9"/>
    <s v="1 KOLİ"/>
    <n v="4000"/>
    <n v="4000"/>
    <n v="0"/>
    <s v="11 03 2026"/>
    <n v="4000"/>
  </r>
  <r>
    <x v="12"/>
    <x v="11"/>
    <x v="9"/>
    <s v="2 KOLİ"/>
    <n v="20000"/>
    <n v="20000"/>
    <n v="0"/>
    <s v="1 KOLİ"/>
    <n v="10000"/>
  </r>
  <r>
    <x v="13"/>
    <x v="12"/>
    <x v="9"/>
    <s v="1 KOLİ"/>
    <n v="1000"/>
    <n v="0"/>
    <m/>
    <m/>
    <m/>
  </r>
  <r>
    <x v="14"/>
    <x v="13"/>
    <x v="10"/>
    <s v="1 KOLİ"/>
    <n v="10000"/>
    <n v="0"/>
    <n v="10000"/>
    <m/>
    <n v="10000"/>
  </r>
  <r>
    <x v="15"/>
    <x v="14"/>
    <x v="10"/>
    <s v="25 KOLİ"/>
    <n v="147792"/>
    <n v="0"/>
    <n v="147792"/>
    <m/>
    <n v="6000"/>
  </r>
  <r>
    <x v="16"/>
    <x v="15"/>
    <x v="11"/>
    <s v="17 KOLİ"/>
    <n v="148168"/>
    <n v="110400"/>
    <n v="37768"/>
    <s v="5 KOLİ"/>
    <n v="9200"/>
  </r>
  <r>
    <x v="17"/>
    <x v="16"/>
    <x v="12"/>
    <s v="1 KOLİ"/>
    <n v="6832"/>
    <n v="0"/>
    <n v="6832"/>
    <m/>
    <n v="6832"/>
  </r>
  <r>
    <x v="18"/>
    <x v="17"/>
    <x v="12"/>
    <s v="8 KOLİ"/>
    <n v="16000"/>
    <m/>
    <n v="16000"/>
    <m/>
    <n v="2000"/>
  </r>
  <r>
    <x v="19"/>
    <x v="18"/>
    <x v="12"/>
    <s v="2 KOLİ"/>
    <n v="10140"/>
    <n v="0"/>
    <n v="10140"/>
    <m/>
    <s v="6000+4140"/>
  </r>
  <r>
    <x v="20"/>
    <x v="19"/>
    <x v="13"/>
    <s v="13 KOLİ"/>
    <n v="58500"/>
    <n v="45000"/>
    <n v="13500"/>
    <m/>
    <n v="4500"/>
  </r>
  <r>
    <x v="21"/>
    <x v="20"/>
    <x v="13"/>
    <s v="3 KOLİ"/>
    <n v="14000"/>
    <m/>
    <n v="14000"/>
    <m/>
    <n v="4665"/>
  </r>
  <r>
    <x v="22"/>
    <x v="21"/>
    <x v="13"/>
    <s v="2 KOLİ"/>
    <n v="11000"/>
    <n v="5500"/>
    <n v="5500"/>
    <m/>
    <n v="5500"/>
  </r>
  <r>
    <x v="23"/>
    <x v="22"/>
    <x v="13"/>
    <s v="16 KOLİ"/>
    <n v="12000"/>
    <m/>
    <n v="12000"/>
    <m/>
    <n v="800"/>
  </r>
  <r>
    <x v="20"/>
    <x v="19"/>
    <x v="13"/>
    <s v="12 KOLİ"/>
    <n v="48209"/>
    <m/>
    <n v="48209"/>
    <m/>
    <m/>
  </r>
  <r>
    <x v="24"/>
    <x v="23"/>
    <x v="14"/>
    <s v="120 KOLİ"/>
    <n v="111182"/>
    <m/>
    <n v="111182"/>
    <m/>
    <n v="850"/>
  </r>
  <r>
    <x v="25"/>
    <x v="24"/>
    <x v="15"/>
    <s v="5 KOLİ"/>
    <n v="20000"/>
    <n v="12000"/>
    <n v="8000"/>
    <s v="2 KOLİ"/>
    <n v="4000"/>
  </r>
  <r>
    <x v="9"/>
    <x v="9"/>
    <x v="15"/>
    <s v="1 KOLİ"/>
    <n v="12500"/>
    <m/>
    <n v="12500"/>
    <m/>
    <n v="12500"/>
  </r>
  <r>
    <x v="26"/>
    <x v="25"/>
    <x v="16"/>
    <s v="2 KOLİ"/>
    <n v="2000"/>
    <m/>
    <n v="2000"/>
    <m/>
    <n v="1000"/>
  </r>
  <r>
    <x v="27"/>
    <x v="26"/>
    <x v="16"/>
    <s v="4 KOLİ"/>
    <n v="18000"/>
    <m/>
    <n v="18000"/>
    <m/>
    <n v="4500"/>
  </r>
  <r>
    <x v="28"/>
    <x v="27"/>
    <x v="16"/>
    <s v="13 KOLİ"/>
    <n v="13000"/>
    <m/>
    <n v="13000"/>
    <m/>
    <n v="1000"/>
  </r>
  <r>
    <x v="29"/>
    <x v="28"/>
    <x v="17"/>
    <s v="25 KOLİ"/>
    <n v="23055"/>
    <n v="15855"/>
    <n v="7200"/>
    <s v="9 KOLİ"/>
    <n v="800"/>
  </r>
  <r>
    <x v="30"/>
    <x v="29"/>
    <x v="17"/>
    <s v="23 KOLİ"/>
    <n v="30022"/>
    <n v="5322"/>
    <n v="24700"/>
    <s v="19 KOLİ"/>
    <s v="HER KOLİ 1300           1 KOLİ 1422 "/>
  </r>
  <r>
    <x v="31"/>
    <x v="30"/>
    <x v="17"/>
    <s v="13 KOLİ"/>
    <n v="17556"/>
    <n v="12600"/>
    <n v="4956"/>
    <s v="4 KOLİ"/>
    <n v="1400"/>
  </r>
  <r>
    <x v="32"/>
    <x v="31"/>
    <x v="18"/>
    <s v="14 KOLİ "/>
    <n v="98000"/>
    <n v="14000"/>
    <n v="84000"/>
    <s v="12 KOLİ"/>
    <n v="7000"/>
  </r>
  <r>
    <x v="33"/>
    <x v="32"/>
    <x v="18"/>
    <s v="21 KOLİ"/>
    <n v="42000"/>
    <m/>
    <n v="42000"/>
    <m/>
    <n v="2000"/>
  </r>
  <r>
    <x v="34"/>
    <x v="33"/>
    <x v="18"/>
    <s v="6 KOLİ"/>
    <n v="36000"/>
    <m/>
    <n v="36000"/>
    <s v="6 KOLİ"/>
    <n v="6000"/>
  </r>
  <r>
    <x v="35"/>
    <x v="34"/>
    <x v="18"/>
    <s v="21 KOLİ"/>
    <n v="61239"/>
    <m/>
    <n v="61239"/>
    <m/>
    <m/>
  </r>
  <r>
    <x v="0"/>
    <x v="0"/>
    <x v="19"/>
    <s v="60 KOLİ"/>
    <n v="156710"/>
    <n v="8250"/>
    <n v="156710"/>
    <n v="63"/>
    <n v="2750"/>
  </r>
  <r>
    <x v="36"/>
    <x v="35"/>
    <x v="19"/>
    <s v="13 ÇUVAL + 3 KOLİ"/>
    <n v="77000"/>
    <m/>
    <n v="77000"/>
    <m/>
    <m/>
  </r>
  <r>
    <x v="37"/>
    <x v="36"/>
    <x v="20"/>
    <s v="55 KOLİ"/>
    <n v="44000"/>
    <n v="31200"/>
    <n v="12800"/>
    <s v="15 KOLİ"/>
    <n v="800"/>
  </r>
  <r>
    <x v="38"/>
    <x v="37"/>
    <x v="21"/>
    <s v="47 KOLİ"/>
    <n v="81739"/>
    <n v="16500"/>
    <n v="65239"/>
    <s v="34 KOLİ"/>
    <n v="1000"/>
  </r>
  <r>
    <x v="39"/>
    <x v="38"/>
    <x v="21"/>
    <s v="17 KOLİ"/>
    <n v="59945"/>
    <m/>
    <n v="59945"/>
    <s v="17 KOLİ"/>
    <n v="4000"/>
  </r>
  <r>
    <x v="40"/>
    <x v="39"/>
    <x v="22"/>
    <s v="110 KOLİ"/>
    <n v="198950"/>
    <n v="28350"/>
    <n v="170600"/>
    <s v="101 KOLİ"/>
    <n v="1350"/>
  </r>
  <r>
    <x v="41"/>
    <x v="40"/>
    <x v="23"/>
    <s v="79 KOLİ"/>
    <n v="118500"/>
    <n v="9000"/>
    <n v="109500"/>
    <s v="73 KOLİ"/>
    <n v="1500"/>
  </r>
  <r>
    <x v="42"/>
    <x v="41"/>
    <x v="24"/>
    <s v="12 KOLİ"/>
    <n v="66039"/>
    <m/>
    <n v="66039"/>
    <m/>
    <n v="5500"/>
  </r>
  <r>
    <x v="43"/>
    <x v="42"/>
    <x v="24"/>
    <s v="36 KOLİ"/>
    <n v="108000"/>
    <n v="81000"/>
    <n v="27000"/>
    <s v="9 KOLİ"/>
    <n v="3000"/>
  </r>
  <r>
    <x v="44"/>
    <x v="43"/>
    <x v="24"/>
    <s v="7 KOLİ"/>
    <n v="12250"/>
    <m/>
    <n v="12250"/>
    <m/>
    <n v="1750"/>
  </r>
  <r>
    <x v="45"/>
    <x v="44"/>
    <x v="25"/>
    <s v="55 KOLİ"/>
    <n v="135475"/>
    <n v="15000"/>
    <n v="120475"/>
    <s v="14 KOLİ"/>
    <n v="2500"/>
  </r>
  <r>
    <x v="46"/>
    <x v="45"/>
    <x v="25"/>
    <s v="20 KOLİ"/>
    <n v="147477"/>
    <n v="45000"/>
    <n v="102477"/>
    <s v="14 KOLİ"/>
    <n v="7500"/>
  </r>
  <r>
    <x v="47"/>
    <x v="46"/>
    <x v="26"/>
    <s v="70 KOLİ"/>
    <n v="122500"/>
    <n v="20500"/>
    <n v="102000"/>
    <s v="68 KOLİ"/>
    <n v="1500"/>
  </r>
  <r>
    <x v="48"/>
    <x v="47"/>
    <x v="27"/>
    <s v="23 KOLİ"/>
    <n v="28155"/>
    <n v="24405"/>
    <n v="3750"/>
    <s v="3 KOLİ"/>
    <n v="1250"/>
  </r>
  <r>
    <x v="49"/>
    <x v="48"/>
    <x v="27"/>
    <s v="35 KOLİ"/>
    <n v="154408"/>
    <n v="27000"/>
    <n v="127408"/>
    <s v="29 KOLİ"/>
    <n v="4500"/>
  </r>
  <r>
    <x v="50"/>
    <x v="49"/>
    <x v="27"/>
    <s v="2 KOLİ"/>
    <n v="1500"/>
    <m/>
    <n v="1500"/>
    <m/>
    <m/>
  </r>
  <r>
    <x v="51"/>
    <x v="50"/>
    <x v="28"/>
    <s v="41 KOLİ"/>
    <n v="155800"/>
    <n v="63300"/>
    <n v="92500"/>
    <s v="25 KOLİ"/>
    <n v="3700"/>
  </r>
  <r>
    <x v="52"/>
    <x v="51"/>
    <x v="29"/>
    <s v="4 ÇUVAL"/>
    <n v="2000"/>
    <m/>
    <n v="2000"/>
    <m/>
    <n v="500"/>
  </r>
  <r>
    <x v="53"/>
    <x v="52"/>
    <x v="29"/>
    <s v="18 ÇUVAL"/>
    <n v="73208"/>
    <n v="30000"/>
    <n v="43208"/>
    <s v="12 KOLİ"/>
    <n v="5000"/>
  </r>
  <r>
    <x v="54"/>
    <x v="53"/>
    <x v="30"/>
    <s v="44 KOLİ"/>
    <n v="65281"/>
    <m/>
    <n v="65281"/>
    <s v="44 KOLİ"/>
    <n v="1500"/>
  </r>
  <r>
    <x v="55"/>
    <x v="54"/>
    <x v="31"/>
    <s v="59 KOLİ"/>
    <n v="53100"/>
    <m/>
    <n v="53100"/>
    <m/>
    <m/>
  </r>
  <r>
    <x v="56"/>
    <x v="55"/>
    <x v="32"/>
    <s v="82 KOLİ"/>
    <n v="164000"/>
    <n v="62000"/>
    <n v="102000"/>
    <n v="51"/>
    <n v="2000"/>
  </r>
  <r>
    <x v="57"/>
    <x v="54"/>
    <x v="33"/>
    <s v="68 KOLİ"/>
    <n v="57661"/>
    <n v="33861"/>
    <n v="23800"/>
    <s v="28 KOLİ"/>
    <n v="850"/>
  </r>
  <r>
    <x v="57"/>
    <x v="56"/>
    <x v="34"/>
    <s v="166 KOLİ"/>
    <n v="149400"/>
    <m/>
    <n v="149400"/>
    <m/>
    <m/>
  </r>
  <r>
    <x v="58"/>
    <x v="57"/>
    <x v="35"/>
    <s v="1 KOLİ"/>
    <n v="60"/>
    <m/>
    <n v="60"/>
    <m/>
    <n v="60"/>
  </r>
  <r>
    <x v="59"/>
    <x v="58"/>
    <x v="35"/>
    <s v="1 KOLİ"/>
    <n v="1500"/>
    <m/>
    <n v="1500"/>
    <m/>
    <n v="1500"/>
  </r>
  <r>
    <x v="60"/>
    <x v="59"/>
    <x v="35"/>
    <s v="1 KOLİ"/>
    <n v="200"/>
    <m/>
    <n v="200"/>
    <m/>
    <n v="200"/>
  </r>
  <r>
    <x v="61"/>
    <x v="60"/>
    <x v="35"/>
    <s v="1 KOLİ"/>
    <n v="200"/>
    <m/>
    <n v="200"/>
    <m/>
    <n v="200"/>
  </r>
  <r>
    <x v="62"/>
    <x v="61"/>
    <x v="35"/>
    <s v="1 KOLİ"/>
    <n v="200"/>
    <m/>
    <n v="200"/>
    <m/>
    <n v="200"/>
  </r>
  <r>
    <x v="63"/>
    <x v="62"/>
    <x v="35"/>
    <s v="1 KOLİ"/>
    <n v="150"/>
    <m/>
    <n v="150"/>
    <m/>
    <n v="150"/>
  </r>
  <r>
    <x v="64"/>
    <x v="63"/>
    <x v="35"/>
    <s v="1 KOLİ"/>
    <n v="100"/>
    <m/>
    <n v="100"/>
    <m/>
    <n v="100"/>
  </r>
  <r>
    <x v="65"/>
    <x v="64"/>
    <x v="35"/>
    <s v="1 KOLİ"/>
    <n v="200"/>
    <m/>
    <n v="200"/>
    <m/>
    <n v="200"/>
  </r>
  <r>
    <x v="66"/>
    <x v="65"/>
    <x v="36"/>
    <s v="1 ÇUVAL+1 POŞET"/>
    <n v="12275"/>
    <m/>
    <n v="12275"/>
    <m/>
    <m/>
  </r>
  <r>
    <x v="67"/>
    <x v="66"/>
    <x v="36"/>
    <s v="1 POŞET"/>
    <n v="300"/>
    <m/>
    <n v="300"/>
    <m/>
    <n v="300"/>
  </r>
  <r>
    <x v="68"/>
    <x v="67"/>
    <x v="37"/>
    <s v="1 ÇUVAL + 1 KOLİ"/>
    <n v="10000"/>
    <m/>
    <n v="10000"/>
    <m/>
    <n v="5000"/>
  </r>
  <r>
    <x v="69"/>
    <x v="68"/>
    <x v="38"/>
    <s v="1 KUTU"/>
    <n v="199"/>
    <m/>
    <n v="199"/>
    <m/>
    <m/>
  </r>
  <r>
    <x v="68"/>
    <x v="67"/>
    <x v="39"/>
    <s v="2 ÇUVAL"/>
    <n v="20000"/>
    <m/>
    <n v="20000"/>
    <m/>
    <n v="10000"/>
  </r>
  <r>
    <x v="70"/>
    <x v="69"/>
    <x v="40"/>
    <s v="1 POŞET"/>
    <n v="1677"/>
    <m/>
    <n v="1677"/>
    <m/>
    <m/>
  </r>
  <r>
    <x v="71"/>
    <x v="70"/>
    <x v="40"/>
    <s v="1 ÇUVAL"/>
    <n v="9800"/>
    <n v="9800"/>
    <n v="0"/>
    <s v="11 03 2026"/>
    <m/>
  </r>
  <r>
    <x v="72"/>
    <x v="71"/>
    <x v="41"/>
    <s v="1 ÇUVAL"/>
    <n v="3200"/>
    <m/>
    <n v="3200"/>
    <m/>
    <n v="3200"/>
  </r>
  <r>
    <x v="73"/>
    <x v="72"/>
    <x v="42"/>
    <s v="1 ÇUVAL+1 KOLİ"/>
    <n v="336"/>
    <m/>
    <n v="336"/>
    <m/>
    <m/>
  </r>
  <r>
    <x v="74"/>
    <x v="73"/>
    <x v="42"/>
    <s v="1 TORBA"/>
    <n v="30"/>
    <m/>
    <n v="30"/>
    <m/>
    <m/>
  </r>
  <r>
    <x v="75"/>
    <x v="74"/>
    <x v="43"/>
    <s v="1 KOLİ"/>
    <n v="30790"/>
    <m/>
    <n v="30790"/>
    <m/>
    <n v="30790"/>
  </r>
  <r>
    <x v="76"/>
    <x v="75"/>
    <x v="43"/>
    <s v="9 KOLİ"/>
    <n v="58265"/>
    <m/>
    <n v="58265"/>
    <m/>
    <m/>
  </r>
  <r>
    <x v="77"/>
    <x v="76"/>
    <x v="43"/>
    <s v="1 KASA"/>
    <n v="12074"/>
    <m/>
    <n v="12074"/>
    <m/>
    <n v="12074"/>
  </r>
  <r>
    <x v="78"/>
    <x v="77"/>
    <x v="44"/>
    <s v="17 KOLİ "/>
    <n v="53680"/>
    <n v="24680"/>
    <n v="29000"/>
    <s v="8 KOLİ"/>
    <n v="3500"/>
  </r>
  <r>
    <x v="79"/>
    <x v="78"/>
    <x v="44"/>
    <s v="1 ÇUVAL"/>
    <n v="7225"/>
    <m/>
    <n v="7225"/>
    <m/>
    <m/>
  </r>
  <r>
    <x v="80"/>
    <x v="78"/>
    <x v="44"/>
    <s v="1 POŞET"/>
    <n v="2120"/>
    <m/>
    <n v="2120"/>
    <m/>
    <m/>
  </r>
  <r>
    <x v="81"/>
    <x v="79"/>
    <x v="44"/>
    <s v="1 ÇUVAL"/>
    <n v="2000"/>
    <n v="2000"/>
    <n v="0"/>
    <m/>
    <m/>
  </r>
  <r>
    <x v="82"/>
    <x v="80"/>
    <x v="45"/>
    <s v="1 KUTU"/>
    <n v="5000"/>
    <m/>
    <n v="5000"/>
    <m/>
    <m/>
  </r>
  <r>
    <x v="83"/>
    <x v="81"/>
    <x v="45"/>
    <s v="5 KOLİ"/>
    <n v="3800"/>
    <n v="3140"/>
    <n v="660"/>
    <s v="1 KOLİ"/>
    <n v="660"/>
  </r>
  <r>
    <x v="84"/>
    <x v="82"/>
    <x v="45"/>
    <s v="5 KOLİ"/>
    <n v="6150"/>
    <n v="4875"/>
    <n v="1275"/>
    <s v="1 KOLİ"/>
    <n v="1275"/>
  </r>
  <r>
    <x v="85"/>
    <x v="83"/>
    <x v="45"/>
    <s v="1 KUTU"/>
    <n v="3400"/>
    <m/>
    <n v="3400"/>
    <m/>
    <m/>
  </r>
  <r>
    <x v="86"/>
    <x v="84"/>
    <x v="45"/>
    <s v="1 POŞET"/>
    <n v="5500"/>
    <m/>
    <n v="5500"/>
    <m/>
    <m/>
  </r>
  <r>
    <x v="87"/>
    <x v="85"/>
    <x v="46"/>
    <s v="23 KOLİ"/>
    <n v="790390"/>
    <m/>
    <n v="790390"/>
    <m/>
    <m/>
  </r>
  <r>
    <x v="88"/>
    <x v="86"/>
    <x v="47"/>
    <s v="11 KOLİ"/>
    <n v="10230"/>
    <m/>
    <n v="10230"/>
    <m/>
    <m/>
  </r>
  <r>
    <x v="89"/>
    <x v="27"/>
    <x v="47"/>
    <s v="11 KOLİ"/>
    <n v="10320"/>
    <m/>
    <n v="10320"/>
    <m/>
    <m/>
  </r>
  <r>
    <x v="90"/>
    <x v="87"/>
    <x v="47"/>
    <s v="2 KOLİ"/>
    <n v="9500"/>
    <m/>
    <n v="9500"/>
    <m/>
    <m/>
  </r>
  <r>
    <x v="91"/>
    <x v="88"/>
    <x v="48"/>
    <s v="1 KASA"/>
    <n v="7000"/>
    <m/>
    <n v="7000"/>
    <m/>
    <n v="7000"/>
  </r>
  <r>
    <x v="92"/>
    <x v="35"/>
    <x v="48"/>
    <s v="1 KASA"/>
    <n v="4000"/>
    <m/>
    <n v="4000"/>
    <m/>
    <n v="4000"/>
  </r>
  <r>
    <x v="93"/>
    <x v="89"/>
    <x v="49"/>
    <m/>
    <m/>
    <m/>
    <m/>
    <m/>
    <m/>
  </r>
  <r>
    <x v="94"/>
    <x v="90"/>
    <x v="50"/>
    <s v="2 KOLİ"/>
    <n v="7000"/>
    <m/>
    <n v="7000"/>
    <m/>
    <n v="3500"/>
  </r>
  <r>
    <x v="95"/>
    <x v="91"/>
    <x v="50"/>
    <s v="4 KOLİ"/>
    <n v="6000"/>
    <m/>
    <n v="6000"/>
    <m/>
    <n v="1500"/>
  </r>
  <r>
    <x v="96"/>
    <x v="92"/>
    <x v="50"/>
    <s v="47 KOLİ"/>
    <n v="70500"/>
    <n v="13500"/>
    <n v="57000"/>
    <s v="38 KOLİ"/>
    <n v="1500"/>
  </r>
  <r>
    <x v="97"/>
    <x v="93"/>
    <x v="51"/>
    <s v="12 KOLİ"/>
    <n v="8400"/>
    <n v="2230"/>
    <n v="6170"/>
    <s v="9 KOLİ"/>
    <n v="700"/>
  </r>
  <r>
    <x v="98"/>
    <x v="94"/>
    <x v="51"/>
    <s v="21 KOLİ"/>
    <n v="52500"/>
    <m/>
    <n v="52500"/>
    <s v="21 KOLİ"/>
    <n v="2500"/>
  </r>
  <r>
    <x v="99"/>
    <x v="95"/>
    <x v="51"/>
    <s v="15 KOLİ"/>
    <n v="37500"/>
    <n v="15000"/>
    <n v="22500"/>
    <s v="9 KOLİ"/>
    <n v="2500"/>
  </r>
  <r>
    <x v="100"/>
    <x v="96"/>
    <x v="52"/>
    <s v="175 KOLİ"/>
    <n v="174660"/>
    <n v="133660"/>
    <n v="41000"/>
    <s v="41 KOLİ"/>
    <n v="1000"/>
  </r>
  <r>
    <x v="101"/>
    <x v="97"/>
    <x v="53"/>
    <s v="25 KOLİ"/>
    <n v="175000"/>
    <n v="10000"/>
    <n v="165000"/>
    <s v="23 KOLİ"/>
    <n v="5000"/>
  </r>
  <r>
    <x v="102"/>
    <x v="98"/>
    <x v="53"/>
    <s v="1 KOLİ"/>
    <n v="411"/>
    <m/>
    <n v="411"/>
    <m/>
    <n v="411"/>
  </r>
  <r>
    <x v="103"/>
    <x v="99"/>
    <x v="54"/>
    <s v="6 KOLİ"/>
    <n v="48000"/>
    <n v="16000"/>
    <n v="32000"/>
    <s v="4 KOLİ"/>
    <n v="8000"/>
  </r>
  <r>
    <x v="104"/>
    <x v="100"/>
    <x v="54"/>
    <s v="16 KOLİ"/>
    <n v="64000"/>
    <n v="48000"/>
    <n v="16000"/>
    <s v="4 KOLİ"/>
    <n v="4000"/>
  </r>
  <r>
    <x v="105"/>
    <x v="101"/>
    <x v="54"/>
    <s v="6 KOLİ"/>
    <n v="3000"/>
    <n v="2000"/>
    <n v="1000"/>
    <s v="2 KOLİ"/>
    <n v="500"/>
  </r>
  <r>
    <x v="106"/>
    <x v="102"/>
    <x v="55"/>
    <s v="187 KOLİ"/>
    <n v="65480"/>
    <n v="19790"/>
    <n v="45690"/>
    <s v="134 KOLİ"/>
    <n v="350"/>
  </r>
  <r>
    <x v="107"/>
    <x v="103"/>
    <x v="56"/>
    <s v="12 ÇUVAL"/>
    <n v="15000"/>
    <n v="1250"/>
    <n v="13750"/>
    <s v="11 ÇUVAL"/>
    <n v="1250"/>
  </r>
  <r>
    <x v="108"/>
    <x v="104"/>
    <x v="56"/>
    <s v="5 ÇUVAL"/>
    <n v="14500"/>
    <m/>
    <n v="14500"/>
    <m/>
    <n v="2900"/>
  </r>
  <r>
    <x v="109"/>
    <x v="105"/>
    <x v="56"/>
    <s v="18 ÇUVAL"/>
    <n v="3456"/>
    <n v="768"/>
    <n v="2688"/>
    <s v="14 ÇUVAL"/>
    <n v="192"/>
  </r>
  <r>
    <x v="110"/>
    <x v="106"/>
    <x v="57"/>
    <s v="1 KOLİ"/>
    <n v="9354"/>
    <m/>
    <n v="9354"/>
    <m/>
    <n v="9354"/>
  </r>
  <r>
    <x v="111"/>
    <x v="107"/>
    <x v="57"/>
    <s v="1 KOLİ"/>
    <n v="375"/>
    <m/>
    <n v="375"/>
    <m/>
    <n v="375"/>
  </r>
  <r>
    <x v="112"/>
    <x v="108"/>
    <x v="57"/>
    <s v="43 ÇUVAL"/>
    <n v="14711"/>
    <n v="4645"/>
    <n v="10066"/>
    <s v="18 ÇUVAL"/>
    <n v="357"/>
  </r>
  <r>
    <x v="113"/>
    <x v="109"/>
    <x v="58"/>
    <s v="22 ÇUVAL"/>
    <n v="4100"/>
    <n v="3100"/>
    <n v="1000"/>
    <s v="7 ÇUVAL"/>
    <s v="140 YEŞİL ÇUVALLAR TOPLAM 1000"/>
  </r>
  <r>
    <x v="114"/>
    <x v="96"/>
    <x v="58"/>
    <s v="62 KOLİ "/>
    <n v="104436"/>
    <n v="6800"/>
    <n v="97636"/>
    <s v="58 KOLİ"/>
    <n v="1700"/>
  </r>
  <r>
    <x v="115"/>
    <x v="110"/>
    <x v="59"/>
    <s v="8 ÇUVAL"/>
    <n v="12300"/>
    <m/>
    <n v="12300"/>
    <s v="8 ÇUVAL"/>
    <m/>
  </r>
  <r>
    <x v="116"/>
    <x v="111"/>
    <x v="59"/>
    <s v="5 ÇUVAL"/>
    <n v="3550"/>
    <n v="837"/>
    <n v="2713"/>
    <n v="4"/>
    <s v="837 (1 ÇUVAL 202)"/>
  </r>
  <r>
    <x v="117"/>
    <x v="108"/>
    <x v="60"/>
    <s v="94 ÇUVAL"/>
    <n v="33600"/>
    <n v="8875"/>
    <n v="24725"/>
    <s v="69 ÇUVAL"/>
    <n v="355"/>
  </r>
  <r>
    <x v="118"/>
    <x v="112"/>
    <x v="61"/>
    <s v="4 ÇUVAL"/>
    <n v="16600"/>
    <n v="2500"/>
    <n v="14100"/>
    <s v="3 ÇUVAL"/>
    <n v="2500"/>
  </r>
  <r>
    <x v="119"/>
    <x v="113"/>
    <x v="61"/>
    <s v="4 ÇUVAL"/>
    <n v="18000"/>
    <n v="2650"/>
    <n v="15350"/>
    <m/>
    <n v="4500"/>
  </r>
  <r>
    <x v="120"/>
    <x v="114"/>
    <x v="61"/>
    <s v="3 ÇUVAL"/>
    <n v="3900"/>
    <n v="200"/>
    <n v="3700"/>
    <m/>
    <n v="1300"/>
  </r>
  <r>
    <x v="121"/>
    <x v="115"/>
    <x v="62"/>
    <s v="4 ÇUVAL"/>
    <n v="18900"/>
    <n v="1500"/>
    <n v="17400"/>
    <s v="4 ÇUVAL"/>
    <n v="4725"/>
  </r>
  <r>
    <x v="122"/>
    <x v="116"/>
    <x v="62"/>
    <s v="8 ÇUVAL"/>
    <n v="25800"/>
    <n v="8400"/>
    <n v="17400"/>
    <s v="5 ÇUVAL"/>
    <n v="3225"/>
  </r>
  <r>
    <x v="123"/>
    <x v="117"/>
    <x v="62"/>
    <s v="22 ÇUVAL"/>
    <n v="82500"/>
    <n v="26250"/>
    <n v="56250"/>
    <s v="15 ÇUVAL"/>
    <n v="3750"/>
  </r>
  <r>
    <x v="124"/>
    <x v="118"/>
    <x v="63"/>
    <s v="81 ÇUVAL"/>
    <n v="108164"/>
    <n v="86004"/>
    <n v="22160"/>
    <s v="14 ÇUVAL"/>
    <n v="1287"/>
  </r>
  <r>
    <x v="125"/>
    <x v="96"/>
    <x v="63"/>
    <s v="58 KOLİ"/>
    <n v="100425"/>
    <m/>
    <n v="100425"/>
    <m/>
    <m/>
  </r>
  <r>
    <x v="126"/>
    <x v="119"/>
    <x v="64"/>
    <s v="3 ÇUVAL"/>
    <n v="6350"/>
    <n v="2130"/>
    <n v="4210"/>
    <m/>
    <m/>
  </r>
  <r>
    <x v="127"/>
    <x v="108"/>
    <x v="64"/>
    <s v="18 ÇUVAL"/>
    <n v="6750"/>
    <n v="5250"/>
    <n v="1500"/>
    <s v="4 ÇUVAL"/>
    <n v="375"/>
  </r>
  <r>
    <x v="128"/>
    <x v="120"/>
    <x v="65"/>
    <s v="1 ÇUVAL"/>
    <n v="2781"/>
    <n v="450"/>
    <n v="2331"/>
    <m/>
    <n v="733"/>
  </r>
  <r>
    <x v="129"/>
    <x v="121"/>
    <x v="65"/>
    <s v="8 ÇUVAL"/>
    <n v="12700"/>
    <n v="700"/>
    <n v="12000"/>
    <m/>
    <s v="1587 1 ÇUVAL 1537"/>
  </r>
  <r>
    <x v="130"/>
    <x v="122"/>
    <x v="65"/>
    <s v="11 ÇUVAL"/>
    <n v="6050"/>
    <n v="700"/>
    <n v="5350"/>
    <s v="10 ÇUVAL"/>
    <n v="587"/>
  </r>
  <r>
    <x v="131"/>
    <x v="123"/>
    <x v="65"/>
    <s v="12 ÇUVAL"/>
    <n v="1270"/>
    <n v="1060"/>
    <n v="210"/>
    <s v="2 ÇUVAL"/>
    <n v="106"/>
  </r>
  <r>
    <x v="132"/>
    <x v="124"/>
    <x v="66"/>
    <s v="78 ÇUVAL"/>
    <n v="63129"/>
    <n v="4722"/>
    <n v="58407"/>
    <s v="72 ÇUVAL"/>
    <s v="787 (1 ÇUVAL 335)"/>
  </r>
  <r>
    <x v="133"/>
    <x v="125"/>
    <x v="67"/>
    <s v="12 ÇUVAL"/>
    <n v="1500"/>
    <m/>
    <n v="1500"/>
    <m/>
    <n v="125"/>
  </r>
  <r>
    <x v="134"/>
    <x v="126"/>
    <x v="67"/>
    <s v="2 ÇUVAL"/>
    <n v="250"/>
    <m/>
    <n v="250"/>
    <m/>
    <n v="200"/>
  </r>
  <r>
    <x v="135"/>
    <x v="127"/>
    <x v="67"/>
    <s v="6 ÇUVAL"/>
    <n v="2700"/>
    <m/>
    <n v="2700"/>
    <m/>
    <n v="335"/>
  </r>
  <r>
    <x v="136"/>
    <x v="128"/>
    <x v="68"/>
    <s v="5 ÇUVAL"/>
    <n v="2750"/>
    <m/>
    <n v="2750"/>
    <m/>
    <n v="550"/>
  </r>
  <r>
    <x v="137"/>
    <x v="129"/>
    <x v="68"/>
    <s v="16 ÇUVAL"/>
    <n v="6992"/>
    <n v="1311"/>
    <n v="5681"/>
    <s v="13 ÇUVAL"/>
    <n v="437"/>
  </r>
  <r>
    <x v="138"/>
    <x v="130"/>
    <x v="68"/>
    <s v="15 ÇUVAL"/>
    <n v="21307"/>
    <n v="2938"/>
    <n v="18369"/>
    <s v="13 ÇUVAL"/>
    <n v="1469"/>
  </r>
  <r>
    <x v="139"/>
    <x v="131"/>
    <x v="69"/>
    <s v="49 ÇUVAL"/>
    <n v="123400"/>
    <n v="23125"/>
    <n v="100275"/>
    <s v="40 ÇUVAL"/>
    <n v="2775"/>
  </r>
  <r>
    <x v="140"/>
    <x v="132"/>
    <x v="70"/>
    <s v="15 ÇUVAL"/>
    <n v="15630"/>
    <n v="14588"/>
    <n v="6240"/>
    <s v="6 ÇUVAL"/>
    <n v="1042"/>
  </r>
  <r>
    <x v="141"/>
    <x v="133"/>
    <x v="70"/>
    <s v="3 ÇUVAL"/>
    <n v="500"/>
    <m/>
    <n v="500"/>
    <m/>
    <n v="165"/>
  </r>
  <r>
    <x v="142"/>
    <x v="134"/>
    <x v="70"/>
    <s v="1 ÇUVAL"/>
    <n v="150"/>
    <m/>
    <n v="150"/>
    <m/>
    <n v="330"/>
  </r>
  <r>
    <x v="143"/>
    <x v="135"/>
    <x v="71"/>
    <s v="25 ÇUVAL"/>
    <n v="13800"/>
    <n v="1120"/>
    <n v="12680"/>
    <n v="23"/>
    <n v="560"/>
  </r>
  <r>
    <x v="144"/>
    <x v="136"/>
    <x v="71"/>
    <s v="17 ÇUVAL"/>
    <n v="22100"/>
    <m/>
    <n v="22100"/>
    <m/>
    <n v="1300"/>
  </r>
  <r>
    <x v="145"/>
    <x v="137"/>
    <x v="71"/>
    <s v="26 ÇUVAL"/>
    <n v="47000"/>
    <n v="11250"/>
    <n v="35750"/>
    <s v="20 ÇUVAL"/>
    <n v="1825"/>
  </r>
  <r>
    <x v="146"/>
    <x v="138"/>
    <x v="72"/>
    <s v="52 ÇUVAL"/>
    <n v="7550"/>
    <n v="1160"/>
    <n v="6390"/>
    <s v="44 ÇUVAL"/>
    <n v="145"/>
  </r>
  <r>
    <x v="147"/>
    <x v="139"/>
    <x v="73"/>
    <s v="37 ÇUVAL"/>
    <n v="11650"/>
    <m/>
    <n v="11650"/>
    <m/>
    <n v="575"/>
  </r>
  <r>
    <x v="148"/>
    <x v="140"/>
    <x v="73"/>
    <s v="1 KOLİ + 1 ÇUVAL"/>
    <n v="2085"/>
    <m/>
    <n v="2085"/>
    <m/>
    <m/>
  </r>
  <r>
    <x v="149"/>
    <x v="141"/>
    <x v="74"/>
    <s v="46 ÇUVAL"/>
    <n v="17450"/>
    <n v="1710"/>
    <n v="15740"/>
    <s v="41 ÇUVAL"/>
    <n v="342"/>
  </r>
  <r>
    <x v="150"/>
    <x v="142"/>
    <x v="75"/>
    <s v="35 ÇUVAL"/>
    <n v="53795"/>
    <m/>
    <n v="53795"/>
    <s v="35 ÇUVAL"/>
    <n v="1537"/>
  </r>
  <r>
    <x v="151"/>
    <x v="143"/>
    <x v="75"/>
    <s v="58 ÇUVAL"/>
    <n v="54000"/>
    <n v="9010"/>
    <n v="44990"/>
    <s v="48 ÇUVAL"/>
    <n v="931"/>
  </r>
  <r>
    <x v="152"/>
    <x v="144"/>
    <x v="76"/>
    <s v="1 ÇUVAL"/>
    <m/>
    <m/>
    <n v="0"/>
    <m/>
    <m/>
  </r>
  <r>
    <x v="153"/>
    <x v="145"/>
    <x v="76"/>
    <s v="9 ÇUVAL"/>
    <n v="5876"/>
    <n v="750"/>
    <n v="5126"/>
    <s v="8 ÇUVAL"/>
    <n v="650"/>
  </r>
  <r>
    <x v="154"/>
    <x v="146"/>
    <x v="76"/>
    <s v="2 ÇUVAL"/>
    <n v="550"/>
    <m/>
    <n v="550"/>
    <m/>
    <n v="275"/>
  </r>
  <r>
    <x v="155"/>
    <x v="147"/>
    <x v="76"/>
    <s v="4 ÇUVAL"/>
    <n v="2665"/>
    <m/>
    <n v="2665"/>
    <m/>
    <s v="810+810+810+235"/>
  </r>
  <r>
    <x v="156"/>
    <x v="148"/>
    <x v="77"/>
    <s v="1 ÇUVAL"/>
    <m/>
    <m/>
    <n v="0"/>
    <m/>
    <m/>
  </r>
  <r>
    <x v="157"/>
    <x v="102"/>
    <x v="78"/>
    <s v="239 KOLİ"/>
    <n v="116390"/>
    <m/>
    <n v="116390"/>
    <m/>
    <n v="500"/>
  </r>
  <r>
    <x v="158"/>
    <x v="143"/>
    <x v="79"/>
    <s v="25 ÇUVAL"/>
    <n v="34400"/>
    <n v="10700"/>
    <n v="23700"/>
    <s v="13 ÇUVAL"/>
    <s v="HER ÇUVAL 912                    12 ÇUVAL 1000           1 ÇUVAL 500"/>
  </r>
  <r>
    <x v="159"/>
    <x v="149"/>
    <x v="79"/>
    <s v="2 ÇUVAL"/>
    <n v="2000"/>
    <m/>
    <n v="2000"/>
    <m/>
    <m/>
  </r>
  <r>
    <x v="160"/>
    <x v="150"/>
    <x v="79"/>
    <s v="2 ÇUVAL"/>
    <n v="1000"/>
    <m/>
    <n v="1000"/>
    <m/>
    <m/>
  </r>
  <r>
    <x v="161"/>
    <x v="151"/>
    <x v="80"/>
    <s v="24 KOLİ"/>
    <n v="9598"/>
    <n v="1600"/>
    <n v="7998"/>
    <s v="20 KOLİ"/>
    <n v="400"/>
  </r>
  <r>
    <x v="162"/>
    <x v="152"/>
    <x v="80"/>
    <s v="45 ÇUVAL"/>
    <n v="163000"/>
    <n v="3125"/>
    <n v="159875"/>
    <s v="44 ÇUVAL"/>
    <n v="3125"/>
  </r>
  <r>
    <x v="163"/>
    <x v="153"/>
    <x v="81"/>
    <s v="1 PALET"/>
    <n v="3720"/>
    <n v="3000"/>
    <n v="720"/>
    <m/>
    <n v="720"/>
  </r>
  <r>
    <x v="164"/>
    <x v="154"/>
    <x v="81"/>
    <s v="13 KOLİ (65 KUTU)"/>
    <n v="3515"/>
    <n v="2965"/>
    <n v="550"/>
    <s v="2 KOLİ 10 KUTU"/>
    <n v="55"/>
  </r>
  <r>
    <x v="165"/>
    <x v="155"/>
    <x v="82"/>
    <s v="6 ÇUVAL"/>
    <n v="50950"/>
    <n v="22525"/>
    <n v="28425"/>
    <s v="3 ÇUVAL"/>
    <n v="9475"/>
  </r>
  <r>
    <x v="166"/>
    <x v="156"/>
    <x v="82"/>
    <s v="27 ÇUVAL"/>
    <n v="82350"/>
    <n v="7100"/>
    <n v="75250"/>
    <s v="25 ÇUVAL"/>
    <n v="3050"/>
  </r>
  <r>
    <x v="167"/>
    <x v="157"/>
    <x v="83"/>
    <s v="6 ÇUVAL"/>
    <n v="22600"/>
    <m/>
    <n v="22600"/>
    <s v="6 ÇUVAL"/>
    <m/>
  </r>
  <r>
    <x v="168"/>
    <x v="158"/>
    <x v="83"/>
    <s v="24 ÇUVAL"/>
    <n v="31050"/>
    <n v="13500"/>
    <n v="17550"/>
    <s v="14 ÇUVAL"/>
    <n v="1350"/>
  </r>
  <r>
    <x v="169"/>
    <x v="159"/>
    <x v="83"/>
    <s v="6 KOLİ"/>
    <n v="10067"/>
    <m/>
    <n v="10067"/>
    <m/>
    <n v="1850"/>
  </r>
  <r>
    <x v="170"/>
    <x v="160"/>
    <x v="84"/>
    <s v="89 ÇUVAL"/>
    <n v="32070"/>
    <m/>
    <n v="32070"/>
    <m/>
    <s v="350 1 ÇUVAL 400"/>
  </r>
  <r>
    <x v="171"/>
    <x v="161"/>
    <x v="85"/>
    <s v="8 ÇUVAL"/>
    <n v="4350"/>
    <n v="560"/>
    <n v="3790"/>
    <s v="7 ÇUVAL"/>
    <n v="560"/>
  </r>
  <r>
    <x v="172"/>
    <x v="162"/>
    <x v="85"/>
    <s v="11 KOLİ"/>
    <n v="22137"/>
    <m/>
    <n v="22137"/>
    <m/>
    <n v="2000"/>
  </r>
  <r>
    <x v="173"/>
    <x v="163"/>
    <x v="85"/>
    <s v="1 ÇUVAL"/>
    <n v="100"/>
    <m/>
    <n v="100"/>
    <m/>
    <n v="400"/>
  </r>
  <r>
    <x v="174"/>
    <x v="164"/>
    <x v="85"/>
    <s v="14 KOLİ"/>
    <n v="20300"/>
    <m/>
    <n v="20300"/>
    <m/>
    <m/>
  </r>
  <r>
    <x v="175"/>
    <x v="165"/>
    <x v="86"/>
    <s v="13 KOLİ"/>
    <n v="13000"/>
    <n v="9700"/>
    <n v="3300"/>
    <s v="4 KOLİ"/>
    <n v="1000"/>
  </r>
  <r>
    <x v="176"/>
    <x v="166"/>
    <x v="86"/>
    <s v="2 KOLİ"/>
    <n v="600"/>
    <m/>
    <n v="600"/>
    <m/>
    <n v="300"/>
  </r>
  <r>
    <x v="177"/>
    <x v="167"/>
    <x v="86"/>
    <s v="1 KASA"/>
    <n v="81"/>
    <n v="76"/>
    <n v="5"/>
    <m/>
    <n v="6"/>
  </r>
  <r>
    <x v="178"/>
    <x v="168"/>
    <x v="86"/>
    <s v="1 KASA"/>
    <n v="81"/>
    <n v="75"/>
    <n v="6"/>
    <m/>
    <n v="6"/>
  </r>
  <r>
    <x v="179"/>
    <x v="169"/>
    <x v="86"/>
    <s v="1 KASA"/>
    <n v="2500"/>
    <m/>
    <n v="2500"/>
    <m/>
    <m/>
  </r>
  <r>
    <x v="180"/>
    <x v="170"/>
    <x v="87"/>
    <s v="14 ÇUVAL"/>
    <n v="5450"/>
    <n v="4370"/>
    <n v="1080"/>
    <s v="3 ÇUVAL"/>
    <n v="387"/>
  </r>
  <r>
    <x v="181"/>
    <x v="171"/>
    <x v="87"/>
    <s v="6 KOLİ"/>
    <n v="5100"/>
    <n v="850"/>
    <n v="4250"/>
    <s v="5 KOLİ"/>
    <n v="850"/>
  </r>
  <r>
    <x v="182"/>
    <x v="172"/>
    <x v="87"/>
    <s v="7 KOLİ"/>
    <n v="20105"/>
    <m/>
    <n v="20105"/>
    <m/>
    <m/>
  </r>
  <r>
    <x v="183"/>
    <x v="173"/>
    <x v="88"/>
    <s v="9 KOLİ"/>
    <n v="9000"/>
    <n v="8100"/>
    <n v="900"/>
    <s v="1 KOLİ"/>
    <n v="1000"/>
  </r>
  <r>
    <x v="184"/>
    <x v="174"/>
    <x v="88"/>
    <s v="5 KOLİ"/>
    <n v="5000"/>
    <m/>
    <n v="5000"/>
    <m/>
    <n v="1000"/>
  </r>
  <r>
    <x v="147"/>
    <x v="139"/>
    <x v="88"/>
    <s v="19 ÇUVAL"/>
    <n v="10500"/>
    <m/>
    <n v="10500"/>
    <m/>
    <m/>
  </r>
  <r>
    <x v="185"/>
    <x v="175"/>
    <x v="89"/>
    <s v="5 KOLİ"/>
    <n v="4000"/>
    <m/>
    <n v="4000"/>
    <m/>
    <n v="785"/>
  </r>
  <r>
    <x v="186"/>
    <x v="176"/>
    <x v="89"/>
    <s v="17 ÇUVAL"/>
    <n v="84000"/>
    <n v="65595"/>
    <n v="18405"/>
    <s v="4 ÇUVAL"/>
    <n v="5045"/>
  </r>
  <r>
    <x v="187"/>
    <x v="177"/>
    <x v="89"/>
    <s v="2 KOLİ"/>
    <n v="3400"/>
    <m/>
    <n v="3400"/>
    <m/>
    <n v="1650"/>
  </r>
  <r>
    <x v="188"/>
    <x v="85"/>
    <x v="89"/>
    <s v="6 KOLİ + 1 ÇUVAL"/>
    <n v="22127"/>
    <n v="2250"/>
    <n v="19877"/>
    <m/>
    <m/>
  </r>
  <r>
    <x v="189"/>
    <x v="178"/>
    <x v="90"/>
    <s v="45 ÇUVAL"/>
    <n v="24600"/>
    <n v="3850"/>
    <n v="20750"/>
    <s v="38 ÇUVAL"/>
    <n v="550"/>
  </r>
  <r>
    <x v="190"/>
    <x v="179"/>
    <x v="91"/>
    <s v="42 KOLİ"/>
    <n v="42000"/>
    <n v="2000"/>
    <n v="40000"/>
    <s v="40 KOLİ"/>
    <n v="10000"/>
  </r>
  <r>
    <x v="191"/>
    <x v="180"/>
    <x v="92"/>
    <s v="4 ÇUVAL"/>
    <n v="1150"/>
    <n v="220"/>
    <n v="930"/>
    <m/>
    <n v="285"/>
  </r>
  <r>
    <x v="192"/>
    <x v="181"/>
    <x v="92"/>
    <s v="13 KOLİ"/>
    <n v="10000"/>
    <m/>
    <n v="10000"/>
    <m/>
    <n v="800"/>
  </r>
  <r>
    <x v="193"/>
    <x v="182"/>
    <x v="92"/>
    <s v="8 KOLİ"/>
    <n v="4536"/>
    <m/>
    <n v="4536"/>
    <m/>
    <n v="567"/>
  </r>
  <r>
    <x v="190"/>
    <x v="179"/>
    <x v="93"/>
    <s v="174 KOLİ"/>
    <n v="174000"/>
    <m/>
    <n v="174000"/>
    <m/>
    <n v="1000"/>
  </r>
  <r>
    <x v="194"/>
    <x v="183"/>
    <x v="94"/>
    <s v="2 ÇUVAL"/>
    <n v="600"/>
    <m/>
    <n v="600"/>
    <m/>
    <m/>
  </r>
  <r>
    <x v="195"/>
    <x v="184"/>
    <x v="94"/>
    <s v="4 ÇUVAL + 1 KASA"/>
    <n v="1947"/>
    <n v="12"/>
    <n v="1935"/>
    <m/>
    <m/>
  </r>
  <r>
    <x v="196"/>
    <x v="185"/>
    <x v="94"/>
    <s v="1 ÇUVAL"/>
    <n v="50"/>
    <m/>
    <n v="50"/>
    <m/>
    <m/>
  </r>
  <r>
    <x v="197"/>
    <x v="186"/>
    <x v="94"/>
    <s v="4 ÇUVAL"/>
    <n v="550"/>
    <m/>
    <n v="550"/>
    <m/>
    <m/>
  </r>
  <r>
    <x v="198"/>
    <x v="187"/>
    <x v="94"/>
    <s v="7 ÇUVAL"/>
    <n v="700"/>
    <m/>
    <n v="700"/>
    <m/>
    <m/>
  </r>
  <r>
    <x v="199"/>
    <x v="188"/>
    <x v="94"/>
    <s v="1 KUTU"/>
    <n v="19"/>
    <m/>
    <n v="19"/>
    <m/>
    <m/>
  </r>
  <r>
    <x v="200"/>
    <x v="189"/>
    <x v="95"/>
    <s v="13 KOLİ"/>
    <n v="13000"/>
    <n v="7000"/>
    <n v="6000"/>
    <s v="6 KOLİ"/>
    <n v="1000"/>
  </r>
  <r>
    <x v="201"/>
    <x v="190"/>
    <x v="95"/>
    <s v="2 KOLİ"/>
    <n v="4375"/>
    <m/>
    <n v="4375"/>
    <m/>
    <n v="2185"/>
  </r>
  <r>
    <x v="202"/>
    <x v="191"/>
    <x v="95"/>
    <s v="6 KOLİ"/>
    <n v="4500"/>
    <n v="750"/>
    <n v="3750"/>
    <s v="5 KOLİ"/>
    <n v="750"/>
  </r>
  <r>
    <x v="203"/>
    <x v="192"/>
    <x v="95"/>
    <s v="2 KOLİ"/>
    <n v="1200"/>
    <m/>
    <n v="1200"/>
    <m/>
    <n v="600"/>
  </r>
  <r>
    <x v="204"/>
    <x v="193"/>
    <x v="96"/>
    <s v="2 KOLİ+1 BEYAZ"/>
    <n v="1800"/>
    <m/>
    <n v="1800"/>
    <m/>
    <m/>
  </r>
  <r>
    <x v="205"/>
    <x v="194"/>
    <x v="96"/>
    <s v="13 KOLİ"/>
    <n v="6654"/>
    <m/>
    <n v="6654"/>
    <m/>
    <n v="510"/>
  </r>
  <r>
    <x v="206"/>
    <x v="195"/>
    <x v="96"/>
    <s v="14 KOLİ"/>
    <n v="14000"/>
    <n v="3000"/>
    <n v="11000"/>
    <s v="11 KOLİ"/>
    <n v="1000"/>
  </r>
  <r>
    <x v="207"/>
    <x v="196"/>
    <x v="96"/>
    <s v="2 ÇUVAL+1 KOLİ"/>
    <n v="1500"/>
    <m/>
    <n v="1500"/>
    <m/>
    <m/>
  </r>
  <r>
    <x v="208"/>
    <x v="197"/>
    <x v="97"/>
    <s v="1 PALET"/>
    <n v="200"/>
    <m/>
    <n v="200"/>
    <m/>
    <n v="100"/>
  </r>
  <r>
    <x v="209"/>
    <x v="198"/>
    <x v="97"/>
    <s v="1 KASA"/>
    <n v="260"/>
    <m/>
    <n v="260"/>
    <m/>
    <m/>
  </r>
  <r>
    <x v="210"/>
    <x v="199"/>
    <x v="97"/>
    <s v="1 KASA"/>
    <n v="60"/>
    <m/>
    <n v="60"/>
    <m/>
    <n v="25"/>
  </r>
  <r>
    <x v="211"/>
    <x v="200"/>
    <x v="98"/>
    <s v="1 ÇUVAL"/>
    <n v="1000"/>
    <m/>
    <n v="1000"/>
    <m/>
    <m/>
  </r>
  <r>
    <x v="212"/>
    <x v="201"/>
    <x v="98"/>
    <s v="1 KOLİ"/>
    <n v="260"/>
    <m/>
    <n v="260"/>
    <m/>
    <m/>
  </r>
  <r>
    <x v="213"/>
    <x v="202"/>
    <x v="99"/>
    <s v="1 ÇUVAL"/>
    <n v="104"/>
    <m/>
    <n v="104"/>
    <m/>
    <m/>
  </r>
  <r>
    <x v="214"/>
    <x v="203"/>
    <x v="99"/>
    <s v="1 ÇUVAL"/>
    <n v="110"/>
    <m/>
    <n v="110"/>
    <m/>
    <m/>
  </r>
  <r>
    <x v="215"/>
    <x v="204"/>
    <x v="100"/>
    <s v="1 ÇUVAL"/>
    <n v="104"/>
    <m/>
    <n v="104"/>
    <m/>
    <m/>
  </r>
  <r>
    <x v="216"/>
    <x v="205"/>
    <x v="101"/>
    <s v="2 KOLİ(15 KUTU)"/>
    <n v="1500"/>
    <n v="100"/>
    <n v="1400"/>
    <m/>
    <s v="HER KUTU 100"/>
  </r>
  <r>
    <x v="217"/>
    <x v="206"/>
    <x v="101"/>
    <s v="1 ÇUVAL"/>
    <n v="106"/>
    <m/>
    <n v="106"/>
    <m/>
    <m/>
  </r>
  <r>
    <x v="218"/>
    <x v="207"/>
    <x v="102"/>
    <s v="1 ÇUVAL"/>
    <n v="765"/>
    <n v="765"/>
    <m/>
    <m/>
    <m/>
  </r>
  <r>
    <x v="219"/>
    <x v="208"/>
    <x v="102"/>
    <s v="1 KASA"/>
    <n v="200"/>
    <m/>
    <n v="200"/>
    <m/>
    <m/>
  </r>
  <r>
    <x v="220"/>
    <x v="209"/>
    <x v="102"/>
    <s v="1 KOLİ"/>
    <n v="2000"/>
    <n v="2000"/>
    <m/>
    <m/>
    <m/>
  </r>
  <r>
    <x v="221"/>
    <x v="210"/>
    <x v="103"/>
    <s v="12 KOLİ"/>
    <n v="9775"/>
    <m/>
    <n v="9775"/>
    <m/>
    <m/>
  </r>
  <r>
    <x v="222"/>
    <x v="89"/>
    <x v="103"/>
    <s v="1 KUTU"/>
    <m/>
    <m/>
    <n v="0"/>
    <m/>
    <m/>
  </r>
  <r>
    <x v="223"/>
    <x v="211"/>
    <x v="104"/>
    <s v="1 POŞET"/>
    <n v="345"/>
    <m/>
    <n v="345"/>
    <m/>
    <m/>
  </r>
  <r>
    <x v="224"/>
    <x v="212"/>
    <x v="104"/>
    <s v="1 ÇUVAL"/>
    <n v="250"/>
    <m/>
    <n v="250"/>
    <m/>
    <m/>
  </r>
  <r>
    <x v="225"/>
    <x v="213"/>
    <x v="104"/>
    <s v="2 ÇUVAL"/>
    <n v="600"/>
    <m/>
    <n v="600"/>
    <m/>
    <n v="300"/>
  </r>
  <r>
    <x v="226"/>
    <x v="214"/>
    <x v="105"/>
    <s v="1 KOLİ + 1 KUTU"/>
    <n v="180"/>
    <m/>
    <n v="180"/>
    <m/>
    <m/>
  </r>
  <r>
    <x v="227"/>
    <x v="215"/>
    <x v="105"/>
    <s v="1 KOLİ"/>
    <n v="160"/>
    <m/>
    <n v="160"/>
    <m/>
    <m/>
  </r>
  <r>
    <x v="228"/>
    <x v="216"/>
    <x v="105"/>
    <s v="1 KOLİ"/>
    <m/>
    <m/>
    <n v="0"/>
    <m/>
    <m/>
  </r>
  <r>
    <x v="229"/>
    <x v="217"/>
    <x v="106"/>
    <s v="1 ÇUVAL"/>
    <n v="100"/>
    <m/>
    <n v="100"/>
    <m/>
    <m/>
  </r>
  <r>
    <x v="230"/>
    <x v="218"/>
    <x v="107"/>
    <s v="2 KUTU+1 POŞET"/>
    <n v="900"/>
    <m/>
    <n v="900"/>
    <m/>
    <m/>
  </r>
  <r>
    <x v="231"/>
    <x v="165"/>
    <x v="107"/>
    <s v="1 KUTU"/>
    <n v="100"/>
    <m/>
    <n v="100"/>
    <m/>
    <m/>
  </r>
  <r>
    <x v="232"/>
    <x v="179"/>
    <x v="107"/>
    <s v="1 KUTU"/>
    <n v="100"/>
    <m/>
    <n v="100"/>
    <m/>
    <m/>
  </r>
  <r>
    <x v="233"/>
    <x v="219"/>
    <x v="107"/>
    <s v="2 KUTU"/>
    <n v="50"/>
    <m/>
    <n v="50"/>
    <m/>
    <m/>
  </r>
  <r>
    <x v="234"/>
    <x v="89"/>
    <x v="108"/>
    <s v="1 POŞET"/>
    <n v="220"/>
    <m/>
    <n v="220"/>
    <m/>
    <m/>
  </r>
  <r>
    <x v="235"/>
    <x v="220"/>
    <x v="108"/>
    <s v="1 ÇUVAL"/>
    <n v="80"/>
    <m/>
    <n v="80"/>
    <m/>
    <m/>
  </r>
  <r>
    <x v="236"/>
    <x v="221"/>
    <x v="108"/>
    <s v="1 ÇUVAL"/>
    <n v="250"/>
    <m/>
    <n v="250"/>
    <m/>
    <n v="250"/>
  </r>
  <r>
    <x v="237"/>
    <x v="222"/>
    <x v="108"/>
    <s v="3 ÇUVAL"/>
    <n v="750"/>
    <m/>
    <n v="750"/>
    <m/>
    <n v="250"/>
  </r>
  <r>
    <x v="238"/>
    <x v="223"/>
    <x v="108"/>
    <s v="1 ÇUVAL"/>
    <n v="19"/>
    <m/>
    <n v="19"/>
    <m/>
    <n v="19"/>
  </r>
  <r>
    <x v="239"/>
    <x v="224"/>
    <x v="108"/>
    <m/>
    <n v="273"/>
    <n v="50"/>
    <n v="223"/>
    <m/>
    <n v="273"/>
  </r>
  <r>
    <x v="240"/>
    <x v="225"/>
    <x v="108"/>
    <s v="1 ÇUVAL"/>
    <n v="20"/>
    <m/>
    <n v="20"/>
    <m/>
    <m/>
  </r>
  <r>
    <x v="241"/>
    <x v="226"/>
    <x v="108"/>
    <s v="1 ÇUVAL"/>
    <n v="2308"/>
    <m/>
    <n v="2308"/>
    <m/>
    <n v="2308"/>
  </r>
  <r>
    <x v="242"/>
    <x v="227"/>
    <x v="108"/>
    <s v="1 KASA+5 ÇUVAL"/>
    <n v="2296"/>
    <m/>
    <n v="2296"/>
    <m/>
    <m/>
  </r>
  <r>
    <x v="243"/>
    <x v="228"/>
    <x v="108"/>
    <s v="1 KOLİ"/>
    <n v="47"/>
    <m/>
    <n v="47"/>
    <m/>
    <n v="47"/>
  </r>
  <r>
    <x v="244"/>
    <x v="229"/>
    <x v="108"/>
    <s v="3 ÇUVAL"/>
    <n v="3000"/>
    <n v="2000"/>
    <n v="1000"/>
    <m/>
    <n v="1500"/>
  </r>
  <r>
    <x v="245"/>
    <x v="230"/>
    <x v="108"/>
    <s v="1 ÇUVAL"/>
    <n v="300"/>
    <m/>
    <n v="300"/>
    <m/>
    <m/>
  </r>
  <r>
    <x v="246"/>
    <x v="231"/>
    <x v="108"/>
    <s v="1 KASA"/>
    <n v="328"/>
    <m/>
    <n v="328"/>
    <m/>
    <m/>
  </r>
  <r>
    <x v="247"/>
    <x v="232"/>
    <x v="109"/>
    <s v="1 KASA"/>
    <n v="350"/>
    <m/>
    <n v="350"/>
    <m/>
    <n v="350"/>
  </r>
  <r>
    <x v="248"/>
    <x v="233"/>
    <x v="109"/>
    <s v="2 ÇUVAL"/>
    <n v="106"/>
    <n v="60"/>
    <n v="46"/>
    <s v="1 ÇUVAL"/>
    <n v="53"/>
  </r>
  <r>
    <x v="249"/>
    <x v="234"/>
    <x v="109"/>
    <s v="4 ÇUVAL"/>
    <n v="500"/>
    <n v="160"/>
    <n v="340"/>
    <s v="3 ÇUVAL"/>
    <n v="125"/>
  </r>
  <r>
    <x v="250"/>
    <x v="235"/>
    <x v="109"/>
    <s v="2 ÇUVAL"/>
    <n v="305"/>
    <m/>
    <n v="305"/>
    <m/>
    <n v="150"/>
  </r>
  <r>
    <x v="251"/>
    <x v="236"/>
    <x v="109"/>
    <s v="2 ÇUVAL"/>
    <n v="116"/>
    <n v="25"/>
    <n v="91"/>
    <m/>
    <n v="58"/>
  </r>
  <r>
    <x v="252"/>
    <x v="237"/>
    <x v="109"/>
    <s v="1 KASA+ 3 ÇUVAL"/>
    <n v="381"/>
    <m/>
    <n v="381"/>
    <m/>
    <m/>
  </r>
  <r>
    <x v="253"/>
    <x v="238"/>
    <x v="109"/>
    <s v="1 KASA + 10 ÇUVAL "/>
    <n v="45032"/>
    <n v="35000"/>
    <n v="10032"/>
    <s v="1 KASA"/>
    <s v="KASA 6732"/>
  </r>
  <r>
    <x v="254"/>
    <x v="239"/>
    <x v="110"/>
    <s v="1 KASA"/>
    <n v="330"/>
    <m/>
    <n v="330"/>
    <m/>
    <n v="330"/>
  </r>
  <r>
    <x v="255"/>
    <x v="240"/>
    <x v="110"/>
    <s v="1 KASA"/>
    <n v="423"/>
    <n v="400"/>
    <n v="23"/>
    <m/>
    <m/>
  </r>
  <r>
    <x v="256"/>
    <x v="241"/>
    <x v="110"/>
    <s v="8 ÇUVAL"/>
    <n v="500"/>
    <n v="70"/>
    <n v="430"/>
    <m/>
    <m/>
  </r>
  <r>
    <x v="93"/>
    <x v="242"/>
    <x v="111"/>
    <s v="2 ÇUVAL"/>
    <m/>
    <m/>
    <n v="0"/>
    <m/>
    <m/>
  </r>
  <r>
    <x v="257"/>
    <x v="243"/>
    <x v="111"/>
    <s v="8 ÇUVAL"/>
    <n v="3400"/>
    <n v="1880"/>
    <n v="1520"/>
    <s v="4 ÇUVAL"/>
    <n v="410"/>
  </r>
  <r>
    <x v="258"/>
    <x v="244"/>
    <x v="111"/>
    <s v="2 ÇUVAL"/>
    <n v="350"/>
    <n v="50"/>
    <n v="300"/>
    <m/>
    <n v="150"/>
  </r>
  <r>
    <x v="259"/>
    <x v="245"/>
    <x v="111"/>
    <s v="3 ÇUVAL"/>
    <n v="498"/>
    <n v="50"/>
    <n v="448"/>
    <m/>
    <m/>
  </r>
  <r>
    <x v="260"/>
    <x v="246"/>
    <x v="111"/>
    <s v="1 ÇUVAL"/>
    <n v="250"/>
    <m/>
    <n v="250"/>
    <m/>
    <m/>
  </r>
  <r>
    <x v="261"/>
    <x v="247"/>
    <x v="112"/>
    <s v="4 ÇUVAL"/>
    <n v="300"/>
    <m/>
    <n v="300"/>
    <m/>
    <n v="75"/>
  </r>
  <r>
    <x v="262"/>
    <x v="248"/>
    <x v="112"/>
    <s v="1 KASA"/>
    <n v="222"/>
    <m/>
    <n v="222"/>
    <m/>
    <n v="222"/>
  </r>
  <r>
    <x v="263"/>
    <x v="249"/>
    <x v="112"/>
    <s v="1 ÇUVAL"/>
    <n v="75"/>
    <n v="48"/>
    <n v="27"/>
    <m/>
    <n v="27"/>
  </r>
  <r>
    <x v="264"/>
    <x v="250"/>
    <x v="112"/>
    <s v="1 KASA"/>
    <n v="100"/>
    <m/>
    <n v="100"/>
    <m/>
    <n v="100"/>
  </r>
  <r>
    <x v="265"/>
    <x v="219"/>
    <x v="113"/>
    <s v="9 KOLİ"/>
    <n v="10263"/>
    <n v="4900"/>
    <n v="5363"/>
    <s v="4 KOLİ"/>
    <n v="1200"/>
  </r>
  <r>
    <x v="266"/>
    <x v="251"/>
    <x v="113"/>
    <s v="5 KOLİ"/>
    <n v="5149"/>
    <n v="5149"/>
    <n v="0"/>
    <m/>
    <n v="1000"/>
  </r>
  <r>
    <x v="267"/>
    <x v="252"/>
    <x v="114"/>
    <s v="4 ÇUVAL"/>
    <n v="1340"/>
    <m/>
    <n v="1340"/>
    <m/>
    <m/>
  </r>
  <r>
    <x v="268"/>
    <x v="253"/>
    <x v="114"/>
    <s v="3 KASA"/>
    <n v="250"/>
    <n v="250"/>
    <n v="0"/>
    <m/>
    <n v="80"/>
  </r>
  <r>
    <x v="269"/>
    <x v="254"/>
    <x v="115"/>
    <s v="3 KASA"/>
    <n v="6500"/>
    <n v="50"/>
    <n v="6450"/>
    <m/>
    <m/>
  </r>
  <r>
    <x v="270"/>
    <x v="255"/>
    <x v="113"/>
    <s v="9 KOLİ"/>
    <n v="13500"/>
    <m/>
    <n v="13500"/>
    <m/>
    <n v="1500"/>
  </r>
  <r>
    <x v="271"/>
    <x v="256"/>
    <x v="116"/>
    <s v="6 KOLİ"/>
    <n v="5086"/>
    <n v="1000"/>
    <n v="4086"/>
    <m/>
    <m/>
  </r>
  <r>
    <x v="272"/>
    <x v="257"/>
    <x v="117"/>
    <s v="1 KASA"/>
    <n v="1300"/>
    <n v="700"/>
    <n v="600"/>
    <m/>
    <n v="1300"/>
  </r>
  <r>
    <x v="273"/>
    <x v="258"/>
    <x v="117"/>
    <s v="1 ÇUVAL"/>
    <n v="50"/>
    <m/>
    <n v="50"/>
    <m/>
    <m/>
  </r>
  <r>
    <x v="274"/>
    <x v="259"/>
    <x v="118"/>
    <s v="1 KASA"/>
    <n v="1600"/>
    <n v="1494"/>
    <n v="106"/>
    <m/>
    <m/>
  </r>
  <r>
    <x v="274"/>
    <x v="260"/>
    <x v="118"/>
    <s v="1 KASA"/>
    <n v="950"/>
    <n v="848"/>
    <n v="102"/>
    <m/>
    <m/>
  </r>
  <r>
    <x v="275"/>
    <x v="261"/>
    <x v="119"/>
    <s v="19 KOLİ"/>
    <n v="26278"/>
    <n v="1500"/>
    <n v="24778"/>
    <s v="18 KOLİ"/>
    <n v="1500"/>
  </r>
  <r>
    <x v="276"/>
    <x v="262"/>
    <x v="119"/>
    <s v="7 KOLİ"/>
    <n v="16800"/>
    <n v="12500"/>
    <n v="4300"/>
    <s v="1 KOLİ"/>
    <n v="2400"/>
  </r>
  <r>
    <x v="277"/>
    <x v="263"/>
    <x v="119"/>
    <m/>
    <n v="51"/>
    <m/>
    <n v="51"/>
    <m/>
    <n v="51"/>
  </r>
  <r>
    <x v="278"/>
    <x v="264"/>
    <x v="120"/>
    <s v="2 KUTU"/>
    <n v="450"/>
    <m/>
    <n v="450"/>
    <m/>
    <m/>
  </r>
  <r>
    <x v="279"/>
    <x v="265"/>
    <x v="120"/>
    <m/>
    <n v="138"/>
    <m/>
    <n v="138"/>
    <m/>
    <n v="138"/>
  </r>
  <r>
    <x v="280"/>
    <x v="266"/>
    <x v="120"/>
    <s v="1 KASA"/>
    <n v="21"/>
    <m/>
    <n v="21"/>
    <m/>
    <n v="21"/>
  </r>
  <r>
    <x v="281"/>
    <x v="267"/>
    <x v="121"/>
    <s v="1 KASA"/>
    <n v="723"/>
    <m/>
    <n v="723"/>
    <m/>
    <m/>
  </r>
  <r>
    <x v="282"/>
    <x v="268"/>
    <x v="121"/>
    <s v="1 KASA"/>
    <m/>
    <m/>
    <m/>
    <m/>
    <m/>
  </r>
  <r>
    <x v="283"/>
    <x v="269"/>
    <x v="122"/>
    <s v="1 KOLİ"/>
    <n v="108"/>
    <n v="74"/>
    <n v="34"/>
    <m/>
    <n v="34"/>
  </r>
  <r>
    <x v="284"/>
    <x v="270"/>
    <x v="123"/>
    <s v="1 KOLİ"/>
    <n v="738"/>
    <n v="70"/>
    <n v="668"/>
    <m/>
    <n v="168"/>
  </r>
  <r>
    <x v="285"/>
    <x v="271"/>
    <x v="123"/>
    <s v="1 POŞET"/>
    <m/>
    <m/>
    <n v="0"/>
    <m/>
    <m/>
  </r>
  <r>
    <x v="286"/>
    <x v="89"/>
    <x v="124"/>
    <s v="1 KOLİ"/>
    <m/>
    <m/>
    <n v="0"/>
    <m/>
    <m/>
  </r>
  <r>
    <x v="287"/>
    <x v="89"/>
    <x v="124"/>
    <s v="1 TORBA"/>
    <n v="282"/>
    <m/>
    <n v="282"/>
    <m/>
    <m/>
  </r>
  <r>
    <x v="288"/>
    <x v="272"/>
    <x v="125"/>
    <s v="1 ÇUVAL"/>
    <n v="200"/>
    <m/>
    <n v="200"/>
    <m/>
    <m/>
  </r>
  <r>
    <x v="289"/>
    <x v="273"/>
    <x v="126"/>
    <s v="1 ÇUVAL"/>
    <n v="130"/>
    <n v="130"/>
    <n v="0"/>
    <m/>
    <m/>
  </r>
  <r>
    <x v="290"/>
    <x v="274"/>
    <x v="127"/>
    <s v="1 KOLİ"/>
    <n v="246"/>
    <m/>
    <n v="246"/>
    <m/>
    <m/>
  </r>
  <r>
    <x v="291"/>
    <x v="275"/>
    <x v="128"/>
    <s v="5 KOLİ"/>
    <n v="5200"/>
    <n v="717"/>
    <n v="4483"/>
    <m/>
    <m/>
  </r>
  <r>
    <x v="292"/>
    <x v="89"/>
    <x v="129"/>
    <s v="1 ÇUVAL"/>
    <n v="35"/>
    <n v="35"/>
    <n v="0"/>
    <m/>
    <m/>
  </r>
  <r>
    <x v="293"/>
    <x v="276"/>
    <x v="129"/>
    <s v="1 KOLİ"/>
    <n v="6000"/>
    <m/>
    <n v="6000"/>
    <m/>
    <n v="6000"/>
  </r>
  <r>
    <x v="294"/>
    <x v="277"/>
    <x v="130"/>
    <s v="3 ÇUVAL"/>
    <n v="782"/>
    <m/>
    <n v="782"/>
    <m/>
    <n v="260"/>
  </r>
  <r>
    <x v="295"/>
    <x v="278"/>
    <x v="131"/>
    <s v="1 KUTU"/>
    <n v="587"/>
    <n v="5"/>
    <n v="582"/>
    <m/>
    <m/>
  </r>
  <r>
    <x v="295"/>
    <x v="279"/>
    <x v="131"/>
    <s v="1 POŞET"/>
    <n v="84"/>
    <n v="5"/>
    <n v="79"/>
    <m/>
    <m/>
  </r>
  <r>
    <x v="296"/>
    <x v="280"/>
    <x v="131"/>
    <s v="12 ÇUVAL"/>
    <n v="157500"/>
    <n v="26250"/>
    <n v="131250"/>
    <s v="10 ÇUVAL"/>
    <n v="13125"/>
  </r>
  <r>
    <x v="297"/>
    <x v="281"/>
    <x v="132"/>
    <s v="2 ÇUVAL"/>
    <n v="6400"/>
    <m/>
    <n v="6400"/>
    <m/>
    <m/>
  </r>
  <r>
    <x v="298"/>
    <x v="282"/>
    <x v="132"/>
    <s v="3 ÇUVAL"/>
    <n v="164000"/>
    <m/>
    <n v="164000"/>
    <m/>
    <s v="56500 1 ÇUVAL 53750"/>
  </r>
  <r>
    <x v="299"/>
    <x v="283"/>
    <x v="133"/>
    <s v="2 KASA + 4 KOLİ"/>
    <n v="3530"/>
    <n v="450"/>
    <n v="3080"/>
    <m/>
    <m/>
  </r>
  <r>
    <x v="300"/>
    <x v="284"/>
    <x v="134"/>
    <s v="1 ÇUVAL"/>
    <n v="1050"/>
    <n v="566"/>
    <n v="484"/>
    <m/>
    <n v="1050"/>
  </r>
  <r>
    <x v="301"/>
    <x v="285"/>
    <x v="135"/>
    <s v="1 KASA"/>
    <n v="262"/>
    <m/>
    <n v="262"/>
    <m/>
    <m/>
  </r>
  <r>
    <x v="302"/>
    <x v="286"/>
    <x v="135"/>
    <s v="1 KASA"/>
    <n v="1339"/>
    <m/>
    <n v="1339"/>
    <m/>
    <m/>
  </r>
  <r>
    <x v="303"/>
    <x v="287"/>
    <x v="136"/>
    <s v="1 ÇUVAL + 1 POŞET"/>
    <n v="500"/>
    <m/>
    <n v="500"/>
    <m/>
    <m/>
  </r>
  <r>
    <x v="304"/>
    <x v="89"/>
    <x v="136"/>
    <s v="1 KOLİ"/>
    <n v="375"/>
    <m/>
    <n v="375"/>
    <m/>
    <n v="375"/>
  </r>
  <r>
    <x v="305"/>
    <x v="288"/>
    <x v="135"/>
    <s v="16 ÇUVAL"/>
    <n v="95800"/>
    <n v="11000"/>
    <n v="84800"/>
    <s v="14 ÇUVAL"/>
    <n v="5500"/>
  </r>
  <r>
    <x v="306"/>
    <x v="289"/>
    <x v="135"/>
    <s v="11 ÇUVAL"/>
    <n v="65000"/>
    <n v="15900"/>
    <n v="49100"/>
    <s v="8 ÇUVAL"/>
    <n v="5300"/>
  </r>
  <r>
    <x v="307"/>
    <x v="290"/>
    <x v="137"/>
    <s v="1 KASA"/>
    <n v="7800"/>
    <n v="6150"/>
    <n v="1650"/>
    <m/>
    <n v="1670"/>
  </r>
  <r>
    <x v="308"/>
    <x v="291"/>
    <x v="138"/>
    <s v="9 ÇUVAL"/>
    <n v="130000"/>
    <n v="26400"/>
    <n v="103600"/>
    <s v="7 ÇUVAL"/>
    <n v="13200"/>
  </r>
  <r>
    <x v="309"/>
    <x v="292"/>
    <x v="138"/>
    <s v="1 POŞET"/>
    <n v="500"/>
    <m/>
    <n v="500"/>
    <m/>
    <m/>
  </r>
  <r>
    <x v="310"/>
    <x v="293"/>
    <x v="138"/>
    <s v="11 ÇUVAL"/>
    <n v="370000"/>
    <n v="72500"/>
    <n v="297500"/>
    <s v="5 ÇUVAL"/>
    <s v="36250 - 1 ÇUVAL 43000"/>
  </r>
  <r>
    <x v="311"/>
    <x v="89"/>
    <x v="139"/>
    <s v="1 KUTU"/>
    <n v="1000"/>
    <m/>
    <n v="1000"/>
    <m/>
    <m/>
  </r>
  <r>
    <x v="93"/>
    <x v="89"/>
    <x v="49"/>
    <m/>
    <m/>
    <m/>
    <m/>
    <m/>
    <m/>
  </r>
  <r>
    <x v="312"/>
    <x v="292"/>
    <x v="139"/>
    <s v="1 POŞET"/>
    <n v="5150"/>
    <m/>
    <n v="5150"/>
    <m/>
    <n v="5150"/>
  </r>
  <r>
    <x v="313"/>
    <x v="294"/>
    <x v="139"/>
    <s v="10 ÇUVAL"/>
    <n v="22500"/>
    <m/>
    <n v="22500"/>
    <s v="10ÇUVAL"/>
    <m/>
  </r>
  <r>
    <x v="314"/>
    <x v="295"/>
    <x v="140"/>
    <s v="1 KASA"/>
    <n v="1090"/>
    <m/>
    <n v="1090"/>
    <m/>
    <m/>
  </r>
  <r>
    <x v="315"/>
    <x v="296"/>
    <x v="140"/>
    <s v="1 KASA+3 ÇUVAL"/>
    <n v="359"/>
    <m/>
    <n v="359"/>
    <s v="109 AD GALVANİZLİ"/>
    <m/>
  </r>
  <r>
    <x v="316"/>
    <x v="297"/>
    <x v="141"/>
    <s v="6 KOLİ"/>
    <n v="3600"/>
    <m/>
    <n v="3600"/>
    <m/>
    <n v="600"/>
  </r>
  <r>
    <x v="317"/>
    <x v="298"/>
    <x v="141"/>
    <s v="2 KOLİ"/>
    <n v="300"/>
    <n v="25"/>
    <n v="275"/>
    <m/>
    <n v="150"/>
  </r>
  <r>
    <x v="318"/>
    <x v="218"/>
    <x v="141"/>
    <s v="2 KOLİ"/>
    <n v="7289"/>
    <m/>
    <n v="7289"/>
    <m/>
    <n v="3645"/>
  </r>
  <r>
    <x v="319"/>
    <x v="299"/>
    <x v="142"/>
    <s v="40 KOLİ"/>
    <n v="2625"/>
    <n v="250"/>
    <n v="2375"/>
    <s v="19 KOLİ"/>
    <n v="125"/>
  </r>
  <r>
    <x v="320"/>
    <x v="300"/>
    <x v="142"/>
    <s v="3 KOLİ"/>
    <n v="1200"/>
    <m/>
    <n v="1200"/>
    <m/>
    <n v="400"/>
  </r>
  <r>
    <x v="321"/>
    <x v="301"/>
    <x v="142"/>
    <s v="1 KOLİ"/>
    <m/>
    <m/>
    <n v="0"/>
    <m/>
    <m/>
  </r>
  <r>
    <x v="322"/>
    <x v="302"/>
    <x v="143"/>
    <s v="20 KOLİ"/>
    <n v="30115"/>
    <n v="19615"/>
    <n v="10500"/>
    <s v="7 KOLİ"/>
    <n v="1500"/>
  </r>
  <r>
    <x v="323"/>
    <x v="302"/>
    <x v="143"/>
    <s v="3 KOLİ"/>
    <n v="4500"/>
    <m/>
    <n v="4500"/>
    <m/>
    <n v="1500"/>
  </r>
  <r>
    <x v="324"/>
    <x v="303"/>
    <x v="143"/>
    <s v="3 KOLİ"/>
    <n v="1750"/>
    <m/>
    <n v="1750"/>
    <m/>
    <m/>
  </r>
  <r>
    <x v="325"/>
    <x v="304"/>
    <x v="144"/>
    <s v="21 KOLİ "/>
    <n v="63000"/>
    <m/>
    <n v="63000"/>
    <s v=" KOLİ"/>
    <n v="3000"/>
  </r>
  <r>
    <x v="182"/>
    <x v="172"/>
    <x v="144"/>
    <s v="4 ÇUVAL"/>
    <n v="28000"/>
    <m/>
    <n v="28000"/>
    <m/>
    <m/>
  </r>
  <r>
    <x v="326"/>
    <x v="305"/>
    <x v="144"/>
    <s v="24 KOLİ"/>
    <n v="35167"/>
    <m/>
    <n v="35167"/>
    <s v="24 KOLİ"/>
    <n v="1250"/>
  </r>
  <r>
    <x v="327"/>
    <x v="306"/>
    <x v="145"/>
    <s v="16 KOLİ"/>
    <n v="43600"/>
    <n v="16000"/>
    <n v="27600"/>
    <s v="10 KOLİ"/>
    <n v="3000"/>
  </r>
  <r>
    <x v="328"/>
    <x v="307"/>
    <x v="145"/>
    <s v="9 KOLİ"/>
    <n v="1700"/>
    <m/>
    <n v="1700"/>
    <m/>
    <n v="189"/>
  </r>
  <r>
    <x v="329"/>
    <x v="308"/>
    <x v="146"/>
    <s v="2 KOLİ"/>
    <n v="2200"/>
    <m/>
    <n v="2200"/>
    <m/>
    <m/>
  </r>
  <r>
    <x v="330"/>
    <x v="309"/>
    <x v="147"/>
    <s v="2 KOLİ"/>
    <n v="3750"/>
    <m/>
    <n v="3750"/>
    <m/>
    <m/>
  </r>
  <r>
    <x v="331"/>
    <x v="310"/>
    <x v="146"/>
    <s v="6 KUTU"/>
    <n v="4500"/>
    <n v="3500"/>
    <n v="1000"/>
    <s v="1 ÇUVAL"/>
    <n v="100"/>
  </r>
  <r>
    <x v="332"/>
    <x v="311"/>
    <x v="146"/>
    <s v="4 KOLİ"/>
    <n v="8200"/>
    <n v="2700"/>
    <n v="5500"/>
    <s v="2 KOLİ"/>
    <n v="2050"/>
  </r>
  <r>
    <x v="333"/>
    <x v="312"/>
    <x v="148"/>
    <s v="27 KOLİ"/>
    <n v="52500"/>
    <n v="1200"/>
    <n v="51300"/>
    <m/>
    <n v="1750"/>
  </r>
  <r>
    <x v="334"/>
    <x v="313"/>
    <x v="148"/>
    <s v="16 KOLİ"/>
    <n v="10540"/>
    <n v="2360"/>
    <n v="8180"/>
    <s v="11 KOLİ"/>
    <n v="700"/>
  </r>
  <r>
    <x v="335"/>
    <x v="314"/>
    <x v="149"/>
    <s v="10 KOLİ +1 ÇUVAL"/>
    <n v="6250"/>
    <n v="1700"/>
    <n v="4550"/>
    <s v="8 KOLİ+1 ÇUVAL"/>
    <s v="KOLİ 600 ÇUVAL 250"/>
  </r>
  <r>
    <x v="336"/>
    <x v="92"/>
    <x v="149"/>
    <s v="4 KOLİ"/>
    <n v="5000"/>
    <m/>
    <n v="5000"/>
    <m/>
    <n v="1250"/>
  </r>
  <r>
    <x v="337"/>
    <x v="315"/>
    <x v="149"/>
    <s v="2 KOLİ"/>
    <n v="5000"/>
    <n v="500"/>
    <n v="4500"/>
    <m/>
    <n v="2500"/>
  </r>
  <r>
    <x v="338"/>
    <x v="316"/>
    <x v="149"/>
    <s v="4 KOLİ"/>
    <n v="20043"/>
    <n v="14800"/>
    <n v="5243"/>
    <s v="2 KOLİ"/>
    <n v="6000"/>
  </r>
  <r>
    <x v="339"/>
    <x v="317"/>
    <x v="150"/>
    <s v="2 ÇUVAL+ 2 KOLİ"/>
    <n v="4000"/>
    <n v="200"/>
    <n v="3800"/>
    <m/>
    <m/>
  </r>
  <r>
    <x v="340"/>
    <x v="318"/>
    <x v="150"/>
    <s v="14 KOLİ "/>
    <n v="35000"/>
    <n v="30000"/>
    <n v="5000"/>
    <s v="2 KOLİ"/>
    <n v="2500"/>
  </r>
  <r>
    <x v="341"/>
    <x v="319"/>
    <x v="151"/>
    <s v="1 KOLİ"/>
    <n v="126"/>
    <m/>
    <n v="126"/>
    <m/>
    <n v="126"/>
  </r>
  <r>
    <x v="342"/>
    <x v="320"/>
    <x v="151"/>
    <s v="1 KOLİ"/>
    <n v="2650"/>
    <m/>
    <n v="2650"/>
    <m/>
    <n v="2650"/>
  </r>
  <r>
    <x v="343"/>
    <x v="321"/>
    <x v="151"/>
    <s v="1 KOLİ"/>
    <n v="5440"/>
    <n v="450"/>
    <n v="4990"/>
    <m/>
    <n v="5440"/>
  </r>
  <r>
    <x v="344"/>
    <x v="322"/>
    <x v="151"/>
    <s v="1 POŞET"/>
    <n v="50"/>
    <n v="15"/>
    <n v="35"/>
    <m/>
    <m/>
  </r>
  <r>
    <x v="345"/>
    <x v="322"/>
    <x v="151"/>
    <s v="1 KUTU"/>
    <n v="55"/>
    <m/>
    <n v="55"/>
    <m/>
    <n v="572"/>
  </r>
  <r>
    <x v="346"/>
    <x v="323"/>
    <x v="152"/>
    <s v="6 KOLİ"/>
    <n v="23161"/>
    <m/>
    <n v="23161"/>
    <m/>
    <n v="4000"/>
  </r>
  <r>
    <x v="347"/>
    <x v="324"/>
    <x v="153"/>
    <s v="1 KOLİ"/>
    <n v="400"/>
    <m/>
    <n v="400"/>
    <m/>
    <m/>
  </r>
  <r>
    <x v="348"/>
    <x v="325"/>
    <x v="154"/>
    <s v="3 ÇUVAL"/>
    <n v="20500"/>
    <n v="2000"/>
    <n v="18500"/>
    <m/>
    <s v="7500+7500+5500"/>
  </r>
  <r>
    <x v="349"/>
    <x v="326"/>
    <x v="155"/>
    <s v="3 KOLİ"/>
    <n v="1131"/>
    <m/>
    <n v="1131"/>
    <m/>
    <m/>
  </r>
  <r>
    <x v="350"/>
    <x v="327"/>
    <x v="155"/>
    <s v="1 KOLİ"/>
    <n v="150"/>
    <m/>
    <n v="150"/>
    <m/>
    <n v="150"/>
  </r>
  <r>
    <x v="351"/>
    <x v="328"/>
    <x v="155"/>
    <s v="1 KOLİ"/>
    <n v="10000"/>
    <m/>
    <n v="10000"/>
    <m/>
    <n v="10000"/>
  </r>
  <r>
    <x v="221"/>
    <x v="210"/>
    <x v="155"/>
    <s v="1 KOLİ"/>
    <n v="300"/>
    <m/>
    <n v="300"/>
    <m/>
    <n v="100"/>
  </r>
  <r>
    <x v="352"/>
    <x v="329"/>
    <x v="156"/>
    <s v="1 KUTU"/>
    <n v="844"/>
    <n v="35"/>
    <n v="809"/>
    <m/>
    <n v="844"/>
  </r>
  <r>
    <x v="353"/>
    <x v="330"/>
    <x v="157"/>
    <s v="8 KOLİ"/>
    <n v="24000"/>
    <n v="6000"/>
    <n v="18000"/>
    <s v="6 KOLİ"/>
    <n v="3000"/>
  </r>
  <r>
    <x v="351"/>
    <x v="328"/>
    <x v="158"/>
    <s v="7 KOLİ"/>
    <n v="49714"/>
    <m/>
    <n v="49714"/>
    <m/>
    <n v="8000"/>
  </r>
  <r>
    <x v="354"/>
    <x v="331"/>
    <x v="159"/>
    <s v="1 KOLİ"/>
    <n v="2400"/>
    <m/>
    <n v="2400"/>
    <m/>
    <m/>
  </r>
  <r>
    <x v="355"/>
    <x v="332"/>
    <x v="159"/>
    <s v="8 KOLİ"/>
    <n v="114000"/>
    <n v="83129"/>
    <n v="30258"/>
    <s v="2 KOLİ"/>
    <n v="15129"/>
  </r>
  <r>
    <x v="356"/>
    <x v="333"/>
    <x v="160"/>
    <s v="1 KUTU"/>
    <n v="35"/>
    <m/>
    <n v="35"/>
    <m/>
    <n v="35"/>
  </r>
  <r>
    <x v="357"/>
    <x v="334"/>
    <x v="160"/>
    <s v="1 KOLİ"/>
    <n v="170"/>
    <m/>
    <n v="170"/>
    <m/>
    <n v="170"/>
  </r>
  <r>
    <x v="358"/>
    <x v="331"/>
    <x v="160"/>
    <s v="1 KOLİ"/>
    <n v="250"/>
    <m/>
    <n v="250"/>
    <m/>
    <n v="250"/>
  </r>
  <r>
    <x v="359"/>
    <x v="335"/>
    <x v="160"/>
    <s v="1 KOLİ"/>
    <n v="2000"/>
    <m/>
    <n v="2000"/>
    <m/>
    <n v="2000"/>
  </r>
  <r>
    <x v="360"/>
    <x v="316"/>
    <x v="160"/>
    <s v="1 KOLİ"/>
    <n v="200"/>
    <m/>
    <n v="200"/>
    <m/>
    <n v="200"/>
  </r>
  <r>
    <x v="361"/>
    <x v="336"/>
    <x v="161"/>
    <s v="1 KOLİ"/>
    <n v="302"/>
    <m/>
    <n v="302"/>
    <m/>
    <n v="302"/>
  </r>
  <r>
    <x v="362"/>
    <x v="337"/>
    <x v="161"/>
    <s v="1 KOLİ"/>
    <n v="45"/>
    <m/>
    <n v="45"/>
    <m/>
    <n v="45"/>
  </r>
  <r>
    <x v="363"/>
    <x v="262"/>
    <x v="161"/>
    <s v="6 KOLİ"/>
    <n v="11048"/>
    <m/>
    <n v="11048"/>
    <m/>
    <n v="2000"/>
  </r>
  <r>
    <x v="364"/>
    <x v="297"/>
    <x v="162"/>
    <s v="17 KOLİ"/>
    <n v="10117"/>
    <m/>
    <n v="10117"/>
    <m/>
    <n v="600"/>
  </r>
  <r>
    <x v="365"/>
    <x v="338"/>
    <x v="163"/>
    <s v="2 KOLİ + 1 KUTU"/>
    <n v="4000"/>
    <n v="2000"/>
    <n v="2000"/>
    <m/>
    <n v="2000"/>
  </r>
  <r>
    <x v="366"/>
    <x v="339"/>
    <x v="163"/>
    <s v="1 KOLİ"/>
    <m/>
    <m/>
    <n v="0"/>
    <m/>
    <n v="2000"/>
  </r>
  <r>
    <x v="367"/>
    <x v="340"/>
    <x v="163"/>
    <s v="1 KOLİ"/>
    <n v="117"/>
    <m/>
    <n v="117"/>
    <m/>
    <n v="117"/>
  </r>
  <r>
    <x v="368"/>
    <x v="292"/>
    <x v="164"/>
    <s v="1 KUTU"/>
    <n v="800"/>
    <m/>
    <n v="800"/>
    <m/>
    <n v="800"/>
  </r>
  <r>
    <x v="369"/>
    <x v="280"/>
    <x v="164"/>
    <s v="1 KASA"/>
    <n v="8314"/>
    <m/>
    <n v="8314"/>
    <m/>
    <n v="8314"/>
  </r>
  <r>
    <x v="370"/>
    <x v="289"/>
    <x v="164"/>
    <s v="1 KUTU"/>
    <n v="437"/>
    <m/>
    <n v="437"/>
    <m/>
    <n v="437"/>
  </r>
  <r>
    <x v="371"/>
    <x v="288"/>
    <x v="164"/>
    <s v="1 KUTU"/>
    <n v="445"/>
    <m/>
    <n v="445"/>
    <m/>
    <n v="445"/>
  </r>
  <r>
    <x v="372"/>
    <x v="341"/>
    <x v="165"/>
    <s v="1 ÇUVAL"/>
    <n v="100"/>
    <m/>
    <n v="100"/>
    <m/>
    <m/>
  </r>
  <r>
    <x v="373"/>
    <x v="342"/>
    <x v="166"/>
    <s v="1 KUTU"/>
    <n v="3775"/>
    <n v="1160"/>
    <n v="2615"/>
    <s v="13 03 2026"/>
    <n v="3775"/>
  </r>
  <r>
    <x v="374"/>
    <x v="343"/>
    <x v="166"/>
    <s v="1 KUTU"/>
    <n v="1184"/>
    <m/>
    <n v="1184"/>
    <m/>
    <n v="1184"/>
  </r>
  <r>
    <x v="375"/>
    <x v="344"/>
    <x v="166"/>
    <s v="1 KOLİ"/>
    <n v="948"/>
    <n v="948"/>
    <n v="0"/>
    <m/>
    <m/>
  </r>
  <r>
    <x v="93"/>
    <x v="89"/>
    <x v="49"/>
    <m/>
    <m/>
    <m/>
    <m/>
    <m/>
    <m/>
  </r>
  <r>
    <x v="376"/>
    <x v="345"/>
    <x v="167"/>
    <s v="3 KOLİ"/>
    <n v="20136"/>
    <n v="2900"/>
    <n v="17236"/>
    <m/>
    <n v="6712"/>
  </r>
  <r>
    <x v="377"/>
    <x v="346"/>
    <x v="167"/>
    <s v="1 KOLİ"/>
    <m/>
    <m/>
    <n v="0"/>
    <m/>
    <m/>
  </r>
  <r>
    <x v="378"/>
    <x v="347"/>
    <x v="168"/>
    <s v="1 KOLİ"/>
    <n v="100"/>
    <m/>
    <n v="100"/>
    <m/>
    <n v="100"/>
  </r>
  <r>
    <x v="379"/>
    <x v="348"/>
    <x v="168"/>
    <s v="8 KOLİ"/>
    <n v="5106"/>
    <m/>
    <n v="5106"/>
    <m/>
    <n v="675"/>
  </r>
  <r>
    <x v="174"/>
    <x v="164"/>
    <x v="169"/>
    <s v="14 KOLİ "/>
    <n v="34083"/>
    <n v="34083"/>
    <n v="0"/>
    <m/>
    <n v="2500"/>
  </r>
  <r>
    <x v="380"/>
    <x v="217"/>
    <x v="170"/>
    <s v="1 KASA"/>
    <n v="200"/>
    <m/>
    <n v="200"/>
    <m/>
    <n v="200"/>
  </r>
  <r>
    <x v="381"/>
    <x v="349"/>
    <x v="170"/>
    <s v="1 KOLİ"/>
    <n v="1537"/>
    <m/>
    <n v="1537"/>
    <m/>
    <n v="1537"/>
  </r>
  <r>
    <x v="382"/>
    <x v="350"/>
    <x v="171"/>
    <s v="1 KUTU"/>
    <n v="95"/>
    <m/>
    <n v="95"/>
    <m/>
    <n v="95"/>
  </r>
  <r>
    <x v="383"/>
    <x v="351"/>
    <x v="171"/>
    <s v="1 KOLİ"/>
    <n v="19"/>
    <m/>
    <n v="19"/>
    <m/>
    <n v="19"/>
  </r>
  <r>
    <x v="384"/>
    <x v="352"/>
    <x v="171"/>
    <s v="1 KOLİ"/>
    <n v="82"/>
    <m/>
    <n v="82"/>
    <m/>
    <n v="82"/>
  </r>
  <r>
    <x v="385"/>
    <x v="353"/>
    <x v="171"/>
    <s v="1 KOLİ"/>
    <n v="13"/>
    <m/>
    <n v="13"/>
    <m/>
    <n v="13"/>
  </r>
  <r>
    <x v="386"/>
    <x v="354"/>
    <x v="171"/>
    <s v="1 KUTU"/>
    <n v="59"/>
    <m/>
    <n v="59"/>
    <m/>
    <m/>
  </r>
  <r>
    <x v="387"/>
    <x v="343"/>
    <x v="172"/>
    <s v="16 KOLİ"/>
    <n v="39904"/>
    <n v="15154"/>
    <n v="24750"/>
    <s v="9 KOLİ"/>
    <n v="2750"/>
  </r>
  <r>
    <x v="388"/>
    <x v="85"/>
    <x v="173"/>
    <s v="1 KOLİ"/>
    <n v="1400"/>
    <m/>
    <n v="1400"/>
    <m/>
    <n v="1400"/>
  </r>
  <r>
    <x v="389"/>
    <x v="355"/>
    <x v="173"/>
    <s v="1 KOLİ"/>
    <n v="400"/>
    <m/>
    <n v="400"/>
    <m/>
    <n v="400"/>
  </r>
  <r>
    <x v="390"/>
    <x v="356"/>
    <x v="173"/>
    <s v="1 KOLİ"/>
    <n v="150"/>
    <m/>
    <n v="150"/>
    <m/>
    <m/>
  </r>
  <r>
    <x v="391"/>
    <x v="335"/>
    <x v="173"/>
    <s v="2 ÇUVAL"/>
    <n v="4000"/>
    <n v="2000"/>
    <n v="2000"/>
    <s v="1 ÇUVAL"/>
    <n v="2000"/>
  </r>
  <r>
    <x v="392"/>
    <x v="357"/>
    <x v="174"/>
    <s v="1 KOLİ"/>
    <n v="100"/>
    <m/>
    <n v="100"/>
    <m/>
    <n v="100"/>
  </r>
  <r>
    <x v="393"/>
    <x v="358"/>
    <x v="175"/>
    <s v="2 KOLİ + 1 KUTU"/>
    <n v="8482"/>
    <m/>
    <n v="8482"/>
    <m/>
    <m/>
  </r>
  <r>
    <x v="394"/>
    <x v="359"/>
    <x v="174"/>
    <m/>
    <m/>
    <m/>
    <m/>
    <m/>
    <m/>
  </r>
  <r>
    <x v="395"/>
    <x v="360"/>
    <x v="174"/>
    <s v="1 POŞET"/>
    <m/>
    <m/>
    <n v="0"/>
    <m/>
    <m/>
  </r>
  <r>
    <x v="396"/>
    <x v="361"/>
    <x v="176"/>
    <s v="2 KUTU"/>
    <n v="3000"/>
    <n v="350"/>
    <n v="2650"/>
    <m/>
    <m/>
  </r>
  <r>
    <x v="397"/>
    <x v="362"/>
    <x v="176"/>
    <s v="1 KOLİ"/>
    <n v="300"/>
    <m/>
    <n v="300"/>
    <m/>
    <n v="300"/>
  </r>
  <r>
    <x v="398"/>
    <x v="363"/>
    <x v="177"/>
    <m/>
    <n v="15"/>
    <m/>
    <n v="15"/>
    <m/>
    <n v="15"/>
  </r>
  <r>
    <x v="399"/>
    <x v="364"/>
    <x v="177"/>
    <s v="1 KUTU"/>
    <n v="330"/>
    <n v="330"/>
    <n v="0"/>
    <s v="26*02-2026"/>
    <n v="40"/>
  </r>
  <r>
    <x v="400"/>
    <x v="365"/>
    <x v="177"/>
    <m/>
    <n v="34"/>
    <m/>
    <n v="34"/>
    <m/>
    <m/>
  </r>
  <r>
    <x v="401"/>
    <x v="366"/>
    <x v="177"/>
    <s v="1 KOLİ"/>
    <n v="100"/>
    <n v="50"/>
    <n v="50"/>
    <m/>
    <n v="100"/>
  </r>
  <r>
    <x v="402"/>
    <x v="367"/>
    <x v="177"/>
    <s v="1 KUTU"/>
    <n v="2500"/>
    <m/>
    <n v="2500"/>
    <m/>
    <m/>
  </r>
  <r>
    <x v="403"/>
    <x v="368"/>
    <x v="178"/>
    <s v="1 KASA (GALVANİZLİ)  + 2 KOLİ (GALVANİZSİZ)"/>
    <n v="2000"/>
    <m/>
    <n v="2000"/>
    <m/>
    <s v="KASA 1025        KOLİ 700"/>
  </r>
  <r>
    <x v="404"/>
    <x v="369"/>
    <x v="179"/>
    <s v="1 TORBA"/>
    <n v="500"/>
    <n v="500"/>
    <n v="0"/>
    <m/>
    <m/>
  </r>
  <r>
    <x v="405"/>
    <x v="370"/>
    <x v="180"/>
    <s v="1 ÇUVAL"/>
    <n v="6000"/>
    <m/>
    <n v="6000"/>
    <m/>
    <n v="6000"/>
  </r>
  <r>
    <x v="406"/>
    <x v="371"/>
    <x v="180"/>
    <s v="1 KASA + 2 KUTU"/>
    <n v="2337"/>
    <n v="1300"/>
    <n v="1037"/>
    <m/>
    <m/>
  </r>
  <r>
    <x v="407"/>
    <x v="345"/>
    <x v="181"/>
    <s v="1 KOLİ"/>
    <n v="1000"/>
    <m/>
    <n v="1000"/>
    <m/>
    <n v="1000"/>
  </r>
  <r>
    <x v="408"/>
    <x v="372"/>
    <x v="181"/>
    <s v="1 KOLİ"/>
    <n v="66"/>
    <m/>
    <n v="66"/>
    <m/>
    <m/>
  </r>
  <r>
    <x v="409"/>
    <x v="373"/>
    <x v="181"/>
    <s v="1 KOLİ"/>
    <n v="350"/>
    <m/>
    <n v="350"/>
    <m/>
    <n v="350"/>
  </r>
  <r>
    <x v="410"/>
    <x v="374"/>
    <x v="182"/>
    <s v="1 KOLİ"/>
    <n v="255"/>
    <m/>
    <n v="255"/>
    <m/>
    <n v="255"/>
  </r>
  <r>
    <x v="411"/>
    <x v="375"/>
    <x v="182"/>
    <s v="2 KOLİ"/>
    <n v="114"/>
    <m/>
    <n v="114"/>
    <m/>
    <n v="52"/>
  </r>
  <r>
    <x v="412"/>
    <x v="376"/>
    <x v="182"/>
    <s v="1 KOLİ"/>
    <n v="1462"/>
    <m/>
    <n v="1462"/>
    <m/>
    <m/>
  </r>
  <r>
    <x v="413"/>
    <x v="326"/>
    <x v="182"/>
    <s v="1 KUTU"/>
    <n v="200"/>
    <m/>
    <n v="200"/>
    <m/>
    <n v="200"/>
  </r>
  <r>
    <x v="414"/>
    <x v="377"/>
    <x v="183"/>
    <s v="2 KOLİ"/>
    <n v="3150"/>
    <m/>
    <n v="3150"/>
    <m/>
    <s v="1 KOLİ:1350.1 KOLİ:1800"/>
  </r>
  <r>
    <x v="415"/>
    <x v="378"/>
    <x v="183"/>
    <s v="1 KOLİ"/>
    <n v="176"/>
    <m/>
    <n v="176"/>
    <m/>
    <n v="176"/>
  </r>
  <r>
    <x v="416"/>
    <x v="379"/>
    <x v="184"/>
    <s v="5  KOLİ"/>
    <n v="1473"/>
    <m/>
    <n v="1473"/>
    <m/>
    <n v="275"/>
  </r>
  <r>
    <x v="417"/>
    <x v="380"/>
    <x v="185"/>
    <s v="1 KOLİ"/>
    <n v="187"/>
    <m/>
    <n v="187"/>
    <m/>
    <n v="187"/>
  </r>
  <r>
    <x v="418"/>
    <x v="381"/>
    <x v="185"/>
    <s v="1 TORBA"/>
    <n v="968"/>
    <m/>
    <n v="968"/>
    <m/>
    <n v="968"/>
  </r>
  <r>
    <x v="419"/>
    <x v="382"/>
    <x v="185"/>
    <m/>
    <n v="230"/>
    <n v="200"/>
    <n v="30"/>
    <m/>
    <m/>
  </r>
  <r>
    <x v="420"/>
    <x v="383"/>
    <x v="185"/>
    <s v="1 KUTU"/>
    <n v="31"/>
    <m/>
    <n v="31"/>
    <m/>
    <n v="31"/>
  </r>
  <r>
    <x v="69"/>
    <x v="68"/>
    <x v="185"/>
    <s v="1 KUTU"/>
    <n v="199"/>
    <m/>
    <n v="199"/>
    <m/>
    <n v="199"/>
  </r>
  <r>
    <x v="421"/>
    <x v="384"/>
    <x v="186"/>
    <s v="1 KUTU"/>
    <n v="290"/>
    <m/>
    <n v="290"/>
    <m/>
    <n v="290"/>
  </r>
  <r>
    <x v="422"/>
    <x v="385"/>
    <x v="186"/>
    <s v="1 KUTU"/>
    <n v="250"/>
    <n v="150"/>
    <n v="100"/>
    <m/>
    <m/>
  </r>
  <r>
    <x v="423"/>
    <x v="386"/>
    <x v="186"/>
    <s v="1 KUTU"/>
    <n v="16"/>
    <m/>
    <n v="16"/>
    <m/>
    <n v="16"/>
  </r>
  <r>
    <x v="424"/>
    <x v="387"/>
    <x v="186"/>
    <s v="2 POŞET"/>
    <n v="902"/>
    <m/>
    <n v="902"/>
    <m/>
    <m/>
  </r>
  <r>
    <x v="425"/>
    <x v="388"/>
    <x v="187"/>
    <s v="1 KOLİ + 2 ÇUVAL"/>
    <n v="321"/>
    <m/>
    <n v="321"/>
    <m/>
    <m/>
  </r>
  <r>
    <x v="426"/>
    <x v="389"/>
    <x v="188"/>
    <s v="1 ÇUVAL"/>
    <n v="108"/>
    <m/>
    <n v="108"/>
    <m/>
    <m/>
  </r>
  <r>
    <x v="427"/>
    <x v="390"/>
    <x v="189"/>
    <s v="1 KUTU"/>
    <n v="690"/>
    <m/>
    <n v="690"/>
    <m/>
    <n v="690"/>
  </r>
  <r>
    <x v="428"/>
    <x v="107"/>
    <x v="189"/>
    <s v="1 KUTU"/>
    <n v="130"/>
    <m/>
    <n v="130"/>
    <m/>
    <n v="130"/>
  </r>
  <r>
    <x v="429"/>
    <x v="391"/>
    <x v="189"/>
    <s v="1 KUTU"/>
    <n v="98"/>
    <m/>
    <n v="98"/>
    <m/>
    <n v="98"/>
  </r>
  <r>
    <x v="430"/>
    <x v="392"/>
    <x v="190"/>
    <s v="1 KUTU"/>
    <n v="167"/>
    <m/>
    <n v="167"/>
    <m/>
    <n v="167"/>
  </r>
  <r>
    <x v="431"/>
    <x v="393"/>
    <x v="190"/>
    <s v="1 POŞET"/>
    <n v="25"/>
    <m/>
    <n v="25"/>
    <m/>
    <m/>
  </r>
  <r>
    <x v="432"/>
    <x v="394"/>
    <x v="191"/>
    <s v="1 POŞET"/>
    <n v="3594"/>
    <n v="15"/>
    <n v="3579"/>
    <m/>
    <m/>
  </r>
  <r>
    <x v="433"/>
    <x v="395"/>
    <x v="191"/>
    <s v="1 POŞET"/>
    <n v="75"/>
    <m/>
    <n v="75"/>
    <m/>
    <m/>
  </r>
  <r>
    <x v="434"/>
    <x v="396"/>
    <x v="192"/>
    <s v="2 KUTU"/>
    <n v="191"/>
    <m/>
    <n v="191"/>
    <m/>
    <m/>
  </r>
  <r>
    <x v="435"/>
    <x v="397"/>
    <x v="193"/>
    <s v="1 KOLİ"/>
    <n v="169"/>
    <m/>
    <n v="169"/>
    <m/>
    <n v="169"/>
  </r>
  <r>
    <x v="436"/>
    <x v="398"/>
    <x v="193"/>
    <s v="1 KUTU"/>
    <n v="77"/>
    <m/>
    <n v="77"/>
    <m/>
    <n v="75"/>
  </r>
  <r>
    <x v="437"/>
    <x v="399"/>
    <x v="193"/>
    <s v="1 KUTU"/>
    <n v="49"/>
    <m/>
    <n v="49"/>
    <m/>
    <n v="49"/>
  </r>
  <r>
    <x v="438"/>
    <x v="400"/>
    <x v="194"/>
    <s v="1 KASA"/>
    <n v="20"/>
    <m/>
    <n v="20"/>
    <m/>
    <n v="172"/>
  </r>
  <r>
    <x v="439"/>
    <x v="89"/>
    <x v="195"/>
    <s v="1 KUTU"/>
    <n v="70"/>
    <m/>
    <n v="70"/>
    <m/>
    <m/>
  </r>
  <r>
    <x v="440"/>
    <x v="107"/>
    <x v="195"/>
    <s v="1 KUTU"/>
    <n v="32"/>
    <m/>
    <n v="32"/>
    <m/>
    <m/>
  </r>
  <r>
    <x v="441"/>
    <x v="401"/>
    <x v="196"/>
    <s v="1 KASA"/>
    <n v="2000"/>
    <m/>
    <n v="2000"/>
    <m/>
    <m/>
  </r>
  <r>
    <x v="442"/>
    <x v="402"/>
    <x v="197"/>
    <s v="1 KOLİ"/>
    <n v="198"/>
    <m/>
    <n v="198"/>
    <m/>
    <n v="198"/>
  </r>
  <r>
    <x v="443"/>
    <x v="89"/>
    <x v="197"/>
    <s v="1 KUTU"/>
    <n v="862"/>
    <m/>
    <n v="862"/>
    <m/>
    <n v="862"/>
  </r>
  <r>
    <x v="444"/>
    <x v="403"/>
    <x v="198"/>
    <s v="1 KUTU"/>
    <n v="469"/>
    <m/>
    <n v="469"/>
    <m/>
    <n v="469"/>
  </r>
  <r>
    <x v="445"/>
    <x v="404"/>
    <x v="199"/>
    <s v="1 KUTU"/>
    <n v="750"/>
    <m/>
    <n v="750"/>
    <m/>
    <m/>
  </r>
  <r>
    <x v="446"/>
    <x v="405"/>
    <x v="199"/>
    <s v="1 KUTU"/>
    <n v="220"/>
    <m/>
    <n v="220"/>
    <m/>
    <m/>
  </r>
  <r>
    <x v="447"/>
    <x v="406"/>
    <x v="199"/>
    <s v="1 KOLİ"/>
    <n v="500"/>
    <m/>
    <n v="500"/>
    <m/>
    <n v="500"/>
  </r>
  <r>
    <x v="448"/>
    <x v="407"/>
    <x v="200"/>
    <s v="1 KOLİ"/>
    <n v="954"/>
    <n v="754"/>
    <n v="200"/>
    <m/>
    <n v="200"/>
  </r>
  <r>
    <x v="449"/>
    <x v="408"/>
    <x v="200"/>
    <s v="1 KASA"/>
    <n v="3600"/>
    <m/>
    <n v="3600"/>
    <m/>
    <n v="3600"/>
  </r>
  <r>
    <x v="450"/>
    <x v="409"/>
    <x v="201"/>
    <s v="2 KASA + 1 KOLİ"/>
    <n v="430"/>
    <m/>
    <n v="430"/>
    <m/>
    <m/>
  </r>
  <r>
    <x v="451"/>
    <x v="409"/>
    <x v="202"/>
    <s v="1 KOLİ"/>
    <n v="39"/>
    <m/>
    <n v="39"/>
    <m/>
    <n v="39"/>
  </r>
  <r>
    <x v="93"/>
    <x v="89"/>
    <x v="49"/>
    <m/>
    <m/>
    <m/>
    <m/>
    <m/>
    <m/>
  </r>
  <r>
    <x v="452"/>
    <x v="410"/>
    <x v="111"/>
    <s v="3 KOLİ (24 KUTU+1 POŞET)"/>
    <n v="5000"/>
    <m/>
    <n v="5000"/>
    <m/>
    <n v="200"/>
  </r>
  <r>
    <x v="453"/>
    <x v="411"/>
    <x v="203"/>
    <s v="2 ÇUVAL"/>
    <n v="11000"/>
    <n v="400"/>
    <n v="10600"/>
    <m/>
    <s v="8125 + 2875"/>
  </r>
  <r>
    <x v="454"/>
    <x v="412"/>
    <x v="204"/>
    <s v="5 KOLİ"/>
    <n v="8750"/>
    <m/>
    <n v="8750"/>
    <m/>
    <n v="1750"/>
  </r>
  <r>
    <x v="455"/>
    <x v="413"/>
    <x v="204"/>
    <s v="1 ÇUVAL"/>
    <n v="770"/>
    <n v="640"/>
    <n v="130"/>
    <m/>
    <n v="770"/>
  </r>
  <r>
    <x v="456"/>
    <x v="414"/>
    <x v="205"/>
    <s v="1 KOLİ"/>
    <n v="700"/>
    <n v="600"/>
    <n v="100"/>
    <m/>
    <n v="700"/>
  </r>
  <r>
    <x v="457"/>
    <x v="415"/>
    <x v="205"/>
    <s v="8 KUTU"/>
    <n v="800"/>
    <n v="400"/>
    <n v="400"/>
    <s v="4 KUTU"/>
    <n v="100"/>
  </r>
  <r>
    <x v="458"/>
    <x v="416"/>
    <x v="206"/>
    <s v="1 ÇUVAL"/>
    <n v="100"/>
    <m/>
    <n v="100"/>
    <m/>
    <n v="100"/>
  </r>
  <r>
    <x v="459"/>
    <x v="417"/>
    <x v="206"/>
    <s v="5 KUTU"/>
    <n v="5400"/>
    <n v="1250"/>
    <n v="4150"/>
    <m/>
    <m/>
  </r>
  <r>
    <x v="460"/>
    <x v="418"/>
    <x v="207"/>
    <s v="7 KUTU"/>
    <n v="700"/>
    <m/>
    <n v="700"/>
    <m/>
    <n v="100"/>
  </r>
  <r>
    <x v="461"/>
    <x v="419"/>
    <x v="207"/>
    <s v="1 KUTU"/>
    <n v="500"/>
    <m/>
    <n v="500"/>
    <m/>
    <n v="500"/>
  </r>
  <r>
    <x v="462"/>
    <x v="420"/>
    <x v="208"/>
    <s v="1 KUTU"/>
    <n v="120"/>
    <m/>
    <n v="120"/>
    <m/>
    <m/>
  </r>
  <r>
    <x v="463"/>
    <x v="421"/>
    <x v="208"/>
    <s v="8 KOLİ (86 KUTU)"/>
    <n v="8600"/>
    <n v="7100"/>
    <n v="1500"/>
    <s v="15 KUTU "/>
    <n v="100"/>
  </r>
  <r>
    <x v="464"/>
    <x v="422"/>
    <x v="208"/>
    <s v="1 KUTU"/>
    <n v="200"/>
    <m/>
    <n v="200"/>
    <m/>
    <n v="200"/>
  </r>
  <r>
    <x v="465"/>
    <x v="423"/>
    <x v="208"/>
    <s v="1 KOLİ"/>
    <n v="250"/>
    <m/>
    <n v="250"/>
    <m/>
    <n v="250"/>
  </r>
  <r>
    <x v="466"/>
    <x v="424"/>
    <x v="209"/>
    <s v="1 KOLİ (5 KUTU)"/>
    <n v="500"/>
    <n v="100"/>
    <n v="400"/>
    <s v="4 KUTU"/>
    <n v="100"/>
  </r>
  <r>
    <x v="467"/>
    <x v="425"/>
    <x v="209"/>
    <s v="1 KOLİ "/>
    <n v="24"/>
    <m/>
    <n v="24"/>
    <m/>
    <n v="24"/>
  </r>
  <r>
    <x v="468"/>
    <x v="426"/>
    <x v="209"/>
    <s v="1 KUTU"/>
    <n v="200"/>
    <m/>
    <n v="200"/>
    <m/>
    <n v="200"/>
  </r>
  <r>
    <x v="469"/>
    <x v="427"/>
    <x v="210"/>
    <s v="3 KOLİ (30 KUTU) + 1 POŞET"/>
    <n v="16500"/>
    <n v="13000"/>
    <n v="3500"/>
    <s v="7 KUTU"/>
    <s v="500 (POŞET 1500)"/>
  </r>
  <r>
    <x v="470"/>
    <x v="428"/>
    <x v="210"/>
    <s v="1 POŞET"/>
    <n v="100"/>
    <m/>
    <n v="100"/>
    <m/>
    <n v="100"/>
  </r>
  <r>
    <x v="452"/>
    <x v="410"/>
    <x v="210"/>
    <s v="1 POŞET"/>
    <n v="50"/>
    <m/>
    <n v="50"/>
    <m/>
    <m/>
  </r>
  <r>
    <x v="471"/>
    <x v="429"/>
    <x v="210"/>
    <s v="1 POŞET + 1 KOLİ"/>
    <n v="2160"/>
    <n v="1600"/>
    <n v="560"/>
    <m/>
    <m/>
  </r>
  <r>
    <x v="472"/>
    <x v="430"/>
    <x v="210"/>
    <s v="1 POŞET"/>
    <n v="50"/>
    <m/>
    <n v="50"/>
    <m/>
    <m/>
  </r>
  <r>
    <x v="473"/>
    <x v="431"/>
    <x v="210"/>
    <s v="1 POŞET"/>
    <n v="15"/>
    <m/>
    <n v="15"/>
    <m/>
    <m/>
  </r>
  <r>
    <x v="474"/>
    <x v="432"/>
    <x v="211"/>
    <s v="1 KOLİ (4 KUTU)"/>
    <n v="400"/>
    <m/>
    <n v="400"/>
    <m/>
    <n v="100"/>
  </r>
  <r>
    <x v="93"/>
    <x v="89"/>
    <x v="49"/>
    <m/>
    <m/>
    <m/>
    <m/>
    <m/>
    <m/>
  </r>
  <r>
    <x v="475"/>
    <x v="433"/>
    <x v="212"/>
    <s v="1 POŞET"/>
    <n v="600"/>
    <n v="600"/>
    <n v="0"/>
    <s v="11 03 2026"/>
    <m/>
  </r>
  <r>
    <x v="476"/>
    <x v="434"/>
    <x v="212"/>
    <s v="1 POŞET"/>
    <n v="465"/>
    <m/>
    <n v="465"/>
    <m/>
    <m/>
  </r>
  <r>
    <x v="477"/>
    <x v="435"/>
    <x v="212"/>
    <s v="15 KUTU"/>
    <n v="375"/>
    <n v="150"/>
    <n v="225"/>
    <m/>
    <n v="25"/>
  </r>
  <r>
    <x v="478"/>
    <x v="436"/>
    <x v="213"/>
    <s v="1 KOLİ"/>
    <n v="500"/>
    <n v="200"/>
    <n v="300"/>
    <m/>
    <n v="300"/>
  </r>
  <r>
    <x v="479"/>
    <x v="437"/>
    <x v="213"/>
    <s v="3 KOLİ (36 KUTU)"/>
    <n v="7200"/>
    <n v="4700"/>
    <n v="2500"/>
    <n v="15"/>
    <n v="200"/>
  </r>
  <r>
    <x v="480"/>
    <x v="438"/>
    <x v="214"/>
    <s v="8 ÇUVAL"/>
    <n v="5700"/>
    <n v="891"/>
    <n v="4809"/>
    <s v="6 ÇUVAL"/>
    <s v="787 (1 ÇUVAL 191)"/>
  </r>
  <r>
    <x v="481"/>
    <x v="439"/>
    <x v="215"/>
    <s v="2 KOLİ (14 KUTU)"/>
    <n v="1400"/>
    <n v="800"/>
    <n v="600"/>
    <s v="6 KUTU"/>
    <n v="100"/>
  </r>
  <r>
    <x v="482"/>
    <x v="440"/>
    <x v="215"/>
    <s v="1 POŞET"/>
    <n v="100"/>
    <m/>
    <n v="100"/>
    <m/>
    <n v="100"/>
  </r>
  <r>
    <x v="483"/>
    <x v="441"/>
    <x v="215"/>
    <s v="1 POŞET"/>
    <n v="178"/>
    <m/>
    <n v="178"/>
    <m/>
    <n v="178"/>
  </r>
  <r>
    <x v="484"/>
    <x v="442"/>
    <x v="216"/>
    <s v="1 KASA"/>
    <n v="3100"/>
    <m/>
    <n v="3100"/>
    <m/>
    <n v="3100"/>
  </r>
  <r>
    <x v="485"/>
    <x v="443"/>
    <x v="217"/>
    <s v="1 KUTU"/>
    <n v="500"/>
    <m/>
    <n v="500"/>
    <m/>
    <n v="500"/>
  </r>
  <r>
    <x v="486"/>
    <x v="444"/>
    <x v="217"/>
    <s v="1 KOLİ"/>
    <n v="465"/>
    <m/>
    <n v="465"/>
    <m/>
    <n v="465"/>
  </r>
  <r>
    <x v="487"/>
    <x v="445"/>
    <x v="217"/>
    <s v="1 ÇUVAL"/>
    <n v="617"/>
    <n v="617"/>
    <n v="0"/>
    <s v="11 03 2026"/>
    <m/>
  </r>
  <r>
    <x v="488"/>
    <x v="446"/>
    <x v="218"/>
    <s v="1 ÇUVAL"/>
    <n v="1052"/>
    <m/>
    <n v="1052"/>
    <m/>
    <m/>
  </r>
  <r>
    <x v="489"/>
    <x v="440"/>
    <x v="218"/>
    <s v="1 POŞET"/>
    <n v="60"/>
    <m/>
    <n v="60"/>
    <m/>
    <m/>
  </r>
  <r>
    <x v="490"/>
    <x v="447"/>
    <x v="218"/>
    <s v="1 KOLİ (8 KUTU) +1 KOLİ"/>
    <n v="800"/>
    <n v="750"/>
    <n v="50"/>
    <m/>
    <n v="100"/>
  </r>
  <r>
    <x v="491"/>
    <x v="89"/>
    <x v="218"/>
    <m/>
    <n v="44"/>
    <m/>
    <n v="44"/>
    <m/>
    <m/>
  </r>
  <r>
    <x v="492"/>
    <x v="448"/>
    <x v="219"/>
    <s v="1 POŞET"/>
    <n v="257"/>
    <m/>
    <n v="257"/>
    <m/>
    <m/>
  </r>
  <r>
    <x v="493"/>
    <x v="449"/>
    <x v="219"/>
    <s v="1 ÇUVAL"/>
    <n v="2100"/>
    <n v="1400"/>
    <n v="700"/>
    <m/>
    <m/>
  </r>
  <r>
    <x v="494"/>
    <x v="450"/>
    <x v="220"/>
    <s v="8 ÇUVAL"/>
    <n v="937"/>
    <n v="437"/>
    <n v="500"/>
    <s v="2 ÇUVAL"/>
    <n v="115"/>
  </r>
  <r>
    <x v="495"/>
    <x v="451"/>
    <x v="220"/>
    <s v="1 ÇUVAL"/>
    <n v="3600"/>
    <n v="1100"/>
    <n v="2500"/>
    <m/>
    <n v="4960"/>
  </r>
  <r>
    <x v="496"/>
    <x v="452"/>
    <x v="220"/>
    <s v="3 KUTU"/>
    <n v="2000"/>
    <m/>
    <n v="2000"/>
    <m/>
    <s v="1 KUTU 1000          2 KUTU 500"/>
  </r>
  <r>
    <x v="497"/>
    <x v="453"/>
    <x v="221"/>
    <s v="4  ÇUVAL"/>
    <n v="9000"/>
    <n v="4700"/>
    <n v="4300"/>
    <m/>
    <s v="HER ÇUVAL 2550  1 ÇUVAL 1400"/>
  </r>
  <r>
    <x v="93"/>
    <x v="89"/>
    <x v="49"/>
    <m/>
    <m/>
    <m/>
    <m/>
    <m/>
    <m/>
  </r>
  <r>
    <x v="498"/>
    <x v="454"/>
    <x v="222"/>
    <s v="1 ÇUVAL"/>
    <n v="2000"/>
    <m/>
    <n v="2000"/>
    <m/>
    <n v="2000"/>
  </r>
  <r>
    <x v="499"/>
    <x v="455"/>
    <x v="223"/>
    <s v="1 KOLİ+1 KUTU"/>
    <n v="2900"/>
    <n v="1600"/>
    <n v="1300"/>
    <m/>
    <m/>
  </r>
  <r>
    <x v="500"/>
    <x v="456"/>
    <x v="223"/>
    <s v="1 KASA+1 KASA"/>
    <s v="2300+1000"/>
    <n v="1100"/>
    <n v="2200"/>
    <m/>
    <n v="2300"/>
  </r>
  <r>
    <x v="501"/>
    <x v="457"/>
    <x v="223"/>
    <s v="1 KUTU"/>
    <n v="6000"/>
    <m/>
    <n v="6000"/>
    <m/>
    <m/>
  </r>
  <r>
    <x v="502"/>
    <x v="458"/>
    <x v="224"/>
    <s v="1 KOLİ"/>
    <n v="960"/>
    <m/>
    <n v="960"/>
    <m/>
    <n v="960"/>
  </r>
  <r>
    <x v="503"/>
    <x v="459"/>
    <x v="224"/>
    <s v="1 ÇUVAL"/>
    <n v="1050"/>
    <n v="800"/>
    <n v="250"/>
    <m/>
    <m/>
  </r>
  <r>
    <x v="504"/>
    <x v="460"/>
    <x v="225"/>
    <s v="2 ÇUVAL"/>
    <n v="25"/>
    <m/>
    <n v="25"/>
    <m/>
    <m/>
  </r>
  <r>
    <x v="505"/>
    <x v="461"/>
    <x v="226"/>
    <s v="5 KOLİ"/>
    <n v="23050"/>
    <n v="8050"/>
    <n v="15000"/>
    <s v="3 KOLİ"/>
    <s v="HER KOLİ 5000 1 KOLİ 3050"/>
  </r>
  <r>
    <x v="506"/>
    <x v="462"/>
    <x v="227"/>
    <s v="1 ÇUVAL"/>
    <n v="1200"/>
    <m/>
    <n v="1200"/>
    <m/>
    <n v="1200"/>
  </r>
  <r>
    <x v="507"/>
    <x v="463"/>
    <x v="227"/>
    <s v="1 ÇUVAL"/>
    <n v="750"/>
    <n v="551"/>
    <n v="199"/>
    <m/>
    <n v="750"/>
  </r>
  <r>
    <x v="508"/>
    <x v="464"/>
    <x v="228"/>
    <s v="3 KOLİ (22 KUTU + 1 POŞET)"/>
    <n v="4500"/>
    <n v="100"/>
    <n v="4400"/>
    <m/>
    <n v="200"/>
  </r>
  <r>
    <x v="509"/>
    <x v="465"/>
    <x v="228"/>
    <s v="1 KOLİ"/>
    <n v="61"/>
    <m/>
    <n v="61"/>
    <m/>
    <n v="61"/>
  </r>
  <r>
    <x v="510"/>
    <x v="466"/>
    <x v="228"/>
    <s v="1 POŞET"/>
    <n v="107"/>
    <m/>
    <n v="107"/>
    <m/>
    <m/>
  </r>
  <r>
    <x v="511"/>
    <x v="467"/>
    <x v="229"/>
    <s v="3 ÇUVAL"/>
    <n v="1185"/>
    <m/>
    <n v="1185"/>
    <m/>
    <n v="325"/>
  </r>
  <r>
    <x v="512"/>
    <x v="468"/>
    <x v="229"/>
    <s v="1 KOLİ"/>
    <n v="155"/>
    <m/>
    <n v="155"/>
    <m/>
    <n v="155"/>
  </r>
  <r>
    <x v="513"/>
    <x v="469"/>
    <x v="230"/>
    <s v="1 KOLİ"/>
    <n v="352"/>
    <n v="352"/>
    <n v="0"/>
    <m/>
    <n v="352"/>
  </r>
  <r>
    <x v="514"/>
    <x v="470"/>
    <x v="230"/>
    <s v="5 ÇUVAL"/>
    <n v="3481"/>
    <n v="2100"/>
    <n v="1381"/>
    <s v="3 ÇUVAL"/>
    <n v="300"/>
  </r>
  <r>
    <x v="515"/>
    <x v="471"/>
    <x v="230"/>
    <s v="3 ÇUVAL"/>
    <n v="8000"/>
    <n v="6000"/>
    <n v="2000"/>
    <s v="1 ÇUVAL"/>
    <n v="2665"/>
  </r>
  <r>
    <x v="516"/>
    <x v="472"/>
    <x v="231"/>
    <s v="1 ÇUVAL"/>
    <n v="1200"/>
    <m/>
    <n v="1200"/>
    <m/>
    <n v="1200"/>
  </r>
  <r>
    <x v="517"/>
    <x v="473"/>
    <x v="231"/>
    <s v="2 ÇUVAL"/>
    <n v="500"/>
    <m/>
    <n v="500"/>
    <m/>
    <n v="300"/>
  </r>
  <r>
    <x v="518"/>
    <x v="474"/>
    <x v="232"/>
    <s v="1 ÇUVAL"/>
    <m/>
    <m/>
    <n v="0"/>
    <m/>
    <m/>
  </r>
  <r>
    <x v="519"/>
    <x v="475"/>
    <x v="232"/>
    <s v="1 ÇUVAL"/>
    <n v="680"/>
    <m/>
    <n v="680"/>
    <m/>
    <n v="680"/>
  </r>
  <r>
    <x v="520"/>
    <x v="476"/>
    <x v="233"/>
    <s v="12 ÇUVAL"/>
    <n v="15360"/>
    <n v="10425"/>
    <n v="4935"/>
    <s v="7 ÇUVAL"/>
    <n v="1275"/>
  </r>
  <r>
    <x v="521"/>
    <x v="477"/>
    <x v="234"/>
    <s v="1 ÇUVAL"/>
    <n v="120"/>
    <m/>
    <n v="120"/>
    <m/>
    <m/>
  </r>
  <r>
    <x v="522"/>
    <x v="478"/>
    <x v="235"/>
    <s v="2 ÇUVAL"/>
    <n v="6450"/>
    <n v="2800"/>
    <n v="3650"/>
    <m/>
    <n v="2763"/>
  </r>
  <r>
    <x v="523"/>
    <x v="446"/>
    <x v="236"/>
    <s v="1 ÇUVAL"/>
    <n v="800"/>
    <n v="600"/>
    <n v="200"/>
    <m/>
    <m/>
  </r>
  <r>
    <x v="524"/>
    <x v="479"/>
    <x v="236"/>
    <s v="2 ÇUVAL"/>
    <n v="2500"/>
    <n v="200"/>
    <n v="2300"/>
    <m/>
    <n v="1250"/>
  </r>
  <r>
    <x v="525"/>
    <x v="480"/>
    <x v="237"/>
    <s v="6 ÇUVAL"/>
    <n v="10500"/>
    <m/>
    <n v="10500"/>
    <m/>
    <n v="1900"/>
  </r>
  <r>
    <x v="526"/>
    <x v="481"/>
    <x v="238"/>
    <s v="1 ÇUVAL"/>
    <n v="650"/>
    <m/>
    <n v="650"/>
    <m/>
    <n v="650"/>
  </r>
  <r>
    <x v="527"/>
    <x v="482"/>
    <x v="239"/>
    <s v="1 ÇUVAL"/>
    <n v="300"/>
    <n v="200"/>
    <n v="100"/>
    <m/>
    <n v="100"/>
  </r>
  <r>
    <x v="528"/>
    <x v="483"/>
    <x v="239"/>
    <s v="4 ÇUVAL"/>
    <n v="6675"/>
    <n v="4600"/>
    <n v="2075"/>
    <s v="1 ÇUVAL"/>
    <n v="1667"/>
  </r>
  <r>
    <x v="529"/>
    <x v="484"/>
    <x v="240"/>
    <s v="3 ÇUVAL"/>
    <n v="2000"/>
    <n v="750"/>
    <n v="1250"/>
    <m/>
    <n v="665"/>
  </r>
  <r>
    <x v="530"/>
    <x v="485"/>
    <x v="240"/>
    <s v="1 ÇUVAL "/>
    <n v="6300"/>
    <m/>
    <n v="6300"/>
    <m/>
    <n v="6300"/>
  </r>
  <r>
    <x v="531"/>
    <x v="486"/>
    <x v="241"/>
    <s v="2 ÇUVAL + 2 KUTU"/>
    <n v="3245"/>
    <n v="750"/>
    <n v="2495"/>
    <m/>
    <m/>
  </r>
  <r>
    <x v="532"/>
    <x v="487"/>
    <x v="241"/>
    <s v="1 POŞET"/>
    <n v="5060"/>
    <m/>
    <n v="5060"/>
    <m/>
    <n v="5060"/>
  </r>
  <r>
    <x v="533"/>
    <x v="488"/>
    <x v="242"/>
    <s v="1 POŞET"/>
    <n v="6542"/>
    <m/>
    <n v="6542"/>
    <m/>
    <n v="6542"/>
  </r>
  <r>
    <x v="534"/>
    <x v="489"/>
    <x v="242"/>
    <s v="1 POŞET"/>
    <n v="88"/>
    <m/>
    <n v="88"/>
    <m/>
    <n v="88"/>
  </r>
  <r>
    <x v="535"/>
    <x v="490"/>
    <x v="242"/>
    <s v="1 ÇUVAL +1 POŞET"/>
    <n v="1400"/>
    <n v="800"/>
    <n v="600"/>
    <s v="1 ÇUVAL"/>
    <m/>
  </r>
  <r>
    <x v="536"/>
    <x v="484"/>
    <x v="242"/>
    <s v="3 ÇUVAL"/>
    <n v="1000"/>
    <m/>
    <n v="1000"/>
    <m/>
    <m/>
  </r>
  <r>
    <x v="537"/>
    <x v="491"/>
    <x v="242"/>
    <s v="1 POŞET"/>
    <n v="96"/>
    <m/>
    <n v="96"/>
    <m/>
    <n v="96"/>
  </r>
  <r>
    <x v="93"/>
    <x v="89"/>
    <x v="49"/>
    <m/>
    <m/>
    <m/>
    <m/>
    <m/>
    <m/>
  </r>
  <r>
    <x v="538"/>
    <x v="492"/>
    <x v="243"/>
    <s v="1 KASA"/>
    <n v="185"/>
    <m/>
    <n v="185"/>
    <m/>
    <n v="185"/>
  </r>
  <r>
    <x v="539"/>
    <x v="493"/>
    <x v="243"/>
    <s v="1 GRİ PALET"/>
    <n v="2438"/>
    <n v="176"/>
    <n v="2262"/>
    <m/>
    <n v="2363"/>
  </r>
  <r>
    <x v="540"/>
    <x v="494"/>
    <x v="243"/>
    <s v="1 GRİ PALET"/>
    <m/>
    <m/>
    <n v="0"/>
    <m/>
    <m/>
  </r>
  <r>
    <x v="541"/>
    <x v="495"/>
    <x v="243"/>
    <s v="1 KASA"/>
    <m/>
    <m/>
    <n v="0"/>
    <m/>
    <m/>
  </r>
  <r>
    <x v="542"/>
    <x v="496"/>
    <x v="243"/>
    <m/>
    <m/>
    <m/>
    <n v="0"/>
    <m/>
    <m/>
  </r>
  <r>
    <x v="543"/>
    <x v="497"/>
    <x v="243"/>
    <s v="2 KASA"/>
    <n v="99"/>
    <m/>
    <n v="99"/>
    <m/>
    <m/>
  </r>
  <r>
    <x v="543"/>
    <x v="498"/>
    <x v="243"/>
    <s v="1 KASA"/>
    <n v="29"/>
    <m/>
    <n v="29"/>
    <m/>
    <n v="29"/>
  </r>
  <r>
    <x v="544"/>
    <x v="499"/>
    <x v="243"/>
    <s v="1 PALET"/>
    <n v="470"/>
    <m/>
    <n v="470"/>
    <m/>
    <m/>
  </r>
  <r>
    <x v="545"/>
    <x v="500"/>
    <x v="243"/>
    <s v="1 KASA + 1 ÇUVAL GALVANİZSİZ"/>
    <m/>
    <m/>
    <n v="0"/>
    <m/>
    <m/>
  </r>
  <r>
    <x v="545"/>
    <x v="501"/>
    <x v="243"/>
    <s v="2 KASA"/>
    <m/>
    <m/>
    <n v="0"/>
    <m/>
    <m/>
  </r>
  <r>
    <x v="546"/>
    <x v="502"/>
    <x v="243"/>
    <s v="4 KOLİ"/>
    <m/>
    <m/>
    <n v="0"/>
    <m/>
    <m/>
  </r>
  <r>
    <x v="547"/>
    <x v="503"/>
    <x v="243"/>
    <s v="1 KASA"/>
    <m/>
    <m/>
    <n v="0"/>
    <m/>
    <m/>
  </r>
  <r>
    <x v="548"/>
    <x v="504"/>
    <x v="243"/>
    <s v="1 PALET-5 ÇUVAL"/>
    <m/>
    <s v="700+"/>
    <n v="0"/>
    <m/>
    <m/>
  </r>
  <r>
    <x v="549"/>
    <x v="505"/>
    <x v="243"/>
    <s v="2 KASA"/>
    <m/>
    <m/>
    <n v="0"/>
    <m/>
    <m/>
  </r>
  <r>
    <x v="550"/>
    <x v="506"/>
    <x v="243"/>
    <s v="1 ÇUVAL"/>
    <m/>
    <m/>
    <n v="0"/>
    <m/>
    <m/>
  </r>
  <r>
    <x v="551"/>
    <x v="507"/>
    <x v="243"/>
    <s v="2 ÇUVAL"/>
    <m/>
    <m/>
    <n v="0"/>
    <m/>
    <m/>
  </r>
  <r>
    <x v="552"/>
    <x v="508"/>
    <x v="243"/>
    <s v="2 PALET"/>
    <m/>
    <m/>
    <n v="0"/>
    <m/>
    <m/>
  </r>
  <r>
    <x v="553"/>
    <x v="509"/>
    <x v="243"/>
    <s v="1 ÇUVAL"/>
    <n v="140"/>
    <m/>
    <n v="140"/>
    <m/>
    <n v="140"/>
  </r>
  <r>
    <x v="554"/>
    <x v="510"/>
    <x v="243"/>
    <s v="1 KASA"/>
    <m/>
    <m/>
    <n v="0"/>
    <m/>
    <m/>
  </r>
  <r>
    <x v="555"/>
    <x v="511"/>
    <x v="243"/>
    <s v="1 KASA"/>
    <m/>
    <m/>
    <n v="0"/>
    <m/>
    <m/>
  </r>
  <r>
    <x v="556"/>
    <x v="512"/>
    <x v="243"/>
    <s v="1 KASA"/>
    <n v="16"/>
    <m/>
    <n v="16"/>
    <m/>
    <m/>
  </r>
  <r>
    <x v="557"/>
    <x v="513"/>
    <x v="243"/>
    <s v="1 KASA"/>
    <n v="3780"/>
    <n v="200"/>
    <n v="3580"/>
    <m/>
    <n v="3580"/>
  </r>
  <r>
    <x v="558"/>
    <x v="514"/>
    <x v="243"/>
    <s v="4 KASA"/>
    <n v="8700"/>
    <m/>
    <n v="8700"/>
    <m/>
    <m/>
  </r>
  <r>
    <x v="559"/>
    <x v="515"/>
    <x v="243"/>
    <s v="41 KOLİ"/>
    <n v="20500"/>
    <m/>
    <n v="20500"/>
    <m/>
    <m/>
  </r>
  <r>
    <x v="560"/>
    <x v="516"/>
    <x v="243"/>
    <s v="1 KASA"/>
    <n v="51"/>
    <m/>
    <n v="51"/>
    <m/>
    <m/>
  </r>
  <r>
    <x v="561"/>
    <x v="517"/>
    <x v="243"/>
    <s v="1 KASA"/>
    <n v="6000"/>
    <n v="2900"/>
    <n v="3100"/>
    <m/>
    <m/>
  </r>
  <r>
    <x v="562"/>
    <x v="89"/>
    <x v="243"/>
    <s v="1 KASA"/>
    <n v="3576"/>
    <m/>
    <n v="3576"/>
    <m/>
    <m/>
  </r>
  <r>
    <x v="563"/>
    <x v="518"/>
    <x v="243"/>
    <s v="1 KASA"/>
    <n v="1200"/>
    <m/>
    <n v="1200"/>
    <m/>
    <m/>
  </r>
  <r>
    <x v="564"/>
    <x v="89"/>
    <x v="243"/>
    <s v="2 KASA"/>
    <n v="200"/>
    <m/>
    <n v="200"/>
    <m/>
    <m/>
  </r>
  <r>
    <x v="565"/>
    <x v="519"/>
    <x v="243"/>
    <s v="1 KASA"/>
    <n v="200"/>
    <m/>
    <n v="200"/>
    <m/>
    <m/>
  </r>
  <r>
    <x v="566"/>
    <x v="520"/>
    <x v="243"/>
    <s v="1 KASA"/>
    <n v="650"/>
    <m/>
    <n v="650"/>
    <m/>
    <m/>
  </r>
  <r>
    <x v="563"/>
    <x v="518"/>
    <x v="243"/>
    <s v="1 KASA"/>
    <n v="1000"/>
    <m/>
    <n v="1000"/>
    <m/>
    <m/>
  </r>
  <r>
    <x v="567"/>
    <x v="521"/>
    <x v="243"/>
    <s v="1 KASA"/>
    <n v="101"/>
    <m/>
    <n v="101"/>
    <m/>
    <m/>
  </r>
  <r>
    <x v="246"/>
    <x v="522"/>
    <x v="243"/>
    <s v="1 KASA"/>
    <n v="328"/>
    <m/>
    <n v="328"/>
    <m/>
    <m/>
  </r>
  <r>
    <x v="568"/>
    <x v="523"/>
    <x v="244"/>
    <s v="2 KASA"/>
    <n v="80"/>
    <m/>
    <n v="80"/>
    <m/>
    <m/>
  </r>
  <r>
    <x v="569"/>
    <x v="179"/>
    <x v="245"/>
    <s v="180 KOLİ"/>
    <n v="180000"/>
    <n v="59000"/>
    <n v="121000"/>
    <s v="122 KOLİ"/>
    <n v="1000"/>
  </r>
  <r>
    <x v="570"/>
    <x v="524"/>
    <x v="246"/>
    <s v="2 KASA"/>
    <m/>
    <m/>
    <n v="0"/>
    <m/>
    <m/>
  </r>
  <r>
    <x v="93"/>
    <x v="525"/>
    <x v="247"/>
    <s v="1 PALET"/>
    <n v="1625"/>
    <n v="1625"/>
    <m/>
    <s v="BOYAHANE ALDI 05 03 2026"/>
    <m/>
  </r>
  <r>
    <x v="571"/>
    <x v="526"/>
    <x v="247"/>
    <s v="1 GRİ PALET"/>
    <n v="1450"/>
    <n v="1450"/>
    <n v="0"/>
    <s v="BOYAHANE ALDI 05 03 2026"/>
    <m/>
  </r>
  <r>
    <x v="572"/>
    <x v="527"/>
    <x v="247"/>
    <s v="2 ÇUVAL+1 PALET"/>
    <s v="120+1500"/>
    <m/>
    <n v="1620"/>
    <m/>
    <m/>
  </r>
  <r>
    <x v="573"/>
    <x v="528"/>
    <x v="247"/>
    <s v="1 PALET"/>
    <n v="750"/>
    <m/>
    <n v="750"/>
    <m/>
    <m/>
  </r>
  <r>
    <x v="574"/>
    <x v="529"/>
    <x v="247"/>
    <s v="1 PALET"/>
    <n v="740"/>
    <m/>
    <n v="740"/>
    <m/>
    <m/>
  </r>
  <r>
    <x v="575"/>
    <x v="530"/>
    <x v="247"/>
    <s v="1 PALET"/>
    <n v="740"/>
    <m/>
    <n v="740"/>
    <m/>
    <m/>
  </r>
  <r>
    <x v="576"/>
    <x v="498"/>
    <x v="247"/>
    <s v="1 PALET"/>
    <n v="60"/>
    <m/>
    <n v="60"/>
    <m/>
    <m/>
  </r>
  <r>
    <x v="577"/>
    <x v="531"/>
    <x v="247"/>
    <s v="1 PALET"/>
    <n v="1150"/>
    <m/>
    <n v="1150"/>
    <m/>
    <m/>
  </r>
  <r>
    <x v="578"/>
    <x v="532"/>
    <x v="247"/>
    <s v="2 PALET"/>
    <n v="800"/>
    <m/>
    <n v="800"/>
    <m/>
    <m/>
  </r>
  <r>
    <x v="579"/>
    <x v="533"/>
    <x v="247"/>
    <s v="1 PALET"/>
    <n v="640"/>
    <n v="640"/>
    <n v="0"/>
    <m/>
    <m/>
  </r>
  <r>
    <x v="113"/>
    <x v="109"/>
    <x v="247"/>
    <s v="1 PALET"/>
    <n v="4550"/>
    <m/>
    <n v="4550"/>
    <m/>
    <m/>
  </r>
  <r>
    <x v="580"/>
    <x v="534"/>
    <x v="244"/>
    <s v="1 ÇUVAL"/>
    <m/>
    <m/>
    <n v="0"/>
    <m/>
    <m/>
  </r>
  <r>
    <x v="581"/>
    <x v="535"/>
    <x v="244"/>
    <s v="1 ÇUVAL"/>
    <m/>
    <m/>
    <n v="0"/>
    <m/>
    <m/>
  </r>
  <r>
    <x v="582"/>
    <x v="536"/>
    <x v="244"/>
    <s v="1 ÇUVAL"/>
    <n v="133"/>
    <m/>
    <n v="133"/>
    <m/>
    <m/>
  </r>
  <r>
    <x v="583"/>
    <x v="537"/>
    <x v="248"/>
    <m/>
    <n v="209"/>
    <m/>
    <n v="209"/>
    <m/>
    <m/>
  </r>
  <r>
    <x v="362"/>
    <x v="337"/>
    <x v="244"/>
    <s v="4 KOLİ"/>
    <n v="1000"/>
    <n v="250"/>
    <n v="750"/>
    <s v="1 KOLİ PRESE VERİLDİ 11 03 2026"/>
    <m/>
  </r>
  <r>
    <x v="584"/>
    <x v="538"/>
    <x v="249"/>
    <s v="1 KASA"/>
    <n v="17"/>
    <m/>
    <n v="17"/>
    <m/>
    <m/>
  </r>
  <r>
    <x v="585"/>
    <x v="539"/>
    <x v="250"/>
    <s v="1 PALET"/>
    <n v="860"/>
    <m/>
    <m/>
    <m/>
    <m/>
  </r>
  <r>
    <x v="586"/>
    <x v="540"/>
    <x v="94"/>
    <s v="1 PALET"/>
    <n v="800"/>
    <m/>
    <m/>
    <m/>
    <m/>
  </r>
  <r>
    <x v="587"/>
    <x v="541"/>
    <x v="94"/>
    <s v="1 ÇUVAL"/>
    <n v="500"/>
    <m/>
    <m/>
    <m/>
    <m/>
  </r>
  <r>
    <x v="588"/>
    <x v="542"/>
    <x v="94"/>
    <s v="1 PALET"/>
    <n v="800"/>
    <m/>
    <m/>
    <m/>
    <m/>
  </r>
  <r>
    <x v="589"/>
    <x v="543"/>
    <x v="94"/>
    <s v="2 ÇUVAL"/>
    <n v="100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DED2F-2A61-49FA-A5C0-9E1DF7AE6518}" name="PivotTable1" cacheId="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gridDropZones="1" multipleFieldFilters="0">
  <location ref="A3:E616" firstHeaderRow="1" firstDataRow="2" firstDataCol="3"/>
  <pivotFields count="9">
    <pivotField axis="axisRow" compact="0" outline="0" showAll="0" defaultSubtotal="0">
      <items count="591">
        <item x="199"/>
        <item x="432"/>
        <item x="72"/>
        <item x="243"/>
        <item x="544"/>
        <item x="476"/>
        <item x="561"/>
        <item x="472"/>
        <item x="337"/>
        <item x="392"/>
        <item x="307"/>
        <item x="381"/>
        <item x="174"/>
        <item x="326"/>
        <item x="466"/>
        <item x="412"/>
        <item x="265"/>
        <item x="216"/>
        <item x="233"/>
        <item x="266"/>
        <item x="324"/>
        <item x="457"/>
        <item x="200"/>
        <item x="500"/>
        <item x="271"/>
        <item x="175"/>
        <item x="231"/>
        <item x="232"/>
        <item x="184"/>
        <item x="569"/>
        <item x="190"/>
        <item x="499"/>
        <item x="221"/>
        <item x="347"/>
        <item x="202"/>
        <item x="204"/>
        <item x="377"/>
        <item x="205"/>
        <item x="538"/>
        <item x="252"/>
        <item x="248"/>
        <item x="261"/>
        <item x="256"/>
        <item x="558"/>
        <item x="447"/>
        <item x="399"/>
        <item x="291"/>
        <item x="557"/>
        <item x="185"/>
        <item x="222"/>
        <item x="350"/>
        <item x="329"/>
        <item x="192"/>
        <item x="320"/>
        <item x="334"/>
        <item x="339"/>
        <item x="379"/>
        <item x="364"/>
        <item x="316"/>
        <item x="203"/>
        <item x="467"/>
        <item x="335"/>
        <item x="193"/>
        <item x="157"/>
        <item x="106"/>
        <item x="559"/>
        <item x="470"/>
        <item x="413"/>
        <item x="349"/>
        <item x="161"/>
        <item x="76"/>
        <item x="91"/>
        <item x="82"/>
        <item x="52"/>
        <item x="352"/>
        <item x="420"/>
        <item x="419"/>
        <item x="59"/>
        <item x="16"/>
        <item x="7"/>
        <item x="32"/>
        <item x="66"/>
        <item x="90"/>
        <item x="2"/>
        <item x="46"/>
        <item x="3"/>
        <item x="21"/>
        <item x="77"/>
        <item x="19"/>
        <item x="15"/>
        <item x="80"/>
        <item x="25"/>
        <item x="5"/>
        <item x="103"/>
        <item x="493"/>
        <item x="535"/>
        <item x="22"/>
        <item x="532"/>
        <item x="533"/>
        <item x="160"/>
        <item x="11"/>
        <item x="34"/>
        <item x="79"/>
        <item x="27"/>
        <item x="251"/>
        <item x="262"/>
        <item x="263"/>
        <item x="207"/>
        <item x="341"/>
        <item x="409"/>
        <item x="411"/>
        <item x="473"/>
        <item x="552"/>
        <item x="296"/>
        <item x="444"/>
        <item x="290"/>
        <item x="380"/>
        <item x="284"/>
        <item x="378"/>
        <item x="367"/>
        <item x="229"/>
        <item x="383"/>
        <item x="164"/>
        <item x="255"/>
        <item x="269"/>
        <item x="362"/>
        <item x="477"/>
        <item x="246"/>
        <item x="319"/>
        <item x="317"/>
        <item x="186"/>
        <item x="176"/>
        <item x="361"/>
        <item x="78"/>
        <item x="513"/>
        <item x="462"/>
        <item x="348"/>
        <item x="104"/>
        <item x="328"/>
        <item x="566"/>
        <item x="426"/>
        <item x="453"/>
        <item x="92"/>
        <item x="425"/>
        <item x="211"/>
        <item x="128"/>
        <item x="530"/>
        <item x="165"/>
        <item x="417"/>
        <item x="17"/>
        <item x="39"/>
        <item x="20"/>
        <item x="68"/>
        <item x="42"/>
        <item x="65"/>
        <item x="51"/>
        <item x="53"/>
        <item x="35"/>
        <item x="43"/>
        <item x="0"/>
        <item x="45"/>
        <item x="18"/>
        <item x="31"/>
        <item x="81"/>
        <item x="49"/>
        <item x="60"/>
        <item x="36"/>
        <item x="58"/>
        <item x="6"/>
        <item x="551"/>
        <item x="238"/>
        <item x="247"/>
        <item x="177"/>
        <item x="264"/>
        <item x="178"/>
        <item x="442"/>
        <item x="372"/>
        <item x="450"/>
        <item x="451"/>
        <item x="283"/>
        <item x="281"/>
        <item x="567"/>
        <item x="565"/>
        <item x="515"/>
        <item x="385"/>
        <item x="44"/>
        <item x="305"/>
        <item x="395"/>
        <item x="487"/>
        <item x="528"/>
        <item x="121"/>
        <item x="119"/>
        <item x="484"/>
        <item x="123"/>
        <item x="63"/>
        <item x="56"/>
        <item x="38"/>
        <item x="54"/>
        <item x="40"/>
        <item x="30"/>
        <item x="33"/>
        <item x="47"/>
        <item x="41"/>
        <item x="48"/>
        <item x="99"/>
        <item x="455"/>
        <item x="26"/>
        <item x="122"/>
        <item x="167"/>
        <item x="253"/>
        <item x="510"/>
        <item x="458"/>
        <item x="95"/>
        <item x="89"/>
        <item x="55"/>
        <item x="28"/>
        <item x="4"/>
        <item x="57"/>
        <item x="50"/>
        <item x="23"/>
        <item x="24"/>
        <item x="37"/>
        <item x="29"/>
        <item x="522"/>
        <item x="162"/>
        <item x="521"/>
        <item x="166"/>
        <item x="108"/>
        <item x="525"/>
        <item x="118"/>
        <item x="83"/>
        <item x="88"/>
        <item x="497"/>
        <item x="139"/>
        <item x="126"/>
        <item x="506"/>
        <item x="64"/>
        <item x="62"/>
        <item x="61"/>
        <item x="529"/>
        <item x="536"/>
        <item x="313"/>
        <item x="396"/>
        <item x="245"/>
        <item x="503"/>
        <item x="120"/>
        <item x="244"/>
        <item x="145"/>
        <item x="555"/>
        <item x="433"/>
        <item x="241"/>
        <item x="141"/>
        <item x="516"/>
        <item x="150"/>
        <item x="527"/>
        <item x="168"/>
        <item x="488"/>
        <item x="523"/>
        <item x="144"/>
        <item x="129"/>
        <item x="517"/>
        <item x="115"/>
        <item x="107"/>
        <item x="159"/>
        <item x="524"/>
        <item x="531"/>
        <item x="520"/>
        <item x="514"/>
        <item x="124"/>
        <item x="225"/>
        <item x="138"/>
        <item x="424"/>
        <item x="74"/>
        <item x="73"/>
        <item x="285"/>
        <item x="69"/>
        <item x="562"/>
        <item x="519"/>
        <item x="480"/>
        <item x="132"/>
        <item x="509"/>
        <item x="130"/>
        <item x="242"/>
        <item x="526"/>
        <item x="151"/>
        <item x="158"/>
        <item x="511"/>
        <item x="140"/>
        <item x="155"/>
        <item x="116"/>
        <item x="534"/>
        <item x="173"/>
        <item x="153"/>
        <item x="505"/>
        <item x="355"/>
        <item x="471"/>
        <item x="224"/>
        <item x="537"/>
        <item x="136"/>
        <item x="217"/>
        <item x="215"/>
        <item x="189"/>
        <item x="171"/>
        <item x="147"/>
        <item x="143"/>
        <item x="583"/>
        <item x="156"/>
        <item x="321"/>
        <item x="456"/>
        <item x="351"/>
        <item x="366"/>
        <item x="365"/>
        <item x="475"/>
        <item x="331"/>
        <item x="410"/>
        <item x="501"/>
        <item x="70"/>
        <item x="550"/>
        <item x="180"/>
        <item x="137"/>
        <item x="257"/>
        <item x="191"/>
        <item x="260"/>
        <item x="518"/>
        <item x="376"/>
        <item x="407"/>
        <item x="461"/>
        <item x="338"/>
        <item x="360"/>
        <item x="478"/>
        <item x="318"/>
        <item x="230"/>
        <item x="346"/>
        <item x="354"/>
        <item x="358"/>
        <item x="373"/>
        <item x="468"/>
        <item x="391"/>
        <item x="359"/>
        <item x="479"/>
        <item x="405"/>
        <item x="330"/>
        <item x="332"/>
        <item x="148"/>
        <item x="187"/>
        <item x="172"/>
        <item x="375"/>
        <item x="414"/>
        <item x="389"/>
        <item x="201"/>
        <item x="469"/>
        <item x="71"/>
        <item x="13"/>
        <item x="75"/>
        <item x="312"/>
        <item x="548"/>
        <item x="154"/>
        <item x="135"/>
        <item x="149"/>
        <item x="170"/>
        <item x="504"/>
        <item x="117"/>
        <item x="112"/>
        <item x="127"/>
        <item x="152"/>
        <item x="236"/>
        <item x="142"/>
        <item x="549"/>
        <item x="237"/>
        <item x="542"/>
        <item x="272"/>
        <item m="1" x="590"/>
        <item x="10"/>
        <item x="1"/>
        <item x="8"/>
        <item x="240"/>
        <item x="298"/>
        <item x="87"/>
        <item x="345"/>
        <item x="344"/>
        <item x="188"/>
        <item x="388"/>
        <item x="293"/>
        <item x="288"/>
        <item x="182"/>
        <item x="325"/>
        <item x="448"/>
        <item x="508"/>
        <item x="393"/>
        <item x="327"/>
        <item x="483"/>
        <item x="374"/>
        <item x="387"/>
        <item x="353"/>
        <item x="464"/>
        <item x="454"/>
        <item x="340"/>
        <item x="465"/>
        <item x="394"/>
        <item x="276"/>
        <item x="363"/>
        <item x="452"/>
        <item x="333"/>
        <item x="502"/>
        <item x="390"/>
        <item x="169"/>
        <item x="114"/>
        <item x="125"/>
        <item x="100"/>
        <item x="463"/>
        <item x="270"/>
        <item x="275"/>
        <item x="474"/>
        <item x="322"/>
        <item x="323"/>
        <item x="397"/>
        <item x="460"/>
        <item x="183"/>
        <item x="357"/>
        <item x="490"/>
        <item x="491"/>
        <item x="382"/>
        <item x="563"/>
        <item x="206"/>
        <item x="384"/>
        <item x="181"/>
        <item x="356"/>
        <item x="213"/>
        <item x="214"/>
        <item x="249"/>
        <item x="109"/>
        <item x="133"/>
        <item x="492"/>
        <item x="131"/>
        <item x="146"/>
        <item x="134"/>
        <item x="163"/>
        <item x="494"/>
        <item x="113"/>
        <item x="512"/>
        <item x="250"/>
        <item x="553"/>
        <item x="14"/>
        <item x="9"/>
        <item x="12"/>
        <item x="254"/>
        <item x="585"/>
        <item x="278"/>
        <item x="282"/>
        <item x="446"/>
        <item x="434"/>
        <item x="212"/>
        <item x="219"/>
        <item x="580"/>
        <item x="581"/>
        <item x="267"/>
        <item x="370"/>
        <item x="449"/>
        <item x="435"/>
        <item x="430"/>
        <item x="306"/>
        <item x="102"/>
        <item x="98"/>
        <item x="498"/>
        <item x="481"/>
        <item x="287"/>
        <item x="223"/>
        <item x="371"/>
        <item x="422"/>
        <item x="301"/>
        <item x="427"/>
        <item x="96"/>
        <item x="302"/>
        <item x="486"/>
        <item x="482"/>
        <item x="489"/>
        <item x="336"/>
        <item x="439"/>
        <item x="436"/>
        <item x="105"/>
        <item x="297"/>
        <item x="438"/>
        <item x="441"/>
        <item x="437"/>
        <item x="97"/>
        <item x="507"/>
        <item x="404"/>
        <item x="408"/>
        <item x="300"/>
        <item x="403"/>
        <item x="400"/>
        <item x="401"/>
        <item x="239"/>
        <item x="429"/>
        <item x="428"/>
        <item x="304"/>
        <item x="440"/>
        <item x="423"/>
        <item x="111"/>
        <item x="303"/>
        <item x="416"/>
        <item x="443"/>
        <item x="179"/>
        <item x="415"/>
        <item x="386"/>
        <item x="67"/>
        <item x="342"/>
        <item x="110"/>
        <item x="84"/>
        <item x="402"/>
        <item x="368"/>
        <item x="309"/>
        <item x="310"/>
        <item x="485"/>
        <item x="496"/>
        <item x="308"/>
        <item x="369"/>
        <item x="343"/>
        <item x="101"/>
        <item x="495"/>
        <item x="459"/>
        <item x="94"/>
        <item x="418"/>
        <item x="431"/>
        <item x="421"/>
        <item x="398"/>
        <item x="573"/>
        <item x="568"/>
        <item x="564"/>
        <item x="589"/>
        <item x="587"/>
        <item x="586"/>
        <item x="588"/>
        <item x="280"/>
        <item x="406"/>
        <item x="274"/>
        <item x="208"/>
        <item x="315"/>
        <item x="235"/>
        <item x="234"/>
        <item x="292"/>
        <item x="277"/>
        <item x="584"/>
        <item x="268"/>
        <item x="570"/>
        <item x="259"/>
        <item x="445"/>
        <item x="258"/>
        <item x="576"/>
        <item x="543"/>
        <item x="218"/>
        <item x="220"/>
        <item x="539"/>
        <item x="540"/>
        <item x="554"/>
        <item x="279"/>
        <item x="579"/>
        <item x="578"/>
        <item x="299"/>
        <item x="582"/>
        <item x="571"/>
        <item x="572"/>
        <item x="289"/>
        <item x="227"/>
        <item x="228"/>
        <item x="226"/>
        <item x="547"/>
        <item x="545"/>
        <item x="546"/>
        <item x="574"/>
        <item x="575"/>
        <item x="210"/>
        <item x="560"/>
        <item x="286"/>
        <item x="541"/>
        <item x="311"/>
        <item x="209"/>
        <item x="294"/>
        <item x="295"/>
        <item x="556"/>
        <item x="195"/>
        <item x="194"/>
        <item x="577"/>
        <item x="273"/>
        <item x="198"/>
        <item x="197"/>
        <item x="196"/>
        <item x="93"/>
        <item x="85"/>
        <item x="86"/>
        <item x="3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4">
        <item x="239"/>
        <item x="508"/>
        <item x="507"/>
        <item x="506"/>
        <item x="215"/>
        <item x="264"/>
        <item x="265"/>
        <item x="503"/>
        <item x="493"/>
        <item x="268"/>
        <item x="533"/>
        <item x="539"/>
        <item x="517"/>
        <item x="315"/>
        <item x="357"/>
        <item x="349"/>
        <item x="164"/>
        <item x="305"/>
        <item x="376"/>
        <item x="219"/>
        <item x="251"/>
        <item x="216"/>
        <item x="303"/>
        <item x="189"/>
        <item x="256"/>
        <item x="165"/>
        <item x="174"/>
        <item x="179"/>
        <item x="210"/>
        <item x="324"/>
        <item x="191"/>
        <item x="193"/>
        <item x="346"/>
        <item x="194"/>
        <item x="514"/>
        <item x="364"/>
        <item x="513"/>
        <item x="175"/>
        <item x="327"/>
        <item x="308"/>
        <item x="181"/>
        <item x="300"/>
        <item x="313"/>
        <item x="317"/>
        <item x="348"/>
        <item x="297"/>
        <item x="192"/>
        <item x="314"/>
        <item x="182"/>
        <item x="102"/>
        <item x="515"/>
        <item x="326"/>
        <item x="151"/>
        <item x="329"/>
        <item x="196"/>
        <item x="319"/>
        <item x="373"/>
        <item x="375"/>
        <item x="217"/>
        <item x="347"/>
        <item x="340"/>
        <item x="351"/>
        <item x="154"/>
        <item x="240"/>
        <item x="254"/>
        <item x="337"/>
        <item x="522"/>
        <item x="299"/>
        <item x="298"/>
        <item x="166"/>
        <item x="336"/>
        <item x="307"/>
        <item x="520"/>
        <item x="231"/>
        <item x="521"/>
        <item x="519"/>
        <item x="353"/>
        <item x="332"/>
        <item x="301"/>
        <item x="328"/>
        <item x="339"/>
        <item x="338"/>
        <item x="310"/>
        <item x="374"/>
        <item x="345"/>
        <item x="316"/>
        <item x="218"/>
        <item x="323"/>
        <item x="331"/>
        <item x="342"/>
        <item x="335"/>
        <item x="370"/>
        <item x="309"/>
        <item x="311"/>
        <item x="140"/>
        <item x="177"/>
        <item x="162"/>
        <item x="344"/>
        <item x="377"/>
        <item x="355"/>
        <item x="190"/>
        <item x="85"/>
        <item x="172"/>
        <item x="304"/>
        <item x="358"/>
        <item x="306"/>
        <item x="343"/>
        <item x="330"/>
        <item x="318"/>
        <item x="262"/>
        <item x="312"/>
        <item x="356"/>
        <item x="159"/>
        <item x="96"/>
        <item x="255"/>
        <item x="261"/>
        <item x="302"/>
        <item x="362"/>
        <item x="173"/>
        <item x="334"/>
        <item x="350"/>
        <item x="518"/>
        <item x="195"/>
        <item x="352"/>
        <item x="171"/>
        <item x="333"/>
        <item x="359"/>
        <item x="383"/>
        <item x="382"/>
        <item x="405"/>
        <item x="396"/>
        <item x="389"/>
        <item x="388"/>
        <item x="380"/>
        <item x="391"/>
        <item x="363"/>
        <item x="430"/>
        <item x="424"/>
        <item x="205"/>
        <item x="415"/>
        <item x="456"/>
        <item x="455"/>
        <item x="425"/>
        <item x="428"/>
        <item x="431"/>
        <item x="435"/>
        <item x="461"/>
        <item x="429"/>
        <item x="414"/>
        <item x="433"/>
        <item x="457"/>
        <item x="419"/>
        <item x="436"/>
        <item x="426"/>
        <item x="437"/>
        <item x="427"/>
        <item x="464"/>
        <item x="441"/>
        <item x="422"/>
        <item x="412"/>
        <item x="423"/>
        <item x="410"/>
        <item x="458"/>
        <item x="421"/>
        <item x="432"/>
        <item x="418"/>
        <item x="447"/>
        <item x="499"/>
        <item x="75"/>
        <item x="15"/>
        <item x="31"/>
        <item x="88"/>
        <item x="80"/>
        <item x="51"/>
        <item x="2"/>
        <item x="45"/>
        <item x="3"/>
        <item x="20"/>
        <item x="18"/>
        <item x="14"/>
        <item x="24"/>
        <item x="5"/>
        <item x="10"/>
        <item x="33"/>
        <item x="26"/>
        <item x="38"/>
        <item x="19"/>
        <item x="77"/>
        <item x="41"/>
        <item x="50"/>
        <item x="52"/>
        <item x="34"/>
        <item x="42"/>
        <item x="0"/>
        <item x="44"/>
        <item x="17"/>
        <item x="30"/>
        <item x="48"/>
        <item x="35"/>
        <item x="6"/>
        <item x="43"/>
        <item x="55"/>
        <item x="37"/>
        <item x="53"/>
        <item x="39"/>
        <item x="29"/>
        <item x="32"/>
        <item x="46"/>
        <item x="40"/>
        <item x="47"/>
        <item x="25"/>
        <item x="49"/>
        <item x="27"/>
        <item x="4"/>
        <item x="54"/>
        <item x="56"/>
        <item x="22"/>
        <item x="23"/>
        <item x="28"/>
        <item x="86"/>
        <item x="36"/>
        <item x="12"/>
        <item x="74"/>
        <item x="1"/>
        <item x="13"/>
        <item x="9"/>
        <item x="7"/>
        <item x="76"/>
        <item x="8"/>
        <item x="11"/>
        <item x="81"/>
        <item x="372"/>
        <item x="354"/>
        <item x="201"/>
        <item x="208"/>
        <item x="292"/>
        <item x="280"/>
        <item x="289"/>
        <item x="288"/>
        <item x="281"/>
        <item x="291"/>
        <item x="282"/>
        <item x="293"/>
        <item x="394"/>
        <item x="443"/>
        <item x="451"/>
        <item x="454"/>
        <item x="444"/>
        <item x="463"/>
        <item x="448"/>
        <item x="263"/>
        <item x="245"/>
        <item x="242"/>
        <item x="510"/>
        <item x="534"/>
        <item x="535"/>
        <item x="536"/>
        <item x="296"/>
        <item x="220"/>
        <item x="199"/>
        <item x="516"/>
        <item x="492"/>
        <item x="495"/>
        <item x="277"/>
        <item x="252"/>
        <item x="266"/>
        <item x="66"/>
        <item x="387"/>
        <item x="384"/>
        <item x="241"/>
        <item x="150"/>
        <item x="176"/>
        <item x="325"/>
        <item x="200"/>
        <item x="155"/>
        <item x="120"/>
        <item x="402"/>
        <item x="360"/>
        <item x="115"/>
        <item x="113"/>
        <item x="117"/>
        <item x="116"/>
        <item x="157"/>
        <item x="238"/>
        <item x="152"/>
        <item x="156"/>
        <item x="104"/>
        <item x="112"/>
        <item x="131"/>
        <item x="119"/>
        <item x="361"/>
        <item x="114"/>
        <item x="230"/>
        <item x="229"/>
        <item x="137"/>
        <item x="395"/>
        <item x="226"/>
        <item x="133"/>
        <item x="136"/>
        <item x="142"/>
        <item x="158"/>
        <item x="149"/>
        <item x="121"/>
        <item x="110"/>
        <item x="103"/>
        <item x="118"/>
        <item x="213"/>
        <item x="130"/>
        <item x="271"/>
        <item x="124"/>
        <item x="122"/>
        <item x="147"/>
        <item x="143"/>
        <item x="132"/>
        <item x="111"/>
        <item x="163"/>
        <item x="145"/>
        <item x="212"/>
        <item x="178"/>
        <item x="128"/>
        <item x="139"/>
        <item x="161"/>
        <item x="135"/>
        <item x="537"/>
        <item x="170"/>
        <item x="243"/>
        <item x="180"/>
        <item x="129"/>
        <item x="246"/>
        <item x="504"/>
        <item x="141"/>
        <item x="160"/>
        <item x="146"/>
        <item x="127"/>
        <item x="108"/>
        <item x="500"/>
        <item x="144"/>
        <item x="221"/>
        <item x="505"/>
        <item x="134"/>
        <item x="222"/>
        <item x="496"/>
        <item x="202"/>
        <item x="203"/>
        <item x="234"/>
        <item x="125"/>
        <item x="105"/>
        <item x="138"/>
        <item x="126"/>
        <item x="109"/>
        <item x="235"/>
        <item x="509"/>
        <item x="228"/>
        <item x="237"/>
        <item x="233"/>
        <item x="247"/>
        <item x="236"/>
        <item x="248"/>
        <item x="249"/>
        <item x="223"/>
        <item x="232"/>
        <item x="250"/>
        <item x="294"/>
        <item x="227"/>
        <item x="279"/>
        <item x="278"/>
        <item x="148"/>
        <item x="257"/>
        <item x="225"/>
        <item x="153"/>
        <item x="123"/>
        <item x="512"/>
        <item x="393"/>
        <item x="82"/>
        <item x="244"/>
        <item x="501"/>
        <item x="490"/>
        <item x="449"/>
        <item x="487"/>
        <item x="488"/>
        <item x="469"/>
        <item x="420"/>
        <item x="411"/>
        <item x="485"/>
        <item x="167"/>
        <item x="168"/>
        <item x="471"/>
        <item x="445"/>
        <item x="483"/>
        <item x="442"/>
        <item x="466"/>
        <item x="416"/>
        <item x="413"/>
        <item x="478"/>
        <item x="477"/>
        <item x="480"/>
        <item x="453"/>
        <item x="462"/>
        <item x="484"/>
        <item x="459"/>
        <item x="511"/>
        <item x="446"/>
        <item x="482"/>
        <item x="472"/>
        <item x="473"/>
        <item x="479"/>
        <item x="476"/>
        <item x="470"/>
        <item x="486"/>
        <item x="475"/>
        <item x="438"/>
        <item x="465"/>
        <item x="467"/>
        <item x="481"/>
        <item x="489"/>
        <item x="491"/>
        <item x="204"/>
        <item x="206"/>
        <item x="474"/>
        <item x="460"/>
        <item x="450"/>
        <item x="468"/>
        <item x="381"/>
        <item x="369"/>
        <item x="106"/>
        <item x="97"/>
        <item x="407"/>
        <item x="94"/>
        <item x="92"/>
        <item x="101"/>
        <item x="93"/>
        <item x="404"/>
        <item x="259"/>
        <item x="260"/>
        <item x="538"/>
        <item x="524"/>
        <item x="253"/>
        <item x="497"/>
        <item x="498"/>
        <item x="197"/>
        <item x="285"/>
        <item x="528"/>
        <item x="502"/>
        <item x="494"/>
        <item x="526"/>
        <item x="525"/>
        <item x="527"/>
        <item x="214"/>
        <item x="523"/>
        <item x="529"/>
        <item x="532"/>
        <item x="198"/>
        <item x="530"/>
        <item x="183"/>
        <item x="543"/>
        <item x="184"/>
        <item x="541"/>
        <item x="187"/>
        <item x="531"/>
        <item x="540"/>
        <item x="186"/>
        <item x="542"/>
        <item x="185"/>
        <item x="188"/>
        <item x="258"/>
        <item x="90"/>
        <item x="98"/>
        <item x="320"/>
        <item x="321"/>
        <item x="397"/>
        <item x="385"/>
        <item x="401"/>
        <item x="400"/>
        <item x="368"/>
        <item x="365"/>
        <item x="366"/>
        <item x="107"/>
        <item x="379"/>
        <item x="408"/>
        <item x="392"/>
        <item x="390"/>
        <item x="398"/>
        <item x="399"/>
        <item x="386"/>
        <item x="378"/>
        <item x="286"/>
        <item x="409"/>
        <item x="207"/>
        <item x="209"/>
        <item x="276"/>
        <item x="371"/>
        <item x="290"/>
        <item x="211"/>
        <item x="403"/>
        <item x="275"/>
        <item x="406"/>
        <item x="273"/>
        <item x="283"/>
        <item x="270"/>
        <item x="341"/>
        <item x="267"/>
        <item x="367"/>
        <item x="272"/>
        <item x="322"/>
        <item x="452"/>
        <item x="417"/>
        <item x="439"/>
        <item x="440"/>
        <item x="434"/>
        <item x="274"/>
        <item x="269"/>
        <item x="99"/>
        <item x="87"/>
        <item x="21"/>
        <item x="16"/>
        <item x="67"/>
        <item x="64"/>
        <item x="79"/>
        <item x="100"/>
        <item x="95"/>
        <item x="63"/>
        <item x="91"/>
        <item x="68"/>
        <item x="69"/>
        <item x="70"/>
        <item x="83"/>
        <item x="71"/>
        <item x="58"/>
        <item x="59"/>
        <item x="57"/>
        <item x="62"/>
        <item x="61"/>
        <item x="60"/>
        <item x="73"/>
        <item x="72"/>
        <item x="65"/>
        <item x="78"/>
        <item x="284"/>
        <item x="224"/>
        <item x="169"/>
        <item x="287"/>
        <item x="89"/>
        <item x="84"/>
        <item x="295"/>
      </items>
    </pivotField>
    <pivotField axis="axisRow" compact="0" outline="0" showAll="0" sortType="ascending">
      <items count="252">
        <item x="249"/>
        <item x="165"/>
        <item x="48"/>
        <item x="0"/>
        <item x="246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"/>
        <item x="3"/>
        <item x="2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244"/>
        <item x="245"/>
        <item x="247"/>
        <item x="76"/>
        <item x="77"/>
        <item x="78"/>
        <item x="79"/>
        <item x="80"/>
        <item x="81"/>
        <item x="84"/>
        <item x="82"/>
        <item x="83"/>
        <item x="85"/>
        <item x="86"/>
        <item x="87"/>
        <item x="88"/>
        <item x="89"/>
        <item x="90"/>
        <item x="93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50"/>
        <item x="51"/>
        <item x="52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8"/>
        <item x="122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6"/>
        <item x="135"/>
        <item x="137"/>
        <item x="138"/>
        <item x="139"/>
        <item x="140"/>
        <item x="141"/>
        <item x="142"/>
        <item x="143"/>
        <item x="53"/>
        <item x="54"/>
        <item x="55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4"/>
        <item x="166"/>
        <item x="167"/>
        <item x="168"/>
        <item x="169"/>
        <item x="170"/>
        <item x="172"/>
        <item x="171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56"/>
        <item x="57"/>
        <item x="58"/>
        <item x="189"/>
        <item x="190"/>
        <item x="191"/>
        <item x="192"/>
        <item x="201"/>
        <item x="193"/>
        <item x="194"/>
        <item x="195"/>
        <item x="196"/>
        <item x="197"/>
        <item x="198"/>
        <item x="199"/>
        <item x="200"/>
        <item x="202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8"/>
        <item x="250"/>
        <item x="243"/>
        <item x="49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3">
    <field x="0"/>
    <field x="1"/>
    <field x="2"/>
  </rowFields>
  <rowItems count="612">
    <i>
      <x/>
      <x v="463"/>
      <x v="73"/>
    </i>
    <i>
      <x v="1"/>
      <x v="243"/>
      <x v="178"/>
    </i>
    <i>
      <x v="2"/>
      <x v="526"/>
      <x v="15"/>
    </i>
    <i>
      <x v="3"/>
      <x v="352"/>
      <x v="87"/>
    </i>
    <i>
      <x v="4"/>
      <x v="167"/>
      <x v="249"/>
    </i>
    <i>
      <x v="5"/>
      <x v="508"/>
      <x v="216"/>
    </i>
    <i>
      <x v="6"/>
      <x v="12"/>
      <x v="249"/>
    </i>
    <i>
      <x v="7"/>
      <x v="136"/>
      <x v="214"/>
    </i>
    <i>
      <x v="8"/>
      <x v="13"/>
      <x v="134"/>
    </i>
    <i>
      <x v="9"/>
      <x v="14"/>
      <x v="159"/>
    </i>
    <i>
      <x v="10"/>
      <x v="491"/>
      <x v="119"/>
    </i>
    <i>
      <x v="11"/>
      <x v="15"/>
      <x v="154"/>
    </i>
    <i>
      <x v="12"/>
      <x v="16"/>
      <x v="64"/>
    </i>
    <i r="2">
      <x v="153"/>
    </i>
    <i>
      <x v="13"/>
      <x v="17"/>
      <x v="129"/>
    </i>
    <i>
      <x v="14"/>
      <x v="137"/>
      <x v="213"/>
    </i>
    <i>
      <x v="15"/>
      <x v="18"/>
      <x v="166"/>
    </i>
    <i>
      <x v="16"/>
      <x v="19"/>
      <x v="95"/>
    </i>
    <i>
      <x v="17"/>
      <x v="138"/>
      <x v="80"/>
    </i>
    <i>
      <x v="18"/>
      <x v="19"/>
      <x v="86"/>
    </i>
    <i>
      <x v="19"/>
      <x v="20"/>
      <x v="95"/>
    </i>
    <i>
      <x v="20"/>
      <x v="22"/>
      <x v="125"/>
    </i>
    <i>
      <x v="21"/>
      <x v="139"/>
      <x v="209"/>
    </i>
    <i>
      <x v="22"/>
      <x v="23"/>
      <x v="74"/>
    </i>
    <i>
      <x v="23"/>
      <x v="140"/>
      <x v="227"/>
    </i>
    <i>
      <x v="24"/>
      <x v="24"/>
      <x v="98"/>
    </i>
    <i>
      <x v="25"/>
      <x v="25"/>
      <x v="65"/>
    </i>
    <i>
      <x v="26"/>
      <x v="25"/>
      <x v="86"/>
    </i>
    <i>
      <x v="27"/>
      <x v="27"/>
      <x v="86"/>
    </i>
    <i>
      <x v="28"/>
      <x v="26"/>
      <x v="67"/>
    </i>
    <i>
      <x v="29"/>
      <x v="27"/>
      <x v="53"/>
    </i>
    <i>
      <x v="30"/>
      <x v="27"/>
      <x v="70"/>
    </i>
    <i r="2">
      <x v="71"/>
    </i>
    <i>
      <x v="31"/>
      <x v="141"/>
      <x v="227"/>
    </i>
    <i>
      <x v="32"/>
      <x v="28"/>
      <x v="82"/>
    </i>
    <i r="2">
      <x v="140"/>
    </i>
    <i>
      <x v="33"/>
      <x v="29"/>
      <x v="138"/>
    </i>
    <i>
      <x v="34"/>
      <x v="30"/>
      <x v="74"/>
    </i>
    <i>
      <x v="35"/>
      <x v="31"/>
      <x v="75"/>
    </i>
    <i>
      <x v="36"/>
      <x v="32"/>
      <x v="151"/>
    </i>
    <i>
      <x v="37"/>
      <x v="33"/>
      <x v="75"/>
    </i>
    <i>
      <x v="38"/>
      <x v="261"/>
      <x v="249"/>
    </i>
    <i>
      <x v="39"/>
      <x v="353"/>
      <x v="88"/>
    </i>
    <i>
      <x v="40"/>
      <x v="354"/>
      <x v="88"/>
    </i>
    <i>
      <x v="41"/>
      <x v="355"/>
      <x v="94"/>
    </i>
    <i>
      <x v="42"/>
      <x v="269"/>
      <x v="89"/>
    </i>
    <i>
      <x v="43"/>
      <x v="34"/>
      <x v="249"/>
    </i>
    <i>
      <x v="44"/>
      <x v="495"/>
      <x v="187"/>
    </i>
    <i>
      <x v="45"/>
      <x v="35"/>
      <x v="161"/>
    </i>
    <i>
      <x v="46"/>
      <x v="494"/>
      <x v="104"/>
    </i>
    <i>
      <x v="47"/>
      <x v="36"/>
      <x v="249"/>
    </i>
    <i>
      <x v="48"/>
      <x v="37"/>
      <x v="68"/>
    </i>
    <i>
      <x v="49"/>
      <x v="541"/>
      <x v="82"/>
    </i>
    <i>
      <x v="50"/>
      <x v="38"/>
      <x v="140"/>
    </i>
    <i>
      <x v="51"/>
      <x v="39"/>
      <x v="131"/>
    </i>
    <i>
      <x v="52"/>
      <x v="40"/>
      <x v="72"/>
    </i>
    <i>
      <x v="53"/>
      <x v="41"/>
      <x v="124"/>
    </i>
    <i>
      <x v="54"/>
      <x v="42"/>
      <x v="133"/>
    </i>
    <i>
      <x v="55"/>
      <x v="43"/>
      <x v="135"/>
    </i>
    <i>
      <x v="56"/>
      <x v="44"/>
      <x v="152"/>
    </i>
    <i>
      <x v="57"/>
      <x v="45"/>
      <x v="146"/>
    </i>
    <i>
      <x v="58"/>
      <x v="45"/>
      <x v="123"/>
    </i>
    <i>
      <x v="59"/>
      <x v="46"/>
      <x v="74"/>
    </i>
    <i>
      <x v="60"/>
      <x v="142"/>
      <x v="213"/>
    </i>
    <i>
      <x v="61"/>
      <x v="47"/>
      <x v="134"/>
    </i>
    <i>
      <x v="62"/>
      <x v="48"/>
      <x v="72"/>
    </i>
    <i>
      <x v="63"/>
      <x v="49"/>
      <x v="57"/>
    </i>
    <i>
      <x v="64"/>
      <x v="49"/>
      <x v="128"/>
    </i>
    <i>
      <x v="65"/>
      <x v="50"/>
      <x v="249"/>
    </i>
    <i>
      <x v="66"/>
      <x v="143"/>
      <x v="214"/>
    </i>
    <i>
      <x v="67"/>
      <x v="51"/>
      <x v="166"/>
    </i>
    <i>
      <x v="68"/>
      <x v="51"/>
      <x v="140"/>
    </i>
    <i>
      <x v="69"/>
      <x v="52"/>
      <x v="59"/>
    </i>
    <i>
      <x v="70"/>
      <x v="168"/>
      <x v="17"/>
    </i>
    <i>
      <x v="71"/>
      <x v="171"/>
      <x v="2"/>
    </i>
    <i>
      <x v="72"/>
      <x v="172"/>
      <x v="19"/>
    </i>
    <i>
      <x v="73"/>
      <x v="173"/>
      <x v="50"/>
    </i>
    <i>
      <x v="74"/>
      <x v="53"/>
      <x v="141"/>
    </i>
    <i>
      <x v="75"/>
      <x v="127"/>
      <x v="169"/>
    </i>
    <i>
      <x v="76"/>
      <x v="128"/>
      <x v="169"/>
    </i>
    <i>
      <x v="77"/>
      <x v="527"/>
      <x v="9"/>
    </i>
    <i>
      <x v="78"/>
      <x v="169"/>
      <x v="32"/>
    </i>
    <i>
      <x v="79"/>
      <x v="226"/>
      <x v="27"/>
    </i>
    <i>
      <x v="80"/>
      <x v="170"/>
      <x v="39"/>
    </i>
    <i>
      <x v="81"/>
      <x v="535"/>
      <x v="10"/>
    </i>
    <i>
      <x v="82"/>
      <x v="512"/>
      <x v="21"/>
    </i>
    <i>
      <x v="83"/>
      <x v="174"/>
      <x v="24"/>
    </i>
    <i>
      <x v="84"/>
      <x v="175"/>
      <x v="47"/>
    </i>
    <i>
      <x v="85"/>
      <x v="176"/>
      <x v="23"/>
    </i>
    <i>
      <x v="86"/>
      <x v="177"/>
      <x v="34"/>
    </i>
    <i>
      <x v="87"/>
      <x v="227"/>
      <x v="17"/>
    </i>
    <i>
      <x v="88"/>
      <x v="178"/>
      <x v="33"/>
    </i>
    <i>
      <x v="89"/>
      <x v="179"/>
      <x v="31"/>
    </i>
    <i>
      <x v="90"/>
      <x v="536"/>
      <x v="18"/>
    </i>
    <i>
      <x v="91"/>
      <x v="180"/>
      <x v="36"/>
    </i>
    <i>
      <x v="92"/>
      <x v="181"/>
      <x v="26"/>
    </i>
    <i>
      <x v="93"/>
      <x v="511"/>
      <x v="127"/>
    </i>
    <i>
      <x v="94"/>
      <x v="377"/>
      <x v="223"/>
    </i>
    <i>
      <x v="95"/>
      <x v="376"/>
      <x v="246"/>
    </i>
    <i>
      <x v="96"/>
      <x v="513"/>
      <x v="34"/>
    </i>
    <i>
      <x v="97"/>
      <x v="378"/>
      <x v="245"/>
    </i>
    <i>
      <x v="98"/>
      <x v="379"/>
      <x v="246"/>
    </i>
    <i>
      <x v="99"/>
      <x v="270"/>
      <x v="58"/>
    </i>
    <i>
      <x v="100"/>
      <x v="182"/>
      <x v="30"/>
    </i>
    <i>
      <x v="101"/>
      <x v="183"/>
      <x v="39"/>
    </i>
    <i>
      <x v="102"/>
      <x v="536"/>
      <x v="18"/>
    </i>
    <i>
      <x v="103"/>
      <x v="184"/>
      <x v="37"/>
    </i>
    <i>
      <x v="104"/>
      <x v="356"/>
      <x v="88"/>
    </i>
    <i>
      <x v="105"/>
      <x v="357"/>
      <x v="94"/>
    </i>
    <i>
      <x v="106"/>
      <x v="358"/>
      <x v="94"/>
    </i>
    <i>
      <x v="107"/>
      <x v="54"/>
      <x v="75"/>
    </i>
    <i>
      <x v="108"/>
      <x v="55"/>
      <x v="136"/>
    </i>
    <i>
      <x v="109"/>
      <x v="56"/>
      <x v="165"/>
    </i>
    <i>
      <x v="110"/>
      <x v="57"/>
      <x v="166"/>
    </i>
    <i>
      <x v="111"/>
      <x v="144"/>
      <x v="214"/>
    </i>
    <i>
      <x v="112"/>
      <x v="1"/>
      <x v="249"/>
    </i>
    <i>
      <x v="113"/>
      <x v="236"/>
      <x v="113"/>
    </i>
    <i>
      <x v="114"/>
      <x v="493"/>
      <x v="186"/>
    </i>
    <i>
      <x v="115"/>
      <x v="509"/>
      <x v="110"/>
    </i>
    <i>
      <x v="116"/>
      <x v="58"/>
      <x v="154"/>
    </i>
    <i>
      <x v="117"/>
      <x v="498"/>
      <x v="106"/>
    </i>
    <i>
      <x v="118"/>
      <x v="59"/>
      <x v="152"/>
    </i>
    <i>
      <x v="119"/>
      <x v="60"/>
      <x v="148"/>
    </i>
    <i>
      <x v="120"/>
      <x v="58"/>
      <x v="85"/>
    </i>
    <i>
      <x v="121"/>
      <x v="61"/>
      <x v="156"/>
    </i>
    <i>
      <x v="122"/>
      <x v="62"/>
      <x v="60"/>
    </i>
    <i>
      <x v="123"/>
      <x v="63"/>
      <x v="89"/>
    </i>
    <i>
      <x v="124"/>
      <x v="64"/>
      <x v="97"/>
    </i>
    <i>
      <x v="125"/>
      <x v="65"/>
      <x v="52"/>
    </i>
    <i r="2">
      <x v="147"/>
    </i>
    <i>
      <x v="126"/>
      <x v="145"/>
      <x v="216"/>
    </i>
    <i>
      <x v="127"/>
      <x v="66"/>
      <x v="249"/>
    </i>
    <i r="1">
      <x v="73"/>
      <x v="87"/>
    </i>
    <i>
      <x v="128"/>
      <x v="67"/>
      <x v="124"/>
    </i>
    <i>
      <x v="129"/>
      <x v="68"/>
      <x v="123"/>
    </i>
    <i>
      <x v="130"/>
      <x v="271"/>
      <x v="68"/>
    </i>
    <i>
      <x v="131"/>
      <x v="69"/>
      <x v="65"/>
    </i>
    <i>
      <x v="132"/>
      <x v="70"/>
      <x v="147"/>
    </i>
    <i>
      <x v="133"/>
      <x v="187"/>
      <x v="18"/>
    </i>
    <i>
      <x v="134"/>
      <x v="380"/>
      <x v="234"/>
    </i>
    <i>
      <x v="135"/>
      <x v="381"/>
      <x v="212"/>
    </i>
    <i>
      <x v="136"/>
      <x v="272"/>
      <x v="139"/>
    </i>
    <i>
      <x v="137"/>
      <x v="518"/>
      <x v="127"/>
    </i>
    <i>
      <x v="138"/>
      <x v="71"/>
      <x v="130"/>
    </i>
    <i>
      <x v="139"/>
      <x v="72"/>
      <x v="249"/>
    </i>
    <i>
      <x v="140"/>
      <x v="131"/>
      <x v="172"/>
    </i>
    <i>
      <x v="141"/>
      <x v="382"/>
      <x v="207"/>
    </i>
    <i>
      <x v="142"/>
      <x v="198"/>
      <x v="2"/>
    </i>
    <i>
      <x v="143"/>
      <x v="132"/>
      <x v="171"/>
    </i>
    <i>
      <x v="144"/>
      <x v="273"/>
      <x v="77"/>
    </i>
    <i>
      <x v="145"/>
      <x v="275"/>
      <x v="196"/>
    </i>
    <i>
      <x v="146"/>
      <x v="383"/>
      <x v="244"/>
    </i>
    <i>
      <x v="147"/>
      <x v="274"/>
      <x v="62"/>
    </i>
    <i>
      <x v="148"/>
      <x v="133"/>
      <x v="169"/>
    </i>
    <i>
      <x v="149"/>
      <x v="514"/>
      <x v="33"/>
    </i>
    <i>
      <x v="150"/>
      <x v="185"/>
      <x v="42"/>
    </i>
    <i>
      <x v="151"/>
      <x v="186"/>
      <x v="34"/>
    </i>
    <i>
      <x v="152"/>
      <x v="515"/>
      <x v="11"/>
    </i>
    <i r="2">
      <x v="13"/>
    </i>
    <i>
      <x v="153"/>
      <x v="188"/>
      <x v="45"/>
    </i>
    <i>
      <x v="154"/>
      <x v="516"/>
      <x v="9"/>
    </i>
    <i>
      <x v="155"/>
      <x v="189"/>
      <x v="49"/>
    </i>
    <i>
      <x v="156"/>
      <x v="190"/>
      <x v="50"/>
    </i>
    <i>
      <x v="157"/>
      <x v="191"/>
      <x v="39"/>
    </i>
    <i>
      <x v="158"/>
      <x v="192"/>
      <x v="45"/>
    </i>
    <i>
      <x v="159"/>
      <x v="193"/>
      <x v="3"/>
    </i>
    <i r="2">
      <x v="40"/>
    </i>
    <i>
      <x v="160"/>
      <x v="194"/>
      <x v="47"/>
    </i>
    <i>
      <x v="161"/>
      <x v="195"/>
      <x v="33"/>
    </i>
    <i>
      <x v="162"/>
      <x v="196"/>
      <x v="38"/>
    </i>
    <i>
      <x v="163"/>
      <x v="517"/>
      <x v="18"/>
    </i>
    <i>
      <x v="164"/>
      <x v="197"/>
      <x v="48"/>
    </i>
    <i>
      <x v="165"/>
      <x v="528"/>
      <x v="9"/>
    </i>
    <i>
      <x v="166"/>
      <x v="198"/>
      <x v="40"/>
    </i>
    <i>
      <x v="167"/>
      <x v="529"/>
      <x v="9"/>
    </i>
    <i>
      <x v="168"/>
      <x v="199"/>
      <x v="28"/>
    </i>
    <i>
      <x v="169"/>
      <x v="2"/>
      <x v="249"/>
    </i>
    <i>
      <x v="170"/>
      <x v="359"/>
      <x v="87"/>
    </i>
    <i>
      <x v="171"/>
      <x v="360"/>
      <x v="88"/>
    </i>
    <i>
      <x v="172"/>
      <x v="384"/>
      <x v="65"/>
    </i>
    <i>
      <x v="173"/>
      <x v="361"/>
      <x v="94"/>
    </i>
    <i>
      <x v="174"/>
      <x v="385"/>
      <x v="65"/>
    </i>
    <i>
      <x v="175"/>
      <x v="276"/>
      <x v="185"/>
    </i>
    <i>
      <x v="176"/>
      <x v="499"/>
      <x v="1"/>
    </i>
    <i>
      <x v="177"/>
      <x v="486"/>
      <x v="180"/>
    </i>
    <i>
      <x v="178"/>
      <x v="486"/>
      <x v="189"/>
    </i>
    <i>
      <x v="179"/>
      <x v="510"/>
      <x v="105"/>
    </i>
    <i>
      <x v="180"/>
      <x v="500"/>
      <x v="103"/>
    </i>
    <i>
      <x v="181"/>
      <x v="74"/>
      <x v="249"/>
    </i>
    <i>
      <x v="182"/>
      <x v="75"/>
      <x v="249"/>
    </i>
    <i>
      <x v="183"/>
      <x v="386"/>
      <x v="234"/>
    </i>
    <i>
      <x v="184"/>
      <x v="76"/>
      <x v="156"/>
    </i>
    <i>
      <x v="185"/>
      <x v="200"/>
      <x v="45"/>
    </i>
    <i>
      <x v="186"/>
      <x v="238"/>
      <x v="118"/>
    </i>
    <i>
      <x v="187"/>
      <x v="277"/>
      <x v="159"/>
    </i>
    <i>
      <x v="188"/>
      <x v="387"/>
      <x v="221"/>
    </i>
    <i>
      <x v="189"/>
      <x v="388"/>
      <x v="243"/>
    </i>
    <i>
      <x v="190"/>
      <x v="278"/>
      <x v="193"/>
    </i>
    <i>
      <x v="191"/>
      <x v="279"/>
      <x v="192"/>
    </i>
    <i>
      <x v="192"/>
      <x v="389"/>
      <x v="220"/>
    </i>
    <i>
      <x v="193"/>
      <x v="280"/>
      <x v="193"/>
    </i>
    <i>
      <x v="194"/>
      <x v="530"/>
      <x v="9"/>
    </i>
    <i>
      <x v="195"/>
      <x v="201"/>
      <x v="6"/>
    </i>
    <i>
      <x v="196"/>
      <x v="202"/>
      <x v="42"/>
    </i>
    <i>
      <x v="197"/>
      <x v="203"/>
      <x v="51"/>
    </i>
    <i>
      <x v="198"/>
      <x v="204"/>
      <x v="43"/>
    </i>
    <i>
      <x v="199"/>
      <x v="205"/>
      <x v="38"/>
    </i>
    <i>
      <x v="200"/>
      <x v="206"/>
      <x v="39"/>
    </i>
    <i>
      <x v="201"/>
      <x v="207"/>
      <x v="46"/>
    </i>
    <i>
      <x v="202"/>
      <x v="208"/>
      <x v="44"/>
    </i>
    <i>
      <x v="203"/>
      <x v="209"/>
      <x v="48"/>
    </i>
    <i>
      <x v="204"/>
      <x v="519"/>
      <x v="91"/>
    </i>
    <i>
      <x v="205"/>
      <x v="392"/>
      <x v="208"/>
    </i>
    <i>
      <x v="206"/>
      <x v="210"/>
      <x v="37"/>
    </i>
    <i>
      <x v="207"/>
      <x v="281"/>
      <x v="193"/>
    </i>
    <i>
      <x v="208"/>
      <x v="282"/>
      <x v="63"/>
    </i>
    <i>
      <x v="209"/>
      <x v="283"/>
      <x v="88"/>
    </i>
    <i>
      <x v="210"/>
      <x v="390"/>
      <x v="232"/>
    </i>
    <i>
      <x v="211"/>
      <x v="391"/>
      <x v="210"/>
    </i>
    <i>
      <x v="212"/>
      <x v="521"/>
      <x v="90"/>
    </i>
    <i>
      <x v="213"/>
      <x v="212"/>
      <x v="21"/>
    </i>
    <i>
      <x v="214"/>
      <x v="214"/>
      <x v="5"/>
    </i>
    <i>
      <x v="215"/>
      <x v="212"/>
      <x v="37"/>
    </i>
    <i>
      <x v="216"/>
      <x v="213"/>
      <x v="25"/>
    </i>
    <i>
      <x v="217"/>
      <x v="214"/>
      <x v="7"/>
    </i>
    <i r="1">
      <x v="215"/>
      <x v="8"/>
    </i>
    <i>
      <x v="218"/>
      <x v="211"/>
      <x v="48"/>
    </i>
    <i>
      <x v="219"/>
      <x v="216"/>
      <x v="34"/>
    </i>
    <i>
      <x v="220"/>
      <x v="217"/>
      <x v="35"/>
    </i>
    <i>
      <x v="221"/>
      <x v="220"/>
      <x v="41"/>
    </i>
    <i>
      <x v="222"/>
      <x v="218"/>
      <x v="38"/>
    </i>
    <i>
      <x v="223"/>
      <x v="393"/>
      <x v="239"/>
    </i>
    <i>
      <x v="224"/>
      <x v="284"/>
      <x v="59"/>
    </i>
    <i>
      <x v="225"/>
      <x v="394"/>
      <x v="238"/>
    </i>
    <i>
      <x v="226"/>
      <x v="285"/>
      <x v="62"/>
    </i>
    <i>
      <x v="227"/>
      <x v="286"/>
      <x v="173"/>
    </i>
    <i>
      <x v="228"/>
      <x v="395"/>
      <x v="241"/>
    </i>
    <i>
      <x v="229"/>
      <x v="287"/>
      <x v="192"/>
    </i>
    <i>
      <x v="230"/>
      <x v="230"/>
      <x v="19"/>
    </i>
    <i>
      <x v="231"/>
      <x v="219"/>
      <x v="21"/>
    </i>
    <i>
      <x v="232"/>
      <x v="396"/>
      <x v="225"/>
    </i>
    <i>
      <x v="233"/>
      <x v="288"/>
      <x v="200"/>
    </i>
    <i>
      <x v="234"/>
      <x v="289"/>
      <x v="195"/>
    </i>
    <i>
      <x v="235"/>
      <x v="397"/>
      <x v="231"/>
    </i>
    <i>
      <x v="236"/>
      <x v="520"/>
      <x v="9"/>
    </i>
    <i>
      <x v="237"/>
      <x v="531"/>
      <x v="9"/>
    </i>
    <i>
      <x v="238"/>
      <x v="532"/>
      <x v="9"/>
    </i>
    <i>
      <x v="239"/>
      <x v="398"/>
      <x v="244"/>
    </i>
    <i>
      <x v="240"/>
      <x v="398"/>
      <x v="246"/>
    </i>
    <i>
      <x v="241"/>
      <x v="362"/>
      <x v="121"/>
    </i>
    <i>
      <x v="242"/>
      <x v="290"/>
      <x v="160"/>
    </i>
    <i>
      <x v="243"/>
      <x v="292"/>
      <x v="87"/>
    </i>
    <i>
      <x v="244"/>
      <x v="399"/>
      <x v="228"/>
    </i>
    <i>
      <x v="245"/>
      <x v="291"/>
      <x v="192"/>
    </i>
    <i>
      <x v="246"/>
      <x v="293"/>
      <x v="87"/>
    </i>
    <i>
      <x v="247"/>
      <x v="294"/>
      <x v="202"/>
    </i>
    <i>
      <x v="248"/>
      <x v="400"/>
      <x v="249"/>
    </i>
    <i>
      <x v="249"/>
      <x v="295"/>
      <x v="178"/>
    </i>
    <i>
      <x v="250"/>
      <x v="296"/>
      <x v="87"/>
    </i>
    <i>
      <x v="251"/>
      <x v="297"/>
      <x v="201"/>
    </i>
    <i>
      <x v="252"/>
      <x v="403"/>
      <x v="235"/>
    </i>
    <i>
      <x v="253"/>
      <x v="299"/>
      <x v="206"/>
    </i>
    <i>
      <x v="254"/>
      <x v="402"/>
      <x v="243"/>
    </i>
    <i>
      <x v="255"/>
      <x v="300"/>
      <x v="63"/>
    </i>
    <i>
      <x v="256"/>
      <x v="401"/>
      <x v="222"/>
    </i>
    <i>
      <x v="257"/>
      <x v="401"/>
      <x v="240"/>
    </i>
    <i>
      <x v="258"/>
      <x v="298"/>
      <x v="202"/>
    </i>
    <i>
      <x v="259"/>
      <x v="302"/>
      <x v="196"/>
    </i>
    <i>
      <x v="260"/>
      <x v="404"/>
      <x v="235"/>
    </i>
    <i>
      <x v="261"/>
      <x v="303"/>
      <x v="190"/>
    </i>
    <i>
      <x v="262"/>
      <x v="304"/>
      <x v="173"/>
    </i>
    <i>
      <x v="263"/>
      <x v="301"/>
      <x v="58"/>
    </i>
    <i>
      <x v="264"/>
      <x v="405"/>
      <x v="240"/>
    </i>
    <i>
      <x v="265"/>
      <x v="408"/>
      <x v="245"/>
    </i>
    <i>
      <x v="266"/>
      <x v="406"/>
      <x v="237"/>
    </i>
    <i>
      <x v="267"/>
      <x v="407"/>
      <x v="234"/>
    </i>
    <i>
      <x v="268"/>
      <x v="305"/>
      <x v="194"/>
    </i>
    <i>
      <x v="269"/>
      <x v="306"/>
      <x v="83"/>
    </i>
    <i>
      <x v="270"/>
      <x v="307"/>
      <x v="199"/>
    </i>
    <i>
      <x v="271"/>
      <x v="267"/>
      <x v="170"/>
    </i>
    <i>
      <x v="272"/>
      <x v="533"/>
      <x v="16"/>
    </i>
    <i>
      <x v="273"/>
      <x v="534"/>
      <x v="16"/>
    </i>
    <i>
      <x v="274"/>
      <x v="308"/>
      <x v="106"/>
    </i>
    <i>
      <x v="275"/>
      <x v="522"/>
      <x v="12"/>
    </i>
    <i r="2">
      <x v="169"/>
    </i>
    <i>
      <x v="276"/>
      <x v="541"/>
      <x v="249"/>
    </i>
    <i>
      <x v="277"/>
      <x v="409"/>
      <x v="236"/>
    </i>
    <i>
      <x v="278"/>
      <x v="410"/>
      <x v="218"/>
    </i>
    <i>
      <x v="279"/>
      <x v="309"/>
      <x v="197"/>
    </i>
    <i>
      <x v="280"/>
      <x v="411"/>
      <x v="232"/>
    </i>
    <i>
      <x v="281"/>
      <x v="310"/>
      <x v="196"/>
    </i>
    <i>
      <x v="282"/>
      <x v="363"/>
      <x v="87"/>
    </i>
    <i>
      <x v="283"/>
      <x v="413"/>
      <x v="242"/>
    </i>
    <i>
      <x v="284"/>
      <x v="312"/>
      <x v="206"/>
    </i>
    <i>
      <x v="285"/>
      <x v="312"/>
      <x v="58"/>
    </i>
    <i>
      <x v="286"/>
      <x v="412"/>
      <x v="233"/>
    </i>
    <i>
      <x v="287"/>
      <x v="313"/>
      <x v="201"/>
    </i>
    <i>
      <x v="288"/>
      <x v="311"/>
      <x v="55"/>
    </i>
    <i>
      <x v="289"/>
      <x v="314"/>
      <x v="190"/>
    </i>
    <i>
      <x v="290"/>
      <x v="414"/>
      <x v="246"/>
    </i>
    <i>
      <x v="291"/>
      <x v="315"/>
      <x v="64"/>
    </i>
    <i>
      <x v="292"/>
      <x v="316"/>
      <x v="55"/>
    </i>
    <i>
      <x v="293"/>
      <x v="146"/>
      <x v="230"/>
    </i>
    <i>
      <x v="294"/>
      <x v="77"/>
      <x v="144"/>
    </i>
    <i>
      <x v="295"/>
      <x v="147"/>
      <x v="214"/>
    </i>
    <i>
      <x v="296"/>
      <x v="317"/>
      <x v="83"/>
    </i>
    <i>
      <x v="297"/>
      <x v="415"/>
      <x v="246"/>
    </i>
    <i>
      <x v="298"/>
      <x v="319"/>
      <x v="199"/>
    </i>
    <i>
      <x v="299"/>
      <x v="417"/>
      <x v="80"/>
    </i>
    <i>
      <x v="300"/>
      <x v="416"/>
      <x v="79"/>
    </i>
    <i>
      <x v="301"/>
      <x v="318"/>
      <x v="69"/>
    </i>
    <i>
      <x v="302"/>
      <x v="321"/>
      <x v="64"/>
    </i>
    <i>
      <x v="303"/>
      <x v="320"/>
      <x v="67"/>
    </i>
    <i r="2">
      <x v="204"/>
    </i>
    <i>
      <x v="304"/>
      <x v="322"/>
      <x v="202"/>
    </i>
    <i>
      <x v="305"/>
      <x v="323"/>
      <x v="247"/>
    </i>
    <i>
      <x v="306"/>
      <x v="366"/>
      <x v="56"/>
    </i>
    <i>
      <x v="307"/>
      <x v="78"/>
      <x v="124"/>
    </i>
    <i>
      <x v="308"/>
      <x v="148"/>
      <x v="209"/>
    </i>
    <i>
      <x v="309"/>
      <x v="79"/>
      <x v="140"/>
    </i>
    <i r="2">
      <x v="143"/>
    </i>
    <i>
      <x v="310"/>
      <x v="80"/>
      <x v="148"/>
    </i>
    <i>
      <x v="311"/>
      <x v="81"/>
      <x v="148"/>
    </i>
    <i>
      <x v="312"/>
      <x v="149"/>
      <x v="216"/>
    </i>
    <i>
      <x v="313"/>
      <x v="82"/>
      <x v="131"/>
    </i>
    <i>
      <x v="314"/>
      <x v="83"/>
      <x v="166"/>
    </i>
    <i>
      <x v="315"/>
      <x v="150"/>
      <x v="227"/>
    </i>
    <i>
      <x v="316"/>
      <x v="523"/>
      <x v="14"/>
    </i>
    <i>
      <x v="317"/>
      <x v="3"/>
      <x v="249"/>
    </i>
    <i>
      <x v="318"/>
      <x v="324"/>
      <x v="66"/>
    </i>
    <i>
      <x v="319"/>
      <x v="327"/>
      <x v="199"/>
    </i>
    <i>
      <x v="320"/>
      <x v="325"/>
      <x v="93"/>
    </i>
    <i>
      <x v="321"/>
      <x v="326"/>
      <x v="72"/>
    </i>
    <i>
      <x v="322"/>
      <x v="328"/>
      <x v="93"/>
    </i>
    <i>
      <x v="323"/>
      <x v="418"/>
      <x v="236"/>
    </i>
    <i>
      <x v="324"/>
      <x v="84"/>
      <x v="151"/>
    </i>
    <i>
      <x v="325"/>
      <x v="84"/>
      <x v="165"/>
    </i>
    <i>
      <x v="326"/>
      <x v="151"/>
      <x v="211"/>
    </i>
    <i>
      <x v="327"/>
      <x v="85"/>
      <x v="134"/>
    </i>
    <i>
      <x v="328"/>
      <x v="85"/>
      <x v="145"/>
    </i>
    <i>
      <x v="329"/>
      <x v="152"/>
      <x v="217"/>
    </i>
    <i>
      <x v="330"/>
      <x v="86"/>
      <x v="123"/>
    </i>
    <i>
      <x v="331"/>
      <x v="86"/>
      <x v="86"/>
    </i>
    <i>
      <x v="332"/>
      <x v="87"/>
      <x v="137"/>
    </i>
    <i>
      <x v="333"/>
      <x v="88"/>
      <x v="144"/>
    </i>
    <i>
      <x v="334"/>
      <x v="88"/>
      <x v="145"/>
    </i>
    <i>
      <x v="335"/>
      <x v="89"/>
      <x v="150"/>
    </i>
    <i>
      <x v="336"/>
      <x v="153"/>
      <x v="213"/>
    </i>
    <i>
      <x v="337"/>
      <x v="90"/>
      <x v="157"/>
    </i>
    <i>
      <x v="338"/>
      <x v="90"/>
      <x v="145"/>
    </i>
    <i>
      <x v="339"/>
      <x v="154"/>
      <x v="217"/>
    </i>
    <i>
      <x v="340"/>
      <x v="91"/>
      <x v="164"/>
    </i>
    <i>
      <x v="341"/>
      <x v="92"/>
      <x v="132"/>
    </i>
    <i>
      <x v="342"/>
      <x v="93"/>
      <x v="131"/>
    </i>
    <i>
      <x v="343"/>
      <x v="94"/>
      <x v="204"/>
    </i>
    <i>
      <x v="344"/>
      <x v="95"/>
      <x v="68"/>
    </i>
    <i>
      <x v="345"/>
      <x v="96"/>
      <x v="64"/>
    </i>
    <i>
      <x v="346"/>
      <x v="97"/>
      <x v="150"/>
    </i>
    <i>
      <x v="347"/>
      <x v="98"/>
      <x v="167"/>
    </i>
    <i>
      <x v="348"/>
      <x v="99"/>
      <x v="157"/>
    </i>
    <i>
      <x v="349"/>
      <x v="100"/>
      <x v="74"/>
    </i>
    <i>
      <x v="350"/>
      <x v="155"/>
      <x v="214"/>
    </i>
    <i>
      <x v="351"/>
      <x v="524"/>
      <x v="14"/>
    </i>
    <i>
      <x v="352"/>
      <x v="221"/>
      <x v="30"/>
    </i>
    <i>
      <x v="353"/>
      <x v="222"/>
      <x v="17"/>
    </i>
    <i>
      <x v="354"/>
      <x v="235"/>
      <x v="121"/>
    </i>
    <i>
      <x v="355"/>
      <x v="329"/>
      <x v="249"/>
    </i>
    <i>
      <x v="356"/>
      <x v="332"/>
      <x v="55"/>
    </i>
    <i>
      <x v="357"/>
      <x v="333"/>
      <x v="198"/>
    </i>
    <i>
      <x v="358"/>
      <x v="330"/>
      <x v="205"/>
    </i>
    <i>
      <x v="359"/>
      <x v="331"/>
      <x v="61"/>
    </i>
    <i>
      <x v="360"/>
      <x v="419"/>
      <x v="229"/>
    </i>
    <i>
      <x v="361"/>
      <x v="334"/>
      <x v="191"/>
    </i>
    <i>
      <x v="362"/>
      <x v="334"/>
      <x v="174"/>
    </i>
    <i>
      <x v="363"/>
      <x v="334"/>
      <x v="195"/>
    </i>
    <i>
      <x v="364"/>
      <x v="336"/>
      <x v="55"/>
    </i>
    <i>
      <x v="365"/>
      <x v="337"/>
      <x v="87"/>
    </i>
    <i>
      <x v="366"/>
      <x v="339"/>
      <x v="201"/>
    </i>
    <i>
      <x v="367"/>
      <x v="338"/>
      <x v="249"/>
    </i>
    <i>
      <x v="368"/>
      <x v="340"/>
      <x v="87"/>
    </i>
    <i>
      <x v="369"/>
      <x v="341"/>
      <x v="249"/>
    </i>
    <i>
      <x v="370"/>
      <x v="367"/>
      <x v="99"/>
    </i>
    <i>
      <x v="372"/>
      <x v="223"/>
      <x v="30"/>
    </i>
    <i>
      <x v="373"/>
      <x v="223"/>
      <x v="22"/>
    </i>
    <i>
      <x v="374"/>
      <x v="228"/>
      <x v="27"/>
    </i>
    <i>
      <x v="375"/>
      <x v="368"/>
      <x v="87"/>
    </i>
    <i>
      <x v="376"/>
      <x v="241"/>
      <x v="114"/>
    </i>
    <i>
      <x v="377"/>
      <x v="101"/>
      <x v="20"/>
    </i>
    <i>
      <x v="378"/>
      <x v="503"/>
      <x v="136"/>
    </i>
    <i>
      <x v="379"/>
      <x v="503"/>
      <x v="136"/>
    </i>
    <i>
      <x v="380"/>
      <x v="101"/>
      <x v="68"/>
    </i>
    <i>
      <x v="381"/>
      <x v="101"/>
      <x v="157"/>
    </i>
    <i>
      <x v="382"/>
      <x v="489"/>
      <x v="111"/>
    </i>
    <i>
      <x v="383"/>
      <x v="502"/>
      <x v="108"/>
    </i>
    <i>
      <x v="384"/>
      <x v="102"/>
      <x v="66"/>
    </i>
    <i r="2">
      <x v="129"/>
    </i>
    <i>
      <x v="385"/>
      <x v="103"/>
      <x v="129"/>
    </i>
    <i>
      <x v="386"/>
      <x v="426"/>
      <x v="188"/>
    </i>
    <i>
      <x v="387"/>
      <x v="156"/>
      <x v="232"/>
    </i>
    <i>
      <x v="388"/>
      <x v="104"/>
      <x v="158"/>
    </i>
    <i>
      <x v="389"/>
      <x v="105"/>
      <x v="130"/>
    </i>
    <i>
      <x v="390"/>
      <x v="157"/>
      <x v="219"/>
    </i>
    <i>
      <x v="391"/>
      <x v="106"/>
      <x v="150"/>
    </i>
    <i>
      <x v="392"/>
      <x v="106"/>
      <x v="155"/>
    </i>
    <i>
      <x v="393"/>
      <x v="107"/>
      <x v="142"/>
    </i>
    <i>
      <x v="394"/>
      <x v="158"/>
      <x v="212"/>
    </i>
    <i>
      <x v="395"/>
      <x v="159"/>
      <x v="208"/>
    </i>
    <i>
      <x v="396"/>
      <x v="108"/>
      <x v="135"/>
    </i>
    <i>
      <x v="397"/>
      <x v="160"/>
      <x v="212"/>
    </i>
    <i>
      <x v="398"/>
      <x v="126"/>
      <x v="159"/>
    </i>
    <i>
      <x v="399"/>
      <x v="109"/>
      <x v="101"/>
    </i>
    <i>
      <x v="400"/>
      <x v="109"/>
      <x v="147"/>
    </i>
    <i>
      <x v="401"/>
      <x v="161"/>
      <x v="93"/>
    </i>
    <i r="2">
      <x v="214"/>
    </i>
    <i>
      <x v="402"/>
      <x v="110"/>
      <x v="133"/>
    </i>
    <i>
      <x v="403"/>
      <x v="162"/>
      <x v="228"/>
    </i>
    <i>
      <x v="404"/>
      <x v="111"/>
      <x v="157"/>
    </i>
    <i>
      <x v="405"/>
      <x v="112"/>
      <x v="63"/>
    </i>
    <i>
      <x v="406"/>
      <x v="113"/>
      <x v="175"/>
    </i>
    <i>
      <x v="407"/>
      <x v="113"/>
      <x v="194"/>
    </i>
    <i>
      <x v="408"/>
      <x v="113"/>
      <x v="92"/>
    </i>
    <i>
      <x v="409"/>
      <x v="163"/>
      <x v="212"/>
    </i>
    <i>
      <x v="410"/>
      <x v="114"/>
      <x v="95"/>
    </i>
    <i>
      <x v="411"/>
      <x v="115"/>
      <x v="101"/>
    </i>
    <i>
      <x v="412"/>
      <x v="164"/>
      <x v="215"/>
    </i>
    <i>
      <x v="413"/>
      <x v="116"/>
      <x v="125"/>
    </i>
    <i>
      <x v="414"/>
      <x v="116"/>
      <x v="125"/>
    </i>
    <i>
      <x v="415"/>
      <x v="117"/>
      <x v="160"/>
    </i>
    <i>
      <x v="416"/>
      <x v="165"/>
      <x v="211"/>
    </i>
    <i>
      <x v="417"/>
      <x v="118"/>
      <x v="67"/>
    </i>
    <i>
      <x v="418"/>
      <x v="119"/>
      <x v="145"/>
    </i>
    <i>
      <x v="419"/>
      <x v="166"/>
      <x v="222"/>
    </i>
    <i>
      <x v="420"/>
      <x v="541"/>
      <x v="222"/>
    </i>
    <i>
      <x v="421"/>
      <x v="120"/>
      <x v="156"/>
    </i>
    <i>
      <x v="422"/>
      <x v="121"/>
      <x v="249"/>
    </i>
    <i>
      <x v="423"/>
      <x v="122"/>
      <x v="75"/>
    </i>
    <i>
      <x v="424"/>
      <x v="123"/>
      <x v="156"/>
    </i>
    <i>
      <x v="425"/>
      <x v="124"/>
      <x v="66"/>
    </i>
    <i>
      <x v="426"/>
      <x v="125"/>
      <x v="145"/>
    </i>
    <i>
      <x v="427"/>
      <x v="342"/>
      <x v="78"/>
    </i>
    <i>
      <x v="428"/>
      <x v="343"/>
      <x v="78"/>
    </i>
    <i>
      <x v="429"/>
      <x v="344"/>
      <x v="88"/>
    </i>
    <i>
      <x v="430"/>
      <x v="346"/>
      <x v="173"/>
    </i>
    <i>
      <x v="431"/>
      <x v="345"/>
      <x v="198"/>
    </i>
    <i>
      <x v="432"/>
      <x v="249"/>
      <x v="223"/>
    </i>
    <i>
      <x v="433"/>
      <x v="370"/>
      <x v="196"/>
    </i>
    <i>
      <x v="434"/>
      <x v="347"/>
      <x v="203"/>
    </i>
    <i>
      <x v="435"/>
      <x v="348"/>
      <x v="198"/>
    </i>
    <i>
      <x v="436"/>
      <x v="369"/>
      <x v="60"/>
    </i>
    <i>
      <x v="437"/>
      <x v="420"/>
      <x v="224"/>
    </i>
    <i>
      <x v="438"/>
      <x v="349"/>
      <x v="54"/>
    </i>
    <i r="2">
      <x v="175"/>
    </i>
    <i>
      <x v="439"/>
      <x v="421"/>
      <x v="233"/>
    </i>
    <i>
      <x v="440"/>
      <x v="350"/>
      <x v="88"/>
    </i>
    <i>
      <x v="441"/>
      <x v="351"/>
      <x v="249"/>
    </i>
    <i>
      <x v="442"/>
      <x v="224"/>
      <x v="31"/>
    </i>
    <i>
      <x v="443"/>
      <x v="225"/>
      <x v="29"/>
    </i>
    <i r="2">
      <x v="36"/>
    </i>
    <i>
      <x v="444"/>
      <x v="229"/>
      <x v="30"/>
    </i>
    <i>
      <x v="445"/>
      <x/>
      <x v="89"/>
    </i>
    <i>
      <x v="446"/>
      <x v="11"/>
      <x v="248"/>
    </i>
    <i>
      <x v="447"/>
      <x v="5"/>
      <x v="102"/>
    </i>
    <i>
      <x v="448"/>
      <x v="9"/>
      <x v="103"/>
    </i>
    <i>
      <x v="449"/>
      <x v="129"/>
      <x v="187"/>
    </i>
    <i>
      <x v="450"/>
      <x v="130"/>
      <x v="179"/>
    </i>
    <i>
      <x v="451"/>
      <x v="233"/>
      <x v="77"/>
    </i>
    <i>
      <x v="452"/>
      <x v="234"/>
      <x v="81"/>
    </i>
    <i>
      <x v="453"/>
      <x v="254"/>
      <x v="52"/>
    </i>
    <i>
      <x v="454"/>
      <x v="255"/>
      <x v="52"/>
    </i>
    <i>
      <x v="455"/>
      <x v="264"/>
      <x v="96"/>
    </i>
    <i>
      <x v="456"/>
      <x v="237"/>
      <x v="149"/>
    </i>
    <i>
      <x v="457"/>
      <x v="478"/>
      <x v="188"/>
    </i>
    <i>
      <x v="458"/>
      <x v="469"/>
      <x v="181"/>
    </i>
    <i>
      <x v="459"/>
      <x v="479"/>
      <x v="177"/>
    </i>
    <i>
      <x v="460"/>
      <x v="237"/>
      <x v="118"/>
    </i>
    <i>
      <x v="461"/>
      <x v="466"/>
      <x v="126"/>
    </i>
    <i>
      <x v="462"/>
      <x v="427"/>
      <x v="91"/>
    </i>
    <i>
      <x v="463"/>
      <x v="246"/>
      <x v="226"/>
    </i>
    <i>
      <x v="464"/>
      <x v="506"/>
      <x v="219"/>
    </i>
    <i>
      <x v="465"/>
      <x v="541"/>
      <x v="107"/>
    </i>
    <i>
      <x v="466"/>
      <x v="492"/>
      <x v="83"/>
    </i>
    <i>
      <x v="467"/>
      <x v="238"/>
      <x v="149"/>
    </i>
    <i>
      <x v="468"/>
      <x v="470"/>
      <x v="170"/>
    </i>
    <i>
      <x v="469"/>
      <x v="440"/>
      <x v="118"/>
    </i>
    <i>
      <x v="470"/>
      <x v="480"/>
      <x v="176"/>
    </i>
    <i>
      <x v="471"/>
      <x v="428"/>
      <x v="90"/>
    </i>
    <i>
      <x v="472"/>
      <x v="485"/>
      <x v="118"/>
    </i>
    <i>
      <x v="473"/>
      <x v="247"/>
      <x v="221"/>
    </i>
    <i>
      <x v="474"/>
      <x v="507"/>
      <x v="219"/>
    </i>
    <i>
      <x v="475"/>
      <x v="507"/>
      <x v="222"/>
    </i>
    <i>
      <x v="476"/>
      <x v="428"/>
      <x v="134"/>
    </i>
    <i>
      <x v="477"/>
      <x v="541"/>
      <x v="183"/>
    </i>
    <i>
      <x v="478"/>
      <x v="481"/>
      <x v="181"/>
    </i>
    <i>
      <x v="479"/>
      <x v="429"/>
      <x v="127"/>
    </i>
    <i>
      <x v="480"/>
      <x v="239"/>
      <x v="114"/>
    </i>
    <i>
      <x v="481"/>
      <x v="472"/>
      <x v="182"/>
    </i>
    <i>
      <x v="482"/>
      <x v="471"/>
      <x v="184"/>
    </i>
    <i>
      <x v="483"/>
      <x v="482"/>
      <x v="181"/>
    </i>
    <i>
      <x v="484"/>
      <x v="430"/>
      <x v="91"/>
    </i>
    <i>
      <x v="485"/>
      <x v="248"/>
      <x v="231"/>
    </i>
    <i>
      <x v="486"/>
      <x v="423"/>
      <x v="163"/>
    </i>
    <i>
      <x v="487"/>
      <x v="231"/>
      <x v="165"/>
    </i>
    <i>
      <x v="488"/>
      <x v="537"/>
      <x v="116"/>
    </i>
    <i>
      <x v="489"/>
      <x v="473"/>
      <x v="162"/>
    </i>
    <i>
      <x v="490"/>
      <x v="474"/>
      <x v="161"/>
    </i>
    <i>
      <x v="491"/>
      <x v="475"/>
      <x v="161"/>
    </i>
    <i>
      <x v="492"/>
      <x v="538"/>
      <x v="87"/>
    </i>
    <i>
      <x v="493"/>
      <x v="134"/>
      <x v="176"/>
    </i>
    <i>
      <x v="494"/>
      <x v="476"/>
      <x v="176"/>
    </i>
    <i>
      <x v="495"/>
      <x v="541"/>
      <x v="117"/>
    </i>
    <i>
      <x v="496"/>
      <x v="476"/>
      <x v="183"/>
    </i>
    <i>
      <x v="497"/>
      <x v="483"/>
      <x v="170"/>
    </i>
    <i>
      <x v="498"/>
      <x v="476"/>
      <x v="174"/>
    </i>
    <i>
      <x v="499"/>
      <x v="540"/>
      <x v="117"/>
    </i>
    <i>
      <x v="500"/>
      <x v="477"/>
      <x v="168"/>
    </i>
    <i>
      <x v="501"/>
      <x v="541"/>
      <x v="185"/>
    </i>
    <i>
      <x v="502"/>
      <x v="539"/>
      <x v="65"/>
    </i>
    <i>
      <x v="503"/>
      <x v="484"/>
      <x v="167"/>
    </i>
    <i>
      <x v="504"/>
      <x v="232"/>
      <x v="156"/>
    </i>
    <i>
      <x v="505"/>
      <x v="266"/>
      <x v="10"/>
    </i>
    <i>
      <x v="506"/>
      <x v="467"/>
      <x v="136"/>
    </i>
    <i>
      <x v="507"/>
      <x v="424"/>
      <x v="174"/>
    </i>
    <i>
      <x v="508"/>
      <x v="373"/>
      <x v="19"/>
    </i>
    <i>
      <x v="509"/>
      <x v="501"/>
      <x v="161"/>
    </i>
    <i>
      <x v="510"/>
      <x v="235"/>
      <x v="149"/>
    </i>
    <i>
      <x v="511"/>
      <x v="235"/>
      <x v="120"/>
    </i>
    <i>
      <x v="512"/>
      <x v="242"/>
      <x v="120"/>
    </i>
    <i>
      <x v="513"/>
      <x v="244"/>
      <x v="221"/>
    </i>
    <i>
      <x v="514"/>
      <x v="504"/>
      <x v="224"/>
    </i>
    <i>
      <x v="515"/>
      <x v="240"/>
      <x v="120"/>
    </i>
    <i>
      <x v="516"/>
      <x v="236"/>
      <x v="149"/>
    </i>
    <i>
      <x v="517"/>
      <x v="468"/>
      <x v="136"/>
    </i>
    <i>
      <x v="518"/>
      <x v="425"/>
      <x v="126"/>
    </i>
    <i>
      <x v="519"/>
      <x v="245"/>
      <x v="224"/>
    </i>
    <i>
      <x v="520"/>
      <x v="505"/>
      <x v="210"/>
    </i>
    <i>
      <x v="521"/>
      <x v="465"/>
      <x v="90"/>
    </i>
    <i>
      <x v="522"/>
      <x v="422"/>
      <x v="169"/>
    </i>
    <i>
      <x v="523"/>
      <x v="372"/>
      <x v="177"/>
    </i>
    <i>
      <x v="524"/>
      <x v="268"/>
      <x v="170"/>
    </i>
    <i>
      <x v="525"/>
      <x v="135"/>
      <x v="161"/>
    </i>
    <i>
      <x v="526"/>
      <x v="441"/>
      <x v="54"/>
    </i>
    <i>
      <x v="527"/>
      <x v="448"/>
      <x v="52"/>
    </i>
    <i>
      <x v="528"/>
      <x v="541"/>
      <x v="249"/>
    </i>
    <i>
      <x v="529"/>
      <x v="454"/>
      <x v="73"/>
    </i>
    <i>
      <x v="530"/>
      <x v="456"/>
      <x v="73"/>
    </i>
    <i>
      <x v="531"/>
      <x v="459"/>
      <x v="73"/>
    </i>
    <i>
      <x v="532"/>
      <x v="461"/>
      <x v="73"/>
    </i>
    <i>
      <x v="533"/>
      <x v="265"/>
      <x v="102"/>
    </i>
    <i>
      <x v="534"/>
      <x v="490"/>
      <x v="164"/>
    </i>
    <i>
      <x v="535"/>
      <x v="432"/>
      <x v="100"/>
    </i>
    <i r="1">
      <x v="433"/>
      <x v="100"/>
    </i>
    <i>
      <x v="536"/>
      <x v="439"/>
      <x v="76"/>
    </i>
    <i>
      <x v="537"/>
      <x v="257"/>
      <x v="122"/>
    </i>
    <i>
      <x v="538"/>
      <x v="258"/>
      <x v="87"/>
    </i>
    <i>
      <x v="539"/>
      <x v="541"/>
      <x v="87"/>
    </i>
    <i>
      <x v="540"/>
      <x v="541"/>
      <x v="111"/>
    </i>
    <i>
      <x v="541"/>
      <x v="250"/>
      <x v="101"/>
    </i>
    <i>
      <x v="542"/>
      <x v="434"/>
      <x/>
    </i>
    <i>
      <x v="543"/>
      <x v="436"/>
      <x v="96"/>
    </i>
    <i>
      <x v="544"/>
      <x v="435"/>
      <x v="4"/>
    </i>
    <i>
      <x v="545"/>
      <x v="251"/>
      <x v="93"/>
    </i>
    <i>
      <x v="546"/>
      <x v="431"/>
      <x v="187"/>
    </i>
    <i>
      <x v="547"/>
      <x v="374"/>
      <x v="93"/>
    </i>
    <i>
      <x v="548"/>
      <x v="438"/>
      <x v="54"/>
    </i>
    <i>
      <x v="549"/>
      <x v="437"/>
      <x v="249"/>
    </i>
    <i r="1">
      <x v="438"/>
      <x v="249"/>
    </i>
    <i>
      <x v="550"/>
      <x v="487"/>
      <x v="81"/>
    </i>
    <i>
      <x v="551"/>
      <x v="488"/>
      <x v="81"/>
    </i>
    <i>
      <x v="552"/>
      <x v="8"/>
      <x v="249"/>
    </i>
    <i>
      <x v="553"/>
      <x v="443"/>
      <x v="249"/>
    </i>
    <i>
      <x v="554"/>
      <x v="253"/>
      <x v="249"/>
    </i>
    <i>
      <x v="555"/>
      <x v="6"/>
      <x v="102"/>
    </i>
    <i>
      <x v="556"/>
      <x v="10"/>
      <x v="54"/>
    </i>
    <i>
      <x v="557"/>
      <x v="450"/>
      <x v="54"/>
    </i>
    <i>
      <x v="558"/>
      <x v="497"/>
      <x v="115"/>
    </i>
    <i>
      <x v="559"/>
      <x v="256"/>
      <x v="52"/>
    </i>
    <i>
      <x v="560"/>
      <x v="444"/>
      <x v="54"/>
    </i>
    <i>
      <x v="561"/>
      <x v="446"/>
      <x v="54"/>
    </i>
    <i>
      <x v="562"/>
      <x v="496"/>
      <x v="109"/>
    </i>
    <i>
      <x v="563"/>
      <x v="4"/>
      <x v="84"/>
    </i>
    <i>
      <x v="564"/>
      <x v="21"/>
      <x v="84"/>
    </i>
    <i>
      <x v="565"/>
      <x v="447"/>
      <x v="84"/>
    </i>
    <i>
      <x v="566"/>
      <x v="7"/>
      <x v="249"/>
    </i>
    <i>
      <x v="567"/>
      <x v="335"/>
      <x v="249"/>
    </i>
    <i r="1">
      <x v="375"/>
      <x v="249"/>
    </i>
    <i>
      <x v="568"/>
      <x v="442"/>
      <x v="249"/>
    </i>
    <i>
      <x v="569"/>
      <x v="449"/>
      <x v="54"/>
    </i>
    <i>
      <x v="570"/>
      <x v="452"/>
      <x v="54"/>
    </i>
    <i>
      <x v="571"/>
      <x v="259"/>
      <x v="76"/>
    </i>
    <i>
      <x v="572"/>
      <x v="260"/>
      <x v="249"/>
    </i>
    <i>
      <x v="573"/>
      <x v="541"/>
      <x v="107"/>
    </i>
    <i>
      <x v="574"/>
      <x v="262"/>
      <x v="249"/>
    </i>
    <i>
      <x v="575"/>
      <x v="541"/>
      <x v="121"/>
    </i>
    <i>
      <x v="576"/>
      <x v="451"/>
      <x v="76"/>
    </i>
    <i>
      <x v="577"/>
      <x v="263"/>
      <x v="112"/>
    </i>
    <i>
      <x v="578"/>
      <x v="364"/>
      <x v="113"/>
    </i>
    <i r="1">
      <x v="365"/>
      <x v="113"/>
    </i>
    <i>
      <x v="579"/>
      <x v="371"/>
      <x v="249"/>
    </i>
    <i>
      <x v="580"/>
      <x v="455"/>
      <x v="73"/>
    </i>
    <i>
      <x v="581"/>
      <x v="453"/>
      <x v="73"/>
    </i>
    <i>
      <x v="582"/>
      <x v="458"/>
      <x v="54"/>
    </i>
    <i>
      <x v="583"/>
      <x v="464"/>
      <x v="99"/>
    </i>
    <i>
      <x v="584"/>
      <x v="457"/>
      <x v="73"/>
    </i>
    <i>
      <x v="585"/>
      <x v="460"/>
      <x v="73"/>
    </i>
    <i>
      <x v="586"/>
      <x v="462"/>
      <x v="73"/>
    </i>
    <i>
      <x v="587"/>
      <x v="252"/>
      <x v="93"/>
    </i>
    <i r="1">
      <x v="445"/>
      <x v="54"/>
    </i>
    <i r="1">
      <x v="541"/>
      <x v="250"/>
    </i>
    <i>
      <x v="588"/>
      <x v="525"/>
      <x v="19"/>
    </i>
    <i>
      <x v="589"/>
      <x v="542"/>
      <x v="19"/>
    </i>
    <i>
      <x v="590"/>
      <x v="543"/>
      <x v="12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KULLANILAN MİKTAR" fld="5" baseField="0" baseItem="0"/>
    <dataField name="Toplam KALAN MİKTAR" fld="6" baseField="0" baseItem="0"/>
  </dataFields>
  <formats count="1187">
    <format dxfId="2435">
      <pivotArea outline="0" collapsedLevelsAreSubtotals="1" fieldPosition="0"/>
    </format>
    <format dxfId="2434">
      <pivotArea field="-2" type="button" dataOnly="0" labelOnly="1" outline="0" axis="axisCol" fieldPosition="0"/>
    </format>
    <format dxfId="2433">
      <pivotArea type="topRight" dataOnly="0" labelOnly="1" outline="0" fieldPosition="0"/>
    </format>
    <format dxfId="24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65">
      <pivotArea type="all" dataOnly="0" outline="0" fieldPosition="0"/>
    </format>
    <format dxfId="1181">
      <pivotArea outline="0" collapsedLevelsAreSubtotals="1" fieldPosition="0"/>
    </format>
    <format dxfId="1180">
      <pivotArea type="origin" dataOnly="0" labelOnly="1" outline="0" fieldPosition="0"/>
    </format>
    <format dxfId="1179">
      <pivotArea field="-2" type="button" dataOnly="0" labelOnly="1" outline="0" axis="axisCol" fieldPosition="0"/>
    </format>
    <format dxfId="1178">
      <pivotArea type="topRight" dataOnly="0" labelOnly="1" outline="0" fieldPosition="0"/>
    </format>
    <format dxfId="1177">
      <pivotArea field="0" type="button" dataOnly="0" labelOnly="1" outline="0" axis="axisRow" fieldPosition="0"/>
    </format>
    <format dxfId="1176">
      <pivotArea field="1" type="button" dataOnly="0" labelOnly="1" outline="0" axis="axisRow" fieldPosition="1"/>
    </format>
    <format dxfId="1175">
      <pivotArea field="2" type="button" dataOnly="0" labelOnly="1" outline="0" axis="axisRow" fieldPosition="2"/>
    </format>
    <format dxfId="1174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73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72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171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170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169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168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167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</reference>
        </references>
      </pivotArea>
    </format>
    <format dxfId="1166">
      <pivotArea dataOnly="0" labelOnly="1" outline="0" fieldPosition="0">
        <references count="1">
          <reference field="0" count="50"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</reference>
        </references>
      </pivotArea>
    </format>
    <format dxfId="1165">
      <pivotArea dataOnly="0" labelOnly="1" outline="0" fieldPosition="0">
        <references count="1">
          <reference field="0" count="50"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</reference>
        </references>
      </pivotArea>
    </format>
    <format dxfId="1164">
      <pivotArea dataOnly="0" labelOnly="1" outline="0" fieldPosition="0">
        <references count="1">
          <reference field="0" count="50"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</reference>
        </references>
      </pivotArea>
    </format>
    <format dxfId="1163">
      <pivotArea dataOnly="0" labelOnly="1" outline="0" fieldPosition="0">
        <references count="1">
          <reference field="0" count="40"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</reference>
        </references>
      </pivotArea>
    </format>
    <format dxfId="1162">
      <pivotArea dataOnly="0" labelOnly="1" grandRow="1" outline="0" fieldPosition="0"/>
    </format>
    <format dxfId="1161">
      <pivotArea dataOnly="0" labelOnly="1" outline="0" fieldPosition="0">
        <references count="2">
          <reference field="0" count="1" selected="0">
            <x v="0"/>
          </reference>
          <reference field="1" count="1">
            <x v="463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1"/>
          </reference>
          <reference field="1" count="1">
            <x v="243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2"/>
          </reference>
          <reference field="1" count="1">
            <x v="526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3"/>
          </reference>
          <reference field="1" count="1">
            <x v="352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4"/>
          </reference>
          <reference field="1" count="1">
            <x v="167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5"/>
          </reference>
          <reference field="1" count="1">
            <x v="508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6"/>
          </reference>
          <reference field="1" count="1">
            <x v="12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7"/>
          </reference>
          <reference field="1" count="1">
            <x v="136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8"/>
          </reference>
          <reference field="1" count="1">
            <x v="13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9"/>
          </reference>
          <reference field="1" count="1">
            <x v="14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10"/>
          </reference>
          <reference field="1" count="1">
            <x v="491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11"/>
          </reference>
          <reference field="1" count="1">
            <x v="15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12"/>
          </reference>
          <reference field="1" count="1">
            <x v="16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13"/>
          </reference>
          <reference field="1" count="1">
            <x v="17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14"/>
          </reference>
          <reference field="1" count="1">
            <x v="137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15"/>
          </reference>
          <reference field="1" count="1">
            <x v="18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16"/>
          </reference>
          <reference field="1" count="1">
            <x v="19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17"/>
          </reference>
          <reference field="1" count="1">
            <x v="138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18"/>
          </reference>
          <reference field="1" count="1">
            <x v="19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19"/>
          </reference>
          <reference field="1" count="1">
            <x v="20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20"/>
          </reference>
          <reference field="1" count="1">
            <x v="22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21"/>
          </reference>
          <reference field="1" count="1">
            <x v="139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22"/>
          </reference>
          <reference field="1" count="1">
            <x v="23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23"/>
          </reference>
          <reference field="1" count="1">
            <x v="140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24"/>
          </reference>
          <reference field="1" count="1">
            <x v="24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25"/>
          </reference>
          <reference field="1" count="1">
            <x v="25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27"/>
          </reference>
          <reference field="1" count="1">
            <x v="27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28"/>
          </reference>
          <reference field="1" count="1">
            <x v="26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29"/>
          </reference>
          <reference field="1" count="1">
            <x v="27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31"/>
          </reference>
          <reference field="1" count="1">
            <x v="141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32"/>
          </reference>
          <reference field="1" count="1">
            <x v="28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33"/>
          </reference>
          <reference field="1" count="1">
            <x v="29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34"/>
          </reference>
          <reference field="1" count="1">
            <x v="30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35"/>
          </reference>
          <reference field="1" count="1">
            <x v="31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36"/>
          </reference>
          <reference field="1" count="1">
            <x v="32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37"/>
          </reference>
          <reference field="1" count="1">
            <x v="33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38"/>
          </reference>
          <reference field="1" count="1">
            <x v="261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39"/>
          </reference>
          <reference field="1" count="1">
            <x v="353"/>
          </reference>
        </references>
      </pivotArea>
    </format>
    <format dxfId="1123">
      <pivotArea dataOnly="0" labelOnly="1" outline="0" fieldPosition="0">
        <references count="2">
          <reference field="0" count="1" selected="0">
            <x v="40"/>
          </reference>
          <reference field="1" count="1">
            <x v="354"/>
          </reference>
        </references>
      </pivotArea>
    </format>
    <format dxfId="1122">
      <pivotArea dataOnly="0" labelOnly="1" outline="0" fieldPosition="0">
        <references count="2">
          <reference field="0" count="1" selected="0">
            <x v="41"/>
          </reference>
          <reference field="1" count="1">
            <x v="355"/>
          </reference>
        </references>
      </pivotArea>
    </format>
    <format dxfId="1121">
      <pivotArea dataOnly="0" labelOnly="1" outline="0" fieldPosition="0">
        <references count="2">
          <reference field="0" count="1" selected="0">
            <x v="42"/>
          </reference>
          <reference field="1" count="1">
            <x v="269"/>
          </reference>
        </references>
      </pivotArea>
    </format>
    <format dxfId="1120">
      <pivotArea dataOnly="0" labelOnly="1" outline="0" fieldPosition="0">
        <references count="2">
          <reference field="0" count="1" selected="0">
            <x v="43"/>
          </reference>
          <reference field="1" count="1">
            <x v="34"/>
          </reference>
        </references>
      </pivotArea>
    </format>
    <format dxfId="1119">
      <pivotArea dataOnly="0" labelOnly="1" outline="0" fieldPosition="0">
        <references count="2">
          <reference field="0" count="1" selected="0">
            <x v="44"/>
          </reference>
          <reference field="1" count="1">
            <x v="495"/>
          </reference>
        </references>
      </pivotArea>
    </format>
    <format dxfId="1118">
      <pivotArea dataOnly="0" labelOnly="1" outline="0" fieldPosition="0">
        <references count="2">
          <reference field="0" count="1" selected="0">
            <x v="45"/>
          </reference>
          <reference field="1" count="1">
            <x v="35"/>
          </reference>
        </references>
      </pivotArea>
    </format>
    <format dxfId="1117">
      <pivotArea dataOnly="0" labelOnly="1" outline="0" fieldPosition="0">
        <references count="2">
          <reference field="0" count="1" selected="0">
            <x v="46"/>
          </reference>
          <reference field="1" count="1">
            <x v="494"/>
          </reference>
        </references>
      </pivotArea>
    </format>
    <format dxfId="1116">
      <pivotArea dataOnly="0" labelOnly="1" outline="0" fieldPosition="0">
        <references count="2">
          <reference field="0" count="1" selected="0">
            <x v="47"/>
          </reference>
          <reference field="1" count="1">
            <x v="36"/>
          </reference>
        </references>
      </pivotArea>
    </format>
    <format dxfId="1115">
      <pivotArea dataOnly="0" labelOnly="1" outline="0" fieldPosition="0">
        <references count="2">
          <reference field="0" count="1" selected="0">
            <x v="48"/>
          </reference>
          <reference field="1" count="1">
            <x v="37"/>
          </reference>
        </references>
      </pivotArea>
    </format>
    <format dxfId="1114">
      <pivotArea dataOnly="0" labelOnly="1" outline="0" fieldPosition="0">
        <references count="2">
          <reference field="0" count="1" selected="0">
            <x v="49"/>
          </reference>
          <reference field="1" count="1">
            <x v="541"/>
          </reference>
        </references>
      </pivotArea>
    </format>
    <format dxfId="1113">
      <pivotArea dataOnly="0" labelOnly="1" outline="0" fieldPosition="0">
        <references count="2">
          <reference field="0" count="1" selected="0">
            <x v="50"/>
          </reference>
          <reference field="1" count="1">
            <x v="38"/>
          </reference>
        </references>
      </pivotArea>
    </format>
    <format dxfId="1112">
      <pivotArea dataOnly="0" labelOnly="1" outline="0" fieldPosition="0">
        <references count="2">
          <reference field="0" count="1" selected="0">
            <x v="51"/>
          </reference>
          <reference field="1" count="1">
            <x v="39"/>
          </reference>
        </references>
      </pivotArea>
    </format>
    <format dxfId="1111">
      <pivotArea dataOnly="0" labelOnly="1" outline="0" fieldPosition="0">
        <references count="2">
          <reference field="0" count="1" selected="0">
            <x v="52"/>
          </reference>
          <reference field="1" count="1">
            <x v="40"/>
          </reference>
        </references>
      </pivotArea>
    </format>
    <format dxfId="1110">
      <pivotArea dataOnly="0" labelOnly="1" outline="0" fieldPosition="0">
        <references count="2">
          <reference field="0" count="1" selected="0">
            <x v="53"/>
          </reference>
          <reference field="1" count="1">
            <x v="41"/>
          </reference>
        </references>
      </pivotArea>
    </format>
    <format dxfId="1109">
      <pivotArea dataOnly="0" labelOnly="1" outline="0" fieldPosition="0">
        <references count="2">
          <reference field="0" count="1" selected="0">
            <x v="54"/>
          </reference>
          <reference field="1" count="1">
            <x v="42"/>
          </reference>
        </references>
      </pivotArea>
    </format>
    <format dxfId="1108">
      <pivotArea dataOnly="0" labelOnly="1" outline="0" fieldPosition="0">
        <references count="2">
          <reference field="0" count="1" selected="0">
            <x v="55"/>
          </reference>
          <reference field="1" count="1">
            <x v="43"/>
          </reference>
        </references>
      </pivotArea>
    </format>
    <format dxfId="1107">
      <pivotArea dataOnly="0" labelOnly="1" outline="0" fieldPosition="0">
        <references count="2">
          <reference field="0" count="1" selected="0">
            <x v="56"/>
          </reference>
          <reference field="1" count="1">
            <x v="44"/>
          </reference>
        </references>
      </pivotArea>
    </format>
    <format dxfId="1106">
      <pivotArea dataOnly="0" labelOnly="1" outline="0" fieldPosition="0">
        <references count="2">
          <reference field="0" count="1" selected="0">
            <x v="57"/>
          </reference>
          <reference field="1" count="1">
            <x v="45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59"/>
          </reference>
          <reference field="1" count="1">
            <x v="46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60"/>
          </reference>
          <reference field="1" count="1">
            <x v="142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61"/>
          </reference>
          <reference field="1" count="1">
            <x v="47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62"/>
          </reference>
          <reference field="1" count="1">
            <x v="48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63"/>
          </reference>
          <reference field="1" count="1">
            <x v="49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65"/>
          </reference>
          <reference field="1" count="1">
            <x v="50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66"/>
          </reference>
          <reference field="1" count="1">
            <x v="143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67"/>
          </reference>
          <reference field="1" count="1">
            <x v="51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69"/>
          </reference>
          <reference field="1" count="1">
            <x v="52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70"/>
          </reference>
          <reference field="1" count="1">
            <x v="168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71"/>
          </reference>
          <reference field="1" count="1">
            <x v="171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72"/>
          </reference>
          <reference field="1" count="1">
            <x v="172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73"/>
          </reference>
          <reference field="1" count="1">
            <x v="173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74"/>
          </reference>
          <reference field="1" count="1">
            <x v="53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75"/>
          </reference>
          <reference field="1" count="1">
            <x v="127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76"/>
          </reference>
          <reference field="1" count="1">
            <x v="128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77"/>
          </reference>
          <reference field="1" count="1">
            <x v="527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78"/>
          </reference>
          <reference field="1" count="1">
            <x v="169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79"/>
          </reference>
          <reference field="1" count="1">
            <x v="226"/>
          </reference>
        </references>
      </pivotArea>
    </format>
    <format dxfId="1086">
      <pivotArea dataOnly="0" labelOnly="1" outline="0" fieldPosition="0">
        <references count="2">
          <reference field="0" count="1" selected="0">
            <x v="80"/>
          </reference>
          <reference field="1" count="1">
            <x v="170"/>
          </reference>
        </references>
      </pivotArea>
    </format>
    <format dxfId="1085">
      <pivotArea dataOnly="0" labelOnly="1" outline="0" fieldPosition="0">
        <references count="2">
          <reference field="0" count="1" selected="0">
            <x v="81"/>
          </reference>
          <reference field="1" count="1">
            <x v="535"/>
          </reference>
        </references>
      </pivotArea>
    </format>
    <format dxfId="1084">
      <pivotArea dataOnly="0" labelOnly="1" outline="0" fieldPosition="0">
        <references count="2">
          <reference field="0" count="1" selected="0">
            <x v="82"/>
          </reference>
          <reference field="1" count="1">
            <x v="512"/>
          </reference>
        </references>
      </pivotArea>
    </format>
    <format dxfId="1083">
      <pivotArea dataOnly="0" labelOnly="1" outline="0" fieldPosition="0">
        <references count="2">
          <reference field="0" count="1" selected="0">
            <x v="83"/>
          </reference>
          <reference field="1" count="1">
            <x v="174"/>
          </reference>
        </references>
      </pivotArea>
    </format>
    <format dxfId="1082">
      <pivotArea dataOnly="0" labelOnly="1" outline="0" fieldPosition="0">
        <references count="2">
          <reference field="0" count="1" selected="0">
            <x v="84"/>
          </reference>
          <reference field="1" count="1">
            <x v="175"/>
          </reference>
        </references>
      </pivotArea>
    </format>
    <format dxfId="1081">
      <pivotArea dataOnly="0" labelOnly="1" outline="0" fieldPosition="0">
        <references count="2">
          <reference field="0" count="1" selected="0">
            <x v="85"/>
          </reference>
          <reference field="1" count="1">
            <x v="176"/>
          </reference>
        </references>
      </pivotArea>
    </format>
    <format dxfId="1080">
      <pivotArea dataOnly="0" labelOnly="1" outline="0" fieldPosition="0">
        <references count="2">
          <reference field="0" count="1" selected="0">
            <x v="86"/>
          </reference>
          <reference field="1" count="1">
            <x v="177"/>
          </reference>
        </references>
      </pivotArea>
    </format>
    <format dxfId="1079">
      <pivotArea dataOnly="0" labelOnly="1" outline="0" fieldPosition="0">
        <references count="2">
          <reference field="0" count="1" selected="0">
            <x v="87"/>
          </reference>
          <reference field="1" count="1">
            <x v="227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88"/>
          </reference>
          <reference field="1" count="1">
            <x v="178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89"/>
          </reference>
          <reference field="1" count="1">
            <x v="179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90"/>
          </reference>
          <reference field="1" count="1">
            <x v="536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91"/>
          </reference>
          <reference field="1" count="1">
            <x v="180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92"/>
          </reference>
          <reference field="1" count="1">
            <x v="181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93"/>
          </reference>
          <reference field="1" count="1">
            <x v="511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94"/>
          </reference>
          <reference field="1" count="1">
            <x v="377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95"/>
          </reference>
          <reference field="1" count="1">
            <x v="376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96"/>
          </reference>
          <reference field="1" count="1">
            <x v="513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97"/>
          </reference>
          <reference field="1" count="1">
            <x v="378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98"/>
          </reference>
          <reference field="1" count="1">
            <x v="379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99"/>
          </reference>
          <reference field="1" count="1">
            <x v="270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100"/>
          </reference>
          <reference field="1" count="1">
            <x v="182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101"/>
          </reference>
          <reference field="1" count="1">
            <x v="183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102"/>
          </reference>
          <reference field="1" count="1">
            <x v="536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103"/>
          </reference>
          <reference field="1" count="1">
            <x v="184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104"/>
          </reference>
          <reference field="1" count="1">
            <x v="356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105"/>
          </reference>
          <reference field="1" count="1">
            <x v="357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106"/>
          </reference>
          <reference field="1" count="1">
            <x v="358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107"/>
          </reference>
          <reference field="1" count="1">
            <x v="54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108"/>
          </reference>
          <reference field="1" count="1">
            <x v="55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109"/>
          </reference>
          <reference field="1" count="1">
            <x v="56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110"/>
          </reference>
          <reference field="1" count="1">
            <x v="57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111"/>
          </reference>
          <reference field="1" count="1">
            <x v="144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112"/>
          </reference>
          <reference field="1" count="1">
            <x v="1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113"/>
          </reference>
          <reference field="1" count="1">
            <x v="236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114"/>
          </reference>
          <reference field="1" count="1">
            <x v="493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115"/>
          </reference>
          <reference field="1" count="1">
            <x v="509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116"/>
          </reference>
          <reference field="1" count="1">
            <x v="58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117"/>
          </reference>
          <reference field="1" count="1">
            <x v="498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118"/>
          </reference>
          <reference field="1" count="1">
            <x v="59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119"/>
          </reference>
          <reference field="1" count="1">
            <x v="60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120"/>
          </reference>
          <reference field="1" count="1">
            <x v="58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121"/>
          </reference>
          <reference field="1" count="1">
            <x v="61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122"/>
          </reference>
          <reference field="1" count="1">
            <x v="62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123"/>
          </reference>
          <reference field="1" count="1">
            <x v="63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124"/>
          </reference>
          <reference field="1" count="1">
            <x v="64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125"/>
          </reference>
          <reference field="1" count="1">
            <x v="65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126"/>
          </reference>
          <reference field="1" count="1">
            <x v="145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127"/>
          </reference>
          <reference field="1" count="2">
            <x v="66"/>
            <x v="73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128"/>
          </reference>
          <reference field="1" count="1">
            <x v="67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129"/>
          </reference>
          <reference field="1" count="1">
            <x v="68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130"/>
          </reference>
          <reference field="1" count="1">
            <x v="271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131"/>
          </reference>
          <reference field="1" count="1">
            <x v="69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132"/>
          </reference>
          <reference field="1" count="1">
            <x v="70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133"/>
          </reference>
          <reference field="1" count="1">
            <x v="187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134"/>
          </reference>
          <reference field="1" count="1">
            <x v="380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135"/>
          </reference>
          <reference field="1" count="1">
            <x v="381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136"/>
          </reference>
          <reference field="1" count="1">
            <x v="272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137"/>
          </reference>
          <reference field="1" count="1">
            <x v="518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138"/>
          </reference>
          <reference field="1" count="1">
            <x v="71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139"/>
          </reference>
          <reference field="1" count="1">
            <x v="72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140"/>
          </reference>
          <reference field="1" count="1">
            <x v="131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141"/>
          </reference>
          <reference field="1" count="1">
            <x v="382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142"/>
          </reference>
          <reference field="1" count="1">
            <x v="198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143"/>
          </reference>
          <reference field="1" count="1">
            <x v="132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144"/>
          </reference>
          <reference field="1" count="1">
            <x v="273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145"/>
          </reference>
          <reference field="1" count="1">
            <x v="275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146"/>
          </reference>
          <reference field="1" count="1">
            <x v="383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147"/>
          </reference>
          <reference field="1" count="1">
            <x v="274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148"/>
          </reference>
          <reference field="1" count="1">
            <x v="133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149"/>
          </reference>
          <reference field="1" count="1">
            <x v="514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150"/>
          </reference>
          <reference field="1" count="1">
            <x v="185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151"/>
          </reference>
          <reference field="1" count="1">
            <x v="186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152"/>
          </reference>
          <reference field="1" count="1">
            <x v="515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153"/>
          </reference>
          <reference field="1" count="1">
            <x v="188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154"/>
          </reference>
          <reference field="1" count="1">
            <x v="516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155"/>
          </reference>
          <reference field="1" count="1">
            <x v="189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156"/>
          </reference>
          <reference field="1" count="1">
            <x v="190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157"/>
          </reference>
          <reference field="1" count="1">
            <x v="191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158"/>
          </reference>
          <reference field="1" count="1">
            <x v="192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159"/>
          </reference>
          <reference field="1" count="1">
            <x v="193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160"/>
          </reference>
          <reference field="1" count="1">
            <x v="194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161"/>
          </reference>
          <reference field="1" count="1">
            <x v="195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162"/>
          </reference>
          <reference field="1" count="1">
            <x v="196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163"/>
          </reference>
          <reference field="1" count="1">
            <x v="517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164"/>
          </reference>
          <reference field="1" count="1">
            <x v="197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165"/>
          </reference>
          <reference field="1" count="1">
            <x v="528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166"/>
          </reference>
          <reference field="1" count="1">
            <x v="198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167"/>
          </reference>
          <reference field="1" count="1">
            <x v="529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168"/>
          </reference>
          <reference field="1" count="1">
            <x v="199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169"/>
          </reference>
          <reference field="1" count="1">
            <x v="2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170"/>
          </reference>
          <reference field="1" count="1">
            <x v="359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171"/>
          </reference>
          <reference field="1" count="1">
            <x v="360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172"/>
          </reference>
          <reference field="1" count="1">
            <x v="384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173"/>
          </reference>
          <reference field="1" count="1">
            <x v="361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174"/>
          </reference>
          <reference field="1" count="1">
            <x v="385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175"/>
          </reference>
          <reference field="1" count="1">
            <x v="276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176"/>
          </reference>
          <reference field="1" count="1">
            <x v="499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177"/>
          </reference>
          <reference field="1" count="1">
            <x v="486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179"/>
          </reference>
          <reference field="1" count="1">
            <x v="510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180"/>
          </reference>
          <reference field="1" count="1">
            <x v="500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181"/>
          </reference>
          <reference field="1" count="1">
            <x v="74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182"/>
          </reference>
          <reference field="1" count="1">
            <x v="75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183"/>
          </reference>
          <reference field="1" count="1">
            <x v="386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184"/>
          </reference>
          <reference field="1" count="1">
            <x v="76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185"/>
          </reference>
          <reference field="1" count="1">
            <x v="200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186"/>
          </reference>
          <reference field="1" count="1">
            <x v="238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187"/>
          </reference>
          <reference field="1" count="1">
            <x v="277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188"/>
          </reference>
          <reference field="1" count="1">
            <x v="387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189"/>
          </reference>
          <reference field="1" count="1">
            <x v="388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190"/>
          </reference>
          <reference field="1" count="1">
            <x v="278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191"/>
          </reference>
          <reference field="1" count="1">
            <x v="279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192"/>
          </reference>
          <reference field="1" count="1">
            <x v="389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193"/>
          </reference>
          <reference field="1" count="1">
            <x v="280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194"/>
          </reference>
          <reference field="1" count="1">
            <x v="530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195"/>
          </reference>
          <reference field="1" count="1">
            <x v="201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196"/>
          </reference>
          <reference field="1" count="1">
            <x v="202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197"/>
          </reference>
          <reference field="1" count="1">
            <x v="203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198"/>
          </reference>
          <reference field="1" count="1">
            <x v="204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199"/>
          </reference>
          <reference field="1" count="1">
            <x v="205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200"/>
          </reference>
          <reference field="1" count="1">
            <x v="206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201"/>
          </reference>
          <reference field="1" count="1">
            <x v="207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202"/>
          </reference>
          <reference field="1" count="1">
            <x v="208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203"/>
          </reference>
          <reference field="1" count="1">
            <x v="209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204"/>
          </reference>
          <reference field="1" count="1">
            <x v="519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205"/>
          </reference>
          <reference field="1" count="1">
            <x v="392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206"/>
          </reference>
          <reference field="1" count="1">
            <x v="210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207"/>
          </reference>
          <reference field="1" count="1">
            <x v="281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208"/>
          </reference>
          <reference field="1" count="1">
            <x v="282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209"/>
          </reference>
          <reference field="1" count="1">
            <x v="283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210"/>
          </reference>
          <reference field="1" count="1">
            <x v="390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211"/>
          </reference>
          <reference field="1" count="1">
            <x v="391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212"/>
          </reference>
          <reference field="1" count="1">
            <x v="521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213"/>
          </reference>
          <reference field="1" count="1">
            <x v="212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214"/>
          </reference>
          <reference field="1" count="1">
            <x v="214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215"/>
          </reference>
          <reference field="1" count="1">
            <x v="212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216"/>
          </reference>
          <reference field="1" count="1">
            <x v="213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217"/>
          </reference>
          <reference field="1" count="2">
            <x v="214"/>
            <x v="215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218"/>
          </reference>
          <reference field="1" count="1">
            <x v="211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219"/>
          </reference>
          <reference field="1" count="1">
            <x v="216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220"/>
          </reference>
          <reference field="1" count="1">
            <x v="217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221"/>
          </reference>
          <reference field="1" count="1">
            <x v="220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222"/>
          </reference>
          <reference field="1" count="1">
            <x v="218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223"/>
          </reference>
          <reference field="1" count="1">
            <x v="393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224"/>
          </reference>
          <reference field="1" count="1">
            <x v="284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225"/>
          </reference>
          <reference field="1" count="1">
            <x v="394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226"/>
          </reference>
          <reference field="1" count="1">
            <x v="285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227"/>
          </reference>
          <reference field="1" count="1">
            <x v="286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228"/>
          </reference>
          <reference field="1" count="1">
            <x v="395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229"/>
          </reference>
          <reference field="1" count="1">
            <x v="287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230"/>
          </reference>
          <reference field="1" count="1">
            <x v="230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231"/>
          </reference>
          <reference field="1" count="1">
            <x v="219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232"/>
          </reference>
          <reference field="1" count="1">
            <x v="396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233"/>
          </reference>
          <reference field="1" count="1">
            <x v="288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234"/>
          </reference>
          <reference field="1" count="1">
            <x v="289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235"/>
          </reference>
          <reference field="1" count="1">
            <x v="397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236"/>
          </reference>
          <reference field="1" count="1">
            <x v="520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237"/>
          </reference>
          <reference field="1" count="1">
            <x v="531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238"/>
          </reference>
          <reference field="1" count="1">
            <x v="532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239"/>
          </reference>
          <reference field="1" count="1">
            <x v="398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241"/>
          </reference>
          <reference field="1" count="1">
            <x v="362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242"/>
          </reference>
          <reference field="1" count="1">
            <x v="290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243"/>
          </reference>
          <reference field="1" count="1">
            <x v="292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244"/>
          </reference>
          <reference field="1" count="1">
            <x v="399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245"/>
          </reference>
          <reference field="1" count="1">
            <x v="291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246"/>
          </reference>
          <reference field="1" count="1">
            <x v="293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247"/>
          </reference>
          <reference field="1" count="1">
            <x v="294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248"/>
          </reference>
          <reference field="1" count="1">
            <x v="400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249"/>
          </reference>
          <reference field="1" count="1">
            <x v="295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250"/>
          </reference>
          <reference field="1" count="1">
            <x v="296"/>
          </reference>
        </references>
      </pivotArea>
    </format>
    <format dxfId="917">
      <pivotArea dataOnly="0" labelOnly="1" outline="0" fieldPosition="0">
        <references count="2">
          <reference field="0" count="1" selected="0">
            <x v="251"/>
          </reference>
          <reference field="1" count="1">
            <x v="297"/>
          </reference>
        </references>
      </pivotArea>
    </format>
    <format dxfId="916">
      <pivotArea dataOnly="0" labelOnly="1" outline="0" fieldPosition="0">
        <references count="2">
          <reference field="0" count="1" selected="0">
            <x v="252"/>
          </reference>
          <reference field="1" count="1">
            <x v="403"/>
          </reference>
        </references>
      </pivotArea>
    </format>
    <format dxfId="915">
      <pivotArea dataOnly="0" labelOnly="1" outline="0" fieldPosition="0">
        <references count="2">
          <reference field="0" count="1" selected="0">
            <x v="253"/>
          </reference>
          <reference field="1" count="1">
            <x v="299"/>
          </reference>
        </references>
      </pivotArea>
    </format>
    <format dxfId="914">
      <pivotArea dataOnly="0" labelOnly="1" outline="0" fieldPosition="0">
        <references count="2">
          <reference field="0" count="1" selected="0">
            <x v="254"/>
          </reference>
          <reference field="1" count="1">
            <x v="402"/>
          </reference>
        </references>
      </pivotArea>
    </format>
    <format dxfId="913">
      <pivotArea dataOnly="0" labelOnly="1" outline="0" fieldPosition="0">
        <references count="2">
          <reference field="0" count="1" selected="0">
            <x v="255"/>
          </reference>
          <reference field="1" count="1">
            <x v="300"/>
          </reference>
        </references>
      </pivotArea>
    </format>
    <format dxfId="912">
      <pivotArea dataOnly="0" labelOnly="1" outline="0" fieldPosition="0">
        <references count="2">
          <reference field="0" count="1" selected="0">
            <x v="256"/>
          </reference>
          <reference field="1" count="1">
            <x v="401"/>
          </reference>
        </references>
      </pivotArea>
    </format>
    <format dxfId="911">
      <pivotArea dataOnly="0" labelOnly="1" outline="0" fieldPosition="0">
        <references count="2">
          <reference field="0" count="1" selected="0">
            <x v="258"/>
          </reference>
          <reference field="1" count="1">
            <x v="298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259"/>
          </reference>
          <reference field="1" count="1">
            <x v="302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260"/>
          </reference>
          <reference field="1" count="1">
            <x v="404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261"/>
          </reference>
          <reference field="1" count="1">
            <x v="303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262"/>
          </reference>
          <reference field="1" count="1">
            <x v="304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263"/>
          </reference>
          <reference field="1" count="1">
            <x v="301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264"/>
          </reference>
          <reference field="1" count="1">
            <x v="405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265"/>
          </reference>
          <reference field="1" count="1">
            <x v="408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266"/>
          </reference>
          <reference field="1" count="1">
            <x v="406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267"/>
          </reference>
          <reference field="1" count="1">
            <x v="407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268"/>
          </reference>
          <reference field="1" count="1">
            <x v="305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269"/>
          </reference>
          <reference field="1" count="1">
            <x v="306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270"/>
          </reference>
          <reference field="1" count="1">
            <x v="307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271"/>
          </reference>
          <reference field="1" count="1">
            <x v="267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272"/>
          </reference>
          <reference field="1" count="1">
            <x v="533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273"/>
          </reference>
          <reference field="1" count="1">
            <x v="534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274"/>
          </reference>
          <reference field="1" count="1">
            <x v="308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275"/>
          </reference>
          <reference field="1" count="1">
            <x v="522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276"/>
          </reference>
          <reference field="1" count="1">
            <x v="541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277"/>
          </reference>
          <reference field="1" count="1">
            <x v="409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278"/>
          </reference>
          <reference field="1" count="1">
            <x v="410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279"/>
          </reference>
          <reference field="1" count="1">
            <x v="309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280"/>
          </reference>
          <reference field="1" count="1">
            <x v="411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281"/>
          </reference>
          <reference field="1" count="1">
            <x v="310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282"/>
          </reference>
          <reference field="1" count="1">
            <x v="363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283"/>
          </reference>
          <reference field="1" count="1">
            <x v="413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284"/>
          </reference>
          <reference field="1" count="1">
            <x v="312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286"/>
          </reference>
          <reference field="1" count="1">
            <x v="412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287"/>
          </reference>
          <reference field="1" count="1">
            <x v="313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288"/>
          </reference>
          <reference field="1" count="1">
            <x v="311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289"/>
          </reference>
          <reference field="1" count="1">
            <x v="314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290"/>
          </reference>
          <reference field="1" count="1">
            <x v="414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291"/>
          </reference>
          <reference field="1" count="1">
            <x v="315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292"/>
          </reference>
          <reference field="1" count="1">
            <x v="316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293"/>
          </reference>
          <reference field="1" count="1">
            <x v="146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294"/>
          </reference>
          <reference field="1" count="1">
            <x v="77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295"/>
          </reference>
          <reference field="1" count="1">
            <x v="147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296"/>
          </reference>
          <reference field="1" count="1">
            <x v="317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297"/>
          </reference>
          <reference field="1" count="1">
            <x v="415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298"/>
          </reference>
          <reference field="1" count="1">
            <x v="319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299"/>
          </reference>
          <reference field="1" count="1">
            <x v="417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300"/>
          </reference>
          <reference field="1" count="1">
            <x v="416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301"/>
          </reference>
          <reference field="1" count="1">
            <x v="318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302"/>
          </reference>
          <reference field="1" count="1">
            <x v="321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303"/>
          </reference>
          <reference field="1" count="1">
            <x v="320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304"/>
          </reference>
          <reference field="1" count="1">
            <x v="322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305"/>
          </reference>
          <reference field="1" count="1">
            <x v="323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306"/>
          </reference>
          <reference field="1" count="1">
            <x v="366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307"/>
          </reference>
          <reference field="1" count="1">
            <x v="78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308"/>
          </reference>
          <reference field="1" count="1">
            <x v="148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309"/>
          </reference>
          <reference field="1" count="1">
            <x v="79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310"/>
          </reference>
          <reference field="1" count="1">
            <x v="80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311"/>
          </reference>
          <reference field="1" count="1">
            <x v="81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312"/>
          </reference>
          <reference field="1" count="1">
            <x v="149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313"/>
          </reference>
          <reference field="1" count="1">
            <x v="82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314"/>
          </reference>
          <reference field="1" count="1">
            <x v="83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315"/>
          </reference>
          <reference field="1" count="1">
            <x v="150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316"/>
          </reference>
          <reference field="1" count="1">
            <x v="523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317"/>
          </reference>
          <reference field="1" count="1">
            <x v="3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318"/>
          </reference>
          <reference field="1" count="1">
            <x v="324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319"/>
          </reference>
          <reference field="1" count="1">
            <x v="327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320"/>
          </reference>
          <reference field="1" count="1">
            <x v="325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321"/>
          </reference>
          <reference field="1" count="1">
            <x v="326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322"/>
          </reference>
          <reference field="1" count="1">
            <x v="328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323"/>
          </reference>
          <reference field="1" count="1">
            <x v="418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324"/>
          </reference>
          <reference field="1" count="1">
            <x v="84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326"/>
          </reference>
          <reference field="1" count="1">
            <x v="151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327"/>
          </reference>
          <reference field="1" count="1">
            <x v="85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329"/>
          </reference>
          <reference field="1" count="1">
            <x v="152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330"/>
          </reference>
          <reference field="1" count="1">
            <x v="86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332"/>
          </reference>
          <reference field="1" count="1">
            <x v="87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333"/>
          </reference>
          <reference field="1" count="1">
            <x v="88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335"/>
          </reference>
          <reference field="1" count="1">
            <x v="89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336"/>
          </reference>
          <reference field="1" count="1">
            <x v="153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337"/>
          </reference>
          <reference field="1" count="1">
            <x v="90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339"/>
          </reference>
          <reference field="1" count="1">
            <x v="154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340"/>
          </reference>
          <reference field="1" count="1">
            <x v="91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341"/>
          </reference>
          <reference field="1" count="1">
            <x v="92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342"/>
          </reference>
          <reference field="1" count="1">
            <x v="93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343"/>
          </reference>
          <reference field="1" count="1">
            <x v="94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344"/>
          </reference>
          <reference field="1" count="1">
            <x v="95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345"/>
          </reference>
          <reference field="1" count="1">
            <x v="96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346"/>
          </reference>
          <reference field="1" count="1">
            <x v="97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347"/>
          </reference>
          <reference field="1" count="1">
            <x v="98"/>
          </reference>
        </references>
      </pivotArea>
    </format>
    <format dxfId="827">
      <pivotArea dataOnly="0" labelOnly="1" outline="0" fieldPosition="0">
        <references count="2">
          <reference field="0" count="1" selected="0">
            <x v="348"/>
          </reference>
          <reference field="1" count="1">
            <x v="99"/>
          </reference>
        </references>
      </pivotArea>
    </format>
    <format dxfId="826">
      <pivotArea dataOnly="0" labelOnly="1" outline="0" fieldPosition="0">
        <references count="2">
          <reference field="0" count="1" selected="0">
            <x v="349"/>
          </reference>
          <reference field="1" count="1">
            <x v="100"/>
          </reference>
        </references>
      </pivotArea>
    </format>
    <format dxfId="825">
      <pivotArea dataOnly="0" labelOnly="1" outline="0" fieldPosition="0">
        <references count="2">
          <reference field="0" count="1" selected="0">
            <x v="350"/>
          </reference>
          <reference field="1" count="1">
            <x v="155"/>
          </reference>
        </references>
      </pivotArea>
    </format>
    <format dxfId="824">
      <pivotArea dataOnly="0" labelOnly="1" outline="0" fieldPosition="0">
        <references count="2">
          <reference field="0" count="1" selected="0">
            <x v="351"/>
          </reference>
          <reference field="1" count="1">
            <x v="524"/>
          </reference>
        </references>
      </pivotArea>
    </format>
    <format dxfId="823">
      <pivotArea dataOnly="0" labelOnly="1" outline="0" fieldPosition="0">
        <references count="2">
          <reference field="0" count="1" selected="0">
            <x v="352"/>
          </reference>
          <reference field="1" count="1">
            <x v="221"/>
          </reference>
        </references>
      </pivotArea>
    </format>
    <format dxfId="822">
      <pivotArea dataOnly="0" labelOnly="1" outline="0" fieldPosition="0">
        <references count="2">
          <reference field="0" count="1" selected="0">
            <x v="353"/>
          </reference>
          <reference field="1" count="1">
            <x v="222"/>
          </reference>
        </references>
      </pivotArea>
    </format>
    <format dxfId="821">
      <pivotArea dataOnly="0" labelOnly="1" outline="0" fieldPosition="0">
        <references count="2">
          <reference field="0" count="1" selected="0">
            <x v="354"/>
          </reference>
          <reference field="1" count="1">
            <x v="235"/>
          </reference>
        </references>
      </pivotArea>
    </format>
    <format dxfId="820">
      <pivotArea dataOnly="0" labelOnly="1" outline="0" fieldPosition="0">
        <references count="2">
          <reference field="0" count="1" selected="0">
            <x v="355"/>
          </reference>
          <reference field="1" count="1">
            <x v="329"/>
          </reference>
        </references>
      </pivotArea>
    </format>
    <format dxfId="819">
      <pivotArea dataOnly="0" labelOnly="1" outline="0" fieldPosition="0">
        <references count="2">
          <reference field="0" count="1" selected="0">
            <x v="356"/>
          </reference>
          <reference field="1" count="1">
            <x v="332"/>
          </reference>
        </references>
      </pivotArea>
    </format>
    <format dxfId="818">
      <pivotArea dataOnly="0" labelOnly="1" outline="0" fieldPosition="0">
        <references count="2">
          <reference field="0" count="1" selected="0">
            <x v="357"/>
          </reference>
          <reference field="1" count="1">
            <x v="333"/>
          </reference>
        </references>
      </pivotArea>
    </format>
    <format dxfId="817">
      <pivotArea dataOnly="0" labelOnly="1" outline="0" fieldPosition="0">
        <references count="2">
          <reference field="0" count="1" selected="0">
            <x v="358"/>
          </reference>
          <reference field="1" count="1">
            <x v="330"/>
          </reference>
        </references>
      </pivotArea>
    </format>
    <format dxfId="816">
      <pivotArea dataOnly="0" labelOnly="1" outline="0" fieldPosition="0">
        <references count="2">
          <reference field="0" count="1" selected="0">
            <x v="359"/>
          </reference>
          <reference field="1" count="1">
            <x v="331"/>
          </reference>
        </references>
      </pivotArea>
    </format>
    <format dxfId="815">
      <pivotArea dataOnly="0" labelOnly="1" outline="0" fieldPosition="0">
        <references count="2">
          <reference field="0" count="1" selected="0">
            <x v="360"/>
          </reference>
          <reference field="1" count="1">
            <x v="419"/>
          </reference>
        </references>
      </pivotArea>
    </format>
    <format dxfId="814">
      <pivotArea dataOnly="0" labelOnly="1" outline="0" fieldPosition="0">
        <references count="2">
          <reference field="0" count="1" selected="0">
            <x v="361"/>
          </reference>
          <reference field="1" count="1">
            <x v="334"/>
          </reference>
        </references>
      </pivotArea>
    </format>
    <format dxfId="813">
      <pivotArea dataOnly="0" labelOnly="1" outline="0" fieldPosition="0">
        <references count="2">
          <reference field="0" count="1" selected="0">
            <x v="364"/>
          </reference>
          <reference field="1" count="1">
            <x v="336"/>
          </reference>
        </references>
      </pivotArea>
    </format>
    <format dxfId="812">
      <pivotArea dataOnly="0" labelOnly="1" outline="0" fieldPosition="0">
        <references count="2">
          <reference field="0" count="1" selected="0">
            <x v="365"/>
          </reference>
          <reference field="1" count="1">
            <x v="337"/>
          </reference>
        </references>
      </pivotArea>
    </format>
    <format dxfId="811">
      <pivotArea dataOnly="0" labelOnly="1" outline="0" fieldPosition="0">
        <references count="2">
          <reference field="0" count="1" selected="0">
            <x v="366"/>
          </reference>
          <reference field="1" count="1">
            <x v="339"/>
          </reference>
        </references>
      </pivotArea>
    </format>
    <format dxfId="810">
      <pivotArea dataOnly="0" labelOnly="1" outline="0" fieldPosition="0">
        <references count="2">
          <reference field="0" count="1" selected="0">
            <x v="367"/>
          </reference>
          <reference field="1" count="1">
            <x v="338"/>
          </reference>
        </references>
      </pivotArea>
    </format>
    <format dxfId="809">
      <pivotArea dataOnly="0" labelOnly="1" outline="0" fieldPosition="0">
        <references count="2">
          <reference field="0" count="1" selected="0">
            <x v="368"/>
          </reference>
          <reference field="1" count="1">
            <x v="340"/>
          </reference>
        </references>
      </pivotArea>
    </format>
    <format dxfId="808">
      <pivotArea dataOnly="0" labelOnly="1" outline="0" fieldPosition="0">
        <references count="2">
          <reference field="0" count="1" selected="0">
            <x v="369"/>
          </reference>
          <reference field="1" count="1">
            <x v="341"/>
          </reference>
        </references>
      </pivotArea>
    </format>
    <format dxfId="807">
      <pivotArea dataOnly="0" labelOnly="1" outline="0" fieldPosition="0">
        <references count="2">
          <reference field="0" count="1" selected="0">
            <x v="370"/>
          </reference>
          <reference field="1" count="1">
            <x v="367"/>
          </reference>
        </references>
      </pivotArea>
    </format>
    <format dxfId="806">
      <pivotArea dataOnly="0" labelOnly="1" outline="0" fieldPosition="0">
        <references count="2">
          <reference field="0" count="1" selected="0">
            <x v="372"/>
          </reference>
          <reference field="1" count="1">
            <x v="223"/>
          </reference>
        </references>
      </pivotArea>
    </format>
    <format dxfId="805">
      <pivotArea dataOnly="0" labelOnly="1" outline="0" fieldPosition="0">
        <references count="2">
          <reference field="0" count="1" selected="0">
            <x v="374"/>
          </reference>
          <reference field="1" count="1">
            <x v="228"/>
          </reference>
        </references>
      </pivotArea>
    </format>
    <format dxfId="804">
      <pivotArea dataOnly="0" labelOnly="1" outline="0" fieldPosition="0">
        <references count="2">
          <reference field="0" count="1" selected="0">
            <x v="375"/>
          </reference>
          <reference field="1" count="1">
            <x v="368"/>
          </reference>
        </references>
      </pivotArea>
    </format>
    <format dxfId="803">
      <pivotArea dataOnly="0" labelOnly="1" outline="0" fieldPosition="0">
        <references count="2">
          <reference field="0" count="1" selected="0">
            <x v="376"/>
          </reference>
          <reference field="1" count="1">
            <x v="241"/>
          </reference>
        </references>
      </pivotArea>
    </format>
    <format dxfId="802">
      <pivotArea dataOnly="0" labelOnly="1" outline="0" fieldPosition="0">
        <references count="2">
          <reference field="0" count="1" selected="0">
            <x v="377"/>
          </reference>
          <reference field="1" count="1">
            <x v="101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378"/>
          </reference>
          <reference field="1" count="1">
            <x v="503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380"/>
          </reference>
          <reference field="1" count="1">
            <x v="101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382"/>
          </reference>
          <reference field="1" count="1">
            <x v="489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383"/>
          </reference>
          <reference field="1" count="1">
            <x v="502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384"/>
          </reference>
          <reference field="1" count="1">
            <x v="102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385"/>
          </reference>
          <reference field="1" count="1">
            <x v="103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386"/>
          </reference>
          <reference field="1" count="1">
            <x v="426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387"/>
          </reference>
          <reference field="1" count="1">
            <x v="156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388"/>
          </reference>
          <reference field="1" count="1">
            <x v="104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389"/>
          </reference>
          <reference field="1" count="1">
            <x v="105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390"/>
          </reference>
          <reference field="1" count="1">
            <x v="157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391"/>
          </reference>
          <reference field="1" count="1">
            <x v="106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393"/>
          </reference>
          <reference field="1" count="1">
            <x v="107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394"/>
          </reference>
          <reference field="1" count="1">
            <x v="158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395"/>
          </reference>
          <reference field="1" count="1">
            <x v="159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396"/>
          </reference>
          <reference field="1" count="1">
            <x v="108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397"/>
          </reference>
          <reference field="1" count="1">
            <x v="160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398"/>
          </reference>
          <reference field="1" count="1">
            <x v="126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399"/>
          </reference>
          <reference field="1" count="1">
            <x v="109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401"/>
          </reference>
          <reference field="1" count="1">
            <x v="161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402"/>
          </reference>
          <reference field="1" count="1">
            <x v="110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403"/>
          </reference>
          <reference field="1" count="1">
            <x v="162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404"/>
          </reference>
          <reference field="1" count="1">
            <x v="111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405"/>
          </reference>
          <reference field="1" count="1">
            <x v="112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406"/>
          </reference>
          <reference field="1" count="1">
            <x v="113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409"/>
          </reference>
          <reference field="1" count="1">
            <x v="163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410"/>
          </reference>
          <reference field="1" count="1">
            <x v="114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411"/>
          </reference>
          <reference field="1" count="1">
            <x v="115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412"/>
          </reference>
          <reference field="1" count="1">
            <x v="164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413"/>
          </reference>
          <reference field="1" count="1">
            <x v="116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415"/>
          </reference>
          <reference field="1" count="1">
            <x v="117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416"/>
          </reference>
          <reference field="1" count="1">
            <x v="165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417"/>
          </reference>
          <reference field="1" count="1">
            <x v="118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418"/>
          </reference>
          <reference field="1" count="1">
            <x v="119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419"/>
          </reference>
          <reference field="1" count="1">
            <x v="166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420"/>
          </reference>
          <reference field="1" count="1">
            <x v="541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421"/>
          </reference>
          <reference field="1" count="1">
            <x v="120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422"/>
          </reference>
          <reference field="1" count="1">
            <x v="121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423"/>
          </reference>
          <reference field="1" count="1">
            <x v="122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424"/>
          </reference>
          <reference field="1" count="1">
            <x v="123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425"/>
          </reference>
          <reference field="1" count="1">
            <x v="124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426"/>
          </reference>
          <reference field="1" count="1">
            <x v="125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427"/>
          </reference>
          <reference field="1" count="1">
            <x v="342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428"/>
          </reference>
          <reference field="1" count="1">
            <x v="343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429"/>
          </reference>
          <reference field="1" count="1">
            <x v="344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430"/>
          </reference>
          <reference field="1" count="1">
            <x v="346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431"/>
          </reference>
          <reference field="1" count="1">
            <x v="345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432"/>
          </reference>
          <reference field="1" count="1">
            <x v="249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433"/>
          </reference>
          <reference field="1" count="1">
            <x v="370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434"/>
          </reference>
          <reference field="1" count="1">
            <x v="347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435"/>
          </reference>
          <reference field="1" count="1">
            <x v="348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436"/>
          </reference>
          <reference field="1" count="1">
            <x v="369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437"/>
          </reference>
          <reference field="1" count="1">
            <x v="420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438"/>
          </reference>
          <reference field="1" count="1">
            <x v="349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439"/>
          </reference>
          <reference field="1" count="1">
            <x v="421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440"/>
          </reference>
          <reference field="1" count="1">
            <x v="350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441"/>
          </reference>
          <reference field="1" count="1">
            <x v="351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442"/>
          </reference>
          <reference field="1" count="1">
            <x v="224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443"/>
          </reference>
          <reference field="1" count="1">
            <x v="225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444"/>
          </reference>
          <reference field="1" count="1">
            <x v="229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445"/>
          </reference>
          <reference field="1" count="1">
            <x v="0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446"/>
          </reference>
          <reference field="1" count="1">
            <x v="11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447"/>
          </reference>
          <reference field="1" count="1">
            <x v="5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448"/>
          </reference>
          <reference field="1" count="1">
            <x v="9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449"/>
          </reference>
          <reference field="1" count="1">
            <x v="129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450"/>
          </reference>
          <reference field="1" count="1">
            <x v="130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451"/>
          </reference>
          <reference field="1" count="1">
            <x v="233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452"/>
          </reference>
          <reference field="1" count="1">
            <x v="234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453"/>
          </reference>
          <reference field="1" count="1">
            <x v="254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454"/>
          </reference>
          <reference field="1" count="1">
            <x v="255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455"/>
          </reference>
          <reference field="1" count="1">
            <x v="264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456"/>
          </reference>
          <reference field="1" count="1">
            <x v="237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457"/>
          </reference>
          <reference field="1" count="1">
            <x v="478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458"/>
          </reference>
          <reference field="1" count="1">
            <x v="469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459"/>
          </reference>
          <reference field="1" count="1">
            <x v="479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460"/>
          </reference>
          <reference field="1" count="1">
            <x v="237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461"/>
          </reference>
          <reference field="1" count="1">
            <x v="466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462"/>
          </reference>
          <reference field="1" count="1">
            <x v="427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463"/>
          </reference>
          <reference field="1" count="1">
            <x v="246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464"/>
          </reference>
          <reference field="1" count="1">
            <x v="506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465"/>
          </reference>
          <reference field="1" count="1">
            <x v="541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466"/>
          </reference>
          <reference field="1" count="1">
            <x v="492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467"/>
          </reference>
          <reference field="1" count="1">
            <x v="238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468"/>
          </reference>
          <reference field="1" count="1">
            <x v="470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469"/>
          </reference>
          <reference field="1" count="1">
            <x v="440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470"/>
          </reference>
          <reference field="1" count="1">
            <x v="480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471"/>
          </reference>
          <reference field="1" count="1">
            <x v="428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472"/>
          </reference>
          <reference field="1" count="1">
            <x v="485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473"/>
          </reference>
          <reference field="1" count="1">
            <x v="247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474"/>
          </reference>
          <reference field="1" count="1">
            <x v="507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476"/>
          </reference>
          <reference field="1" count="1">
            <x v="428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477"/>
          </reference>
          <reference field="1" count="1">
            <x v="541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478"/>
          </reference>
          <reference field="1" count="1">
            <x v="481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479"/>
          </reference>
          <reference field="1" count="1">
            <x v="429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480"/>
          </reference>
          <reference field="1" count="1">
            <x v="239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481"/>
          </reference>
          <reference field="1" count="1">
            <x v="472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482"/>
          </reference>
          <reference field="1" count="1">
            <x v="471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483"/>
          </reference>
          <reference field="1" count="1">
            <x v="482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484"/>
          </reference>
          <reference field="1" count="1">
            <x v="430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485"/>
          </reference>
          <reference field="1" count="1">
            <x v="248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486"/>
          </reference>
          <reference field="1" count="1">
            <x v="423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487"/>
          </reference>
          <reference field="1" count="1">
            <x v="231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488"/>
          </reference>
          <reference field="1" count="1">
            <x v="537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489"/>
          </reference>
          <reference field="1" count="1">
            <x v="473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490"/>
          </reference>
          <reference field="1" count="1">
            <x v="474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491"/>
          </reference>
          <reference field="1" count="1">
            <x v="475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492"/>
          </reference>
          <reference field="1" count="1">
            <x v="538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493"/>
          </reference>
          <reference field="1" count="1">
            <x v="134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494"/>
          </reference>
          <reference field="1" count="1">
            <x v="476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495"/>
          </reference>
          <reference field="1" count="1">
            <x v="541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496"/>
          </reference>
          <reference field="1" count="1">
            <x v="476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497"/>
          </reference>
          <reference field="1" count="1">
            <x v="483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498"/>
          </reference>
          <reference field="1" count="1">
            <x v="476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499"/>
          </reference>
          <reference field="1" count="1">
            <x v="540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500"/>
          </reference>
          <reference field="1" count="1">
            <x v="477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501"/>
          </reference>
          <reference field="1" count="1">
            <x v="541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502"/>
          </reference>
          <reference field="1" count="1">
            <x v="539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503"/>
          </reference>
          <reference field="1" count="1">
            <x v="484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504"/>
          </reference>
          <reference field="1" count="1">
            <x v="232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505"/>
          </reference>
          <reference field="1" count="1">
            <x v="266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506"/>
          </reference>
          <reference field="1" count="1">
            <x v="467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507"/>
          </reference>
          <reference field="1" count="1">
            <x v="424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508"/>
          </reference>
          <reference field="1" count="1">
            <x v="373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509"/>
          </reference>
          <reference field="1" count="1">
            <x v="501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510"/>
          </reference>
          <reference field="1" count="1">
            <x v="235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512"/>
          </reference>
          <reference field="1" count="1">
            <x v="242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513"/>
          </reference>
          <reference field="1" count="1">
            <x v="244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514"/>
          </reference>
          <reference field="1" count="1">
            <x v="504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515"/>
          </reference>
          <reference field="1" count="1">
            <x v="240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516"/>
          </reference>
          <reference field="1" count="1">
            <x v="236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517"/>
          </reference>
          <reference field="1" count="1">
            <x v="468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518"/>
          </reference>
          <reference field="1" count="1">
            <x v="425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519"/>
          </reference>
          <reference field="1" count="1">
            <x v="245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520"/>
          </reference>
          <reference field="1" count="1">
            <x v="505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521"/>
          </reference>
          <reference field="1" count="1">
            <x v="465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522"/>
          </reference>
          <reference field="1" count="1">
            <x v="422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523"/>
          </reference>
          <reference field="1" count="1">
            <x v="372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524"/>
          </reference>
          <reference field="1" count="1">
            <x v="268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525"/>
          </reference>
          <reference field="1" count="1">
            <x v="135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526"/>
          </reference>
          <reference field="1" count="1">
            <x v="441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527"/>
          </reference>
          <reference field="1" count="1">
            <x v="448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528"/>
          </reference>
          <reference field="1" count="1">
            <x v="541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529"/>
          </reference>
          <reference field="1" count="1">
            <x v="454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530"/>
          </reference>
          <reference field="1" count="1">
            <x v="456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531"/>
          </reference>
          <reference field="1" count="1">
            <x v="459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532"/>
          </reference>
          <reference field="1" count="1">
            <x v="461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533"/>
          </reference>
          <reference field="1" count="1">
            <x v="265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534"/>
          </reference>
          <reference field="1" count="1">
            <x v="490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535"/>
          </reference>
          <reference field="1" count="2">
            <x v="432"/>
            <x v="433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536"/>
          </reference>
          <reference field="1" count="1">
            <x v="439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537"/>
          </reference>
          <reference field="1" count="1">
            <x v="257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538"/>
          </reference>
          <reference field="1" count="1">
            <x v="258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539"/>
          </reference>
          <reference field="1" count="1">
            <x v="541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541"/>
          </reference>
          <reference field="1" count="1">
            <x v="250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542"/>
          </reference>
          <reference field="1" count="1">
            <x v="434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543"/>
          </reference>
          <reference field="1" count="1">
            <x v="436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544"/>
          </reference>
          <reference field="1" count="1">
            <x v="435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545"/>
          </reference>
          <reference field="1" count="1">
            <x v="251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546"/>
          </reference>
          <reference field="1" count="1">
            <x v="431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547"/>
          </reference>
          <reference field="1" count="1">
            <x v="374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548"/>
          </reference>
          <reference field="1" count="1">
            <x v="438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549"/>
          </reference>
          <reference field="1" count="2">
            <x v="437"/>
            <x v="438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550"/>
          </reference>
          <reference field="1" count="1">
            <x v="487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551"/>
          </reference>
          <reference field="1" count="1">
            <x v="488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552"/>
          </reference>
          <reference field="1" count="1">
            <x v="8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553"/>
          </reference>
          <reference field="1" count="1">
            <x v="443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554"/>
          </reference>
          <reference field="1" count="1">
            <x v="253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555"/>
          </reference>
          <reference field="1" count="1">
            <x v="6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556"/>
          </reference>
          <reference field="1" count="1">
            <x v="10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557"/>
          </reference>
          <reference field="1" count="1">
            <x v="450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558"/>
          </reference>
          <reference field="1" count="1">
            <x v="497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559"/>
          </reference>
          <reference field="1" count="1">
            <x v="256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560"/>
          </reference>
          <reference field="1" count="1">
            <x v="444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561"/>
          </reference>
          <reference field="1" count="1">
            <x v="446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562"/>
          </reference>
          <reference field="1" count="1">
            <x v="496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563"/>
          </reference>
          <reference field="1" count="1">
            <x v="4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564"/>
          </reference>
          <reference field="1" count="1">
            <x v="21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565"/>
          </reference>
          <reference field="1" count="1">
            <x v="447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566"/>
          </reference>
          <reference field="1" count="1">
            <x v="7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567"/>
          </reference>
          <reference field="1" count="2">
            <x v="335"/>
            <x v="375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568"/>
          </reference>
          <reference field="1" count="1">
            <x v="442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569"/>
          </reference>
          <reference field="1" count="1">
            <x v="449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570"/>
          </reference>
          <reference field="1" count="1">
            <x v="452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571"/>
          </reference>
          <reference field="1" count="1">
            <x v="259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572"/>
          </reference>
          <reference field="1" count="1">
            <x v="260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573"/>
          </reference>
          <reference field="1" count="1">
            <x v="541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574"/>
          </reference>
          <reference field="1" count="1">
            <x v="262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575"/>
          </reference>
          <reference field="1" count="1">
            <x v="541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576"/>
          </reference>
          <reference field="1" count="1">
            <x v="451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577"/>
          </reference>
          <reference field="1" count="1">
            <x v="263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578"/>
          </reference>
          <reference field="1" count="2">
            <x v="364"/>
            <x v="365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579"/>
          </reference>
          <reference field="1" count="1">
            <x v="371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580"/>
          </reference>
          <reference field="1" count="1">
            <x v="455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581"/>
          </reference>
          <reference field="1" count="1">
            <x v="453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582"/>
          </reference>
          <reference field="1" count="1">
            <x v="458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583"/>
          </reference>
          <reference field="1" count="1">
            <x v="464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584"/>
          </reference>
          <reference field="1" count="1">
            <x v="457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585"/>
          </reference>
          <reference field="1" count="1">
            <x v="460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586"/>
          </reference>
          <reference field="1" count="1">
            <x v="462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587"/>
          </reference>
          <reference field="1" count="3">
            <x v="252"/>
            <x v="445"/>
            <x v="541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588"/>
          </reference>
          <reference field="1" count="1">
            <x v="525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589"/>
          </reference>
          <reference field="1" count="1">
            <x v="542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590"/>
          </reference>
          <reference field="1" count="1">
            <x v="543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63"/>
          </reference>
          <reference field="2" count="1">
            <x v="73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43"/>
          </reference>
          <reference field="2" count="1">
            <x v="178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26"/>
          </reference>
          <reference field="2" count="1">
            <x v="15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52"/>
          </reference>
          <reference field="2" count="1">
            <x v="87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67"/>
          </reference>
          <reference field="2" count="1">
            <x v="249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08"/>
          </reference>
          <reference field="2" count="1">
            <x v="216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2" count="1">
            <x v="249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6"/>
          </reference>
          <reference field="2" count="1">
            <x v="214"/>
          </reference>
        </references>
      </pivotArea>
    </format>
    <format dxfId="590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3"/>
          </reference>
          <reference field="2" count="1">
            <x v="134"/>
          </reference>
        </references>
      </pivotArea>
    </format>
    <format dxfId="589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4"/>
          </reference>
          <reference field="2" count="1">
            <x v="159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491"/>
          </reference>
          <reference field="2" count="1">
            <x v="119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15"/>
          </reference>
          <reference field="2" count="1">
            <x v="154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6"/>
          </reference>
          <reference field="2" count="2">
            <x v="64"/>
            <x v="153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7"/>
          </reference>
          <reference field="2" count="1">
            <x v="129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37"/>
          </reference>
          <reference field="2" count="1">
            <x v="213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18"/>
          </reference>
          <reference field="2" count="1">
            <x v="166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9"/>
          </reference>
          <reference field="2" count="1">
            <x v="95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138"/>
          </reference>
          <reference field="2" count="1">
            <x v="80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9"/>
          </reference>
          <reference field="2" count="1">
            <x v="86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0"/>
          </reference>
          <reference field="2" count="1">
            <x v="95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2" count="1">
            <x v="125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39"/>
          </reference>
          <reference field="2" count="1">
            <x v="209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3"/>
          </reference>
          <reference field="2" count="1">
            <x v="74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140"/>
          </reference>
          <reference field="2" count="1">
            <x v="227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24"/>
          </reference>
          <reference field="2" count="1">
            <x v="98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25"/>
          </reference>
          <reference field="2" count="1">
            <x v="65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25"/>
          </reference>
          <reference field="2" count="1">
            <x v="86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27"/>
          </reference>
          <reference field="2" count="1">
            <x v="86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6"/>
          </reference>
          <reference field="2" count="1">
            <x v="67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27"/>
          </reference>
          <reference field="2" count="1">
            <x v="53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27"/>
          </reference>
          <reference field="2" count="2">
            <x v="70"/>
            <x v="71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141"/>
          </reference>
          <reference field="2" count="1">
            <x v="227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28"/>
          </reference>
          <reference field="2" count="2">
            <x v="82"/>
            <x v="140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29"/>
          </reference>
          <reference field="2" count="1">
            <x v="138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30"/>
          </reference>
          <reference field="2" count="1">
            <x v="74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1"/>
          </reference>
          <reference field="2" count="1">
            <x v="75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32"/>
          </reference>
          <reference field="2" count="1">
            <x v="151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33"/>
          </reference>
          <reference field="2" count="1">
            <x v="75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261"/>
          </reference>
          <reference field="2" count="1">
            <x v="249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39"/>
          </reference>
          <reference field="1" count="1" selected="0">
            <x v="353"/>
          </reference>
          <reference field="2" count="1">
            <x v="88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354"/>
          </reference>
          <reference field="2" count="1">
            <x v="88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355"/>
          </reference>
          <reference field="2" count="1">
            <x v="94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269"/>
          </reference>
          <reference field="2" count="1">
            <x v="89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34"/>
          </reference>
          <reference field="2" count="1">
            <x v="249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495"/>
          </reference>
          <reference field="2" count="1">
            <x v="187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35"/>
          </reference>
          <reference field="2" count="1">
            <x v="161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494"/>
          </reference>
          <reference field="2" count="1">
            <x v="104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36"/>
          </reference>
          <reference field="2" count="1">
            <x v="249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37"/>
          </reference>
          <reference field="2" count="1">
            <x v="68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541"/>
          </reference>
          <reference field="2" count="1">
            <x v="82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38"/>
          </reference>
          <reference field="2" count="1">
            <x v="140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39"/>
          </reference>
          <reference field="2" count="1">
            <x v="131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40"/>
          </reference>
          <reference field="2" count="1">
            <x v="72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41"/>
          </reference>
          <reference field="2" count="1">
            <x v="124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42"/>
          </reference>
          <reference field="2" count="1">
            <x v="133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43"/>
          </reference>
          <reference field="2" count="1">
            <x v="135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56"/>
          </reference>
          <reference field="1" count="1" selected="0">
            <x v="44"/>
          </reference>
          <reference field="2" count="1">
            <x v="152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45"/>
          </reference>
          <reference field="2" count="1">
            <x v="146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58"/>
          </reference>
          <reference field="1" count="1" selected="0">
            <x v="45"/>
          </reference>
          <reference field="2" count="1">
            <x v="123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46"/>
          </reference>
          <reference field="2" count="1">
            <x v="74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60"/>
          </reference>
          <reference field="1" count="1" selected="0">
            <x v="142"/>
          </reference>
          <reference field="2" count="1">
            <x v="213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61"/>
          </reference>
          <reference field="1" count="1" selected="0">
            <x v="47"/>
          </reference>
          <reference field="2" count="1">
            <x v="134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48"/>
          </reference>
          <reference field="2" count="1">
            <x v="72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63"/>
          </reference>
          <reference field="1" count="1" selected="0">
            <x v="49"/>
          </reference>
          <reference field="2" count="1">
            <x v="57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49"/>
          </reference>
          <reference field="2" count="1">
            <x v="128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50"/>
          </reference>
          <reference field="2" count="1">
            <x v="249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143"/>
          </reference>
          <reference field="2" count="1">
            <x v="214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51"/>
          </reference>
          <reference field="2" count="1">
            <x v="166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68"/>
          </reference>
          <reference field="1" count="1" selected="0">
            <x v="51"/>
          </reference>
          <reference field="2" count="1">
            <x v="140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52"/>
          </reference>
          <reference field="2" count="1">
            <x v="59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70"/>
          </reference>
          <reference field="1" count="1" selected="0">
            <x v="168"/>
          </reference>
          <reference field="2" count="1">
            <x v="17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71"/>
          </reference>
          <reference field="1" count="1" selected="0">
            <x v="171"/>
          </reference>
          <reference field="2" count="1">
            <x v="2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72"/>
          </reference>
          <reference field="1" count="1" selected="0">
            <x v="172"/>
          </reference>
          <reference field="2" count="1">
            <x v="19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73"/>
          </reference>
          <reference field="1" count="1" selected="0">
            <x v="173"/>
          </reference>
          <reference field="2" count="1">
            <x v="50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74"/>
          </reference>
          <reference field="1" count="1" selected="0">
            <x v="53"/>
          </reference>
          <reference field="2" count="1">
            <x v="141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75"/>
          </reference>
          <reference field="1" count="1" selected="0">
            <x v="127"/>
          </reference>
          <reference field="2" count="1">
            <x v="169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76"/>
          </reference>
          <reference field="1" count="1" selected="0">
            <x v="128"/>
          </reference>
          <reference field="2" count="1">
            <x v="169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527"/>
          </reference>
          <reference field="2" count="1">
            <x v="9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78"/>
          </reference>
          <reference field="1" count="1" selected="0">
            <x v="169"/>
          </reference>
          <reference field="2" count="1">
            <x v="32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79"/>
          </reference>
          <reference field="1" count="1" selected="0">
            <x v="226"/>
          </reference>
          <reference field="2" count="1">
            <x v="27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80"/>
          </reference>
          <reference field="1" count="1" selected="0">
            <x v="170"/>
          </reference>
          <reference field="2" count="1">
            <x v="39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81"/>
          </reference>
          <reference field="1" count="1" selected="0">
            <x v="535"/>
          </reference>
          <reference field="2" count="1">
            <x v="10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82"/>
          </reference>
          <reference field="1" count="1" selected="0">
            <x v="512"/>
          </reference>
          <reference field="2" count="1">
            <x v="21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83"/>
          </reference>
          <reference field="1" count="1" selected="0">
            <x v="174"/>
          </reference>
          <reference field="2" count="1">
            <x v="24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84"/>
          </reference>
          <reference field="1" count="1" selected="0">
            <x v="175"/>
          </reference>
          <reference field="2" count="1">
            <x v="47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85"/>
          </reference>
          <reference field="1" count="1" selected="0">
            <x v="176"/>
          </reference>
          <reference field="2" count="1">
            <x v="23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86"/>
          </reference>
          <reference field="1" count="1" selected="0">
            <x v="177"/>
          </reference>
          <reference field="2" count="1">
            <x v="34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87"/>
          </reference>
          <reference field="1" count="1" selected="0">
            <x v="227"/>
          </reference>
          <reference field="2" count="1">
            <x v="17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88"/>
          </reference>
          <reference field="1" count="1" selected="0">
            <x v="178"/>
          </reference>
          <reference field="2" count="1">
            <x v="33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89"/>
          </reference>
          <reference field="1" count="1" selected="0">
            <x v="179"/>
          </reference>
          <reference field="2" count="1">
            <x v="31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90"/>
          </reference>
          <reference field="1" count="1" selected="0">
            <x v="536"/>
          </reference>
          <reference field="2" count="1">
            <x v="18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91"/>
          </reference>
          <reference field="1" count="1" selected="0">
            <x v="180"/>
          </reference>
          <reference field="2" count="1">
            <x v="36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92"/>
          </reference>
          <reference field="1" count="1" selected="0">
            <x v="181"/>
          </reference>
          <reference field="2" count="1">
            <x v="26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93"/>
          </reference>
          <reference field="1" count="1" selected="0">
            <x v="511"/>
          </reference>
          <reference field="2" count="1">
            <x v="127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94"/>
          </reference>
          <reference field="1" count="1" selected="0">
            <x v="377"/>
          </reference>
          <reference field="2" count="1">
            <x v="223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95"/>
          </reference>
          <reference field="1" count="1" selected="0">
            <x v="376"/>
          </reference>
          <reference field="2" count="1">
            <x v="246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96"/>
          </reference>
          <reference field="1" count="1" selected="0">
            <x v="513"/>
          </reference>
          <reference field="2" count="1">
            <x v="34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97"/>
          </reference>
          <reference field="1" count="1" selected="0">
            <x v="378"/>
          </reference>
          <reference field="2" count="1">
            <x v="245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98"/>
          </reference>
          <reference field="1" count="1" selected="0">
            <x v="379"/>
          </reference>
          <reference field="2" count="1">
            <x v="246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99"/>
          </reference>
          <reference field="1" count="1" selected="0">
            <x v="270"/>
          </reference>
          <reference field="2" count="1">
            <x v="58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100"/>
          </reference>
          <reference field="1" count="1" selected="0">
            <x v="182"/>
          </reference>
          <reference field="2" count="1">
            <x v="30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101"/>
          </reference>
          <reference field="1" count="1" selected="0">
            <x v="183"/>
          </reference>
          <reference field="2" count="1">
            <x v="39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102"/>
          </reference>
          <reference field="1" count="1" selected="0">
            <x v="536"/>
          </reference>
          <reference field="2" count="1">
            <x v="18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103"/>
          </reference>
          <reference field="1" count="1" selected="0">
            <x v="184"/>
          </reference>
          <reference field="2" count="1">
            <x v="37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104"/>
          </reference>
          <reference field="1" count="1" selected="0">
            <x v="356"/>
          </reference>
          <reference field="2" count="1">
            <x v="88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105"/>
          </reference>
          <reference field="1" count="1" selected="0">
            <x v="357"/>
          </reference>
          <reference field="2" count="1">
            <x v="94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106"/>
          </reference>
          <reference field="1" count="1" selected="0">
            <x v="358"/>
          </reference>
          <reference field="2" count="1">
            <x v="94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107"/>
          </reference>
          <reference field="1" count="1" selected="0">
            <x v="54"/>
          </reference>
          <reference field="2" count="1">
            <x v="75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108"/>
          </reference>
          <reference field="1" count="1" selected="0">
            <x v="55"/>
          </reference>
          <reference field="2" count="1">
            <x v="136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109"/>
          </reference>
          <reference field="1" count="1" selected="0">
            <x v="56"/>
          </reference>
          <reference field="2" count="1">
            <x v="165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110"/>
          </reference>
          <reference field="1" count="1" selected="0">
            <x v="57"/>
          </reference>
          <reference field="2" count="1">
            <x v="166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111"/>
          </reference>
          <reference field="1" count="1" selected="0">
            <x v="144"/>
          </reference>
          <reference field="2" count="1">
            <x v="214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112"/>
          </reference>
          <reference field="1" count="1" selected="0">
            <x v="1"/>
          </reference>
          <reference field="2" count="1">
            <x v="249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113"/>
          </reference>
          <reference field="1" count="1" selected="0">
            <x v="236"/>
          </reference>
          <reference field="2" count="1">
            <x v="113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114"/>
          </reference>
          <reference field="1" count="1" selected="0">
            <x v="493"/>
          </reference>
          <reference field="2" count="1">
            <x v="186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115"/>
          </reference>
          <reference field="1" count="1" selected="0">
            <x v="509"/>
          </reference>
          <reference field="2" count="1">
            <x v="110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116"/>
          </reference>
          <reference field="1" count="1" selected="0">
            <x v="58"/>
          </reference>
          <reference field="2" count="1">
            <x v="154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117"/>
          </reference>
          <reference field="1" count="1" selected="0">
            <x v="498"/>
          </reference>
          <reference field="2" count="1">
            <x v="106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118"/>
          </reference>
          <reference field="1" count="1" selected="0">
            <x v="59"/>
          </reference>
          <reference field="2" count="1">
            <x v="152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119"/>
          </reference>
          <reference field="1" count="1" selected="0">
            <x v="60"/>
          </reference>
          <reference field="2" count="1">
            <x v="148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120"/>
          </reference>
          <reference field="1" count="1" selected="0">
            <x v="58"/>
          </reference>
          <reference field="2" count="1">
            <x v="85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121"/>
          </reference>
          <reference field="1" count="1" selected="0">
            <x v="61"/>
          </reference>
          <reference field="2" count="1">
            <x v="156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122"/>
          </reference>
          <reference field="1" count="1" selected="0">
            <x v="62"/>
          </reference>
          <reference field="2" count="1">
            <x v="60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123"/>
          </reference>
          <reference field="1" count="1" selected="0">
            <x v="63"/>
          </reference>
          <reference field="2" count="1">
            <x v="89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124"/>
          </reference>
          <reference field="1" count="1" selected="0">
            <x v="64"/>
          </reference>
          <reference field="2" count="1">
            <x v="97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25"/>
          </reference>
          <reference field="1" count="1" selected="0">
            <x v="65"/>
          </reference>
          <reference field="2" count="2">
            <x v="52"/>
            <x v="147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126"/>
          </reference>
          <reference field="1" count="1" selected="0">
            <x v="145"/>
          </reference>
          <reference field="2" count="1">
            <x v="216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127"/>
          </reference>
          <reference field="1" count="1" selected="0">
            <x v="66"/>
          </reference>
          <reference field="2" count="1">
            <x v="249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127"/>
          </reference>
          <reference field="1" count="1" selected="0">
            <x v="73"/>
          </reference>
          <reference field="2" count="1">
            <x v="87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128"/>
          </reference>
          <reference field="1" count="1" selected="0">
            <x v="67"/>
          </reference>
          <reference field="2" count="1">
            <x v="124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129"/>
          </reference>
          <reference field="1" count="1" selected="0">
            <x v="68"/>
          </reference>
          <reference field="2" count="1">
            <x v="123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130"/>
          </reference>
          <reference field="1" count="1" selected="0">
            <x v="271"/>
          </reference>
          <reference field="2" count="1">
            <x v="68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131"/>
          </reference>
          <reference field="1" count="1" selected="0">
            <x v="69"/>
          </reference>
          <reference field="2" count="1">
            <x v="65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132"/>
          </reference>
          <reference field="1" count="1" selected="0">
            <x v="70"/>
          </reference>
          <reference field="2" count="1">
            <x v="147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133"/>
          </reference>
          <reference field="1" count="1" selected="0">
            <x v="187"/>
          </reference>
          <reference field="2" count="1">
            <x v="18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134"/>
          </reference>
          <reference field="1" count="1" selected="0">
            <x v="380"/>
          </reference>
          <reference field="2" count="1">
            <x v="234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135"/>
          </reference>
          <reference field="1" count="1" selected="0">
            <x v="381"/>
          </reference>
          <reference field="2" count="1">
            <x v="212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136"/>
          </reference>
          <reference field="1" count="1" selected="0">
            <x v="272"/>
          </reference>
          <reference field="2" count="1">
            <x v="139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137"/>
          </reference>
          <reference field="1" count="1" selected="0">
            <x v="518"/>
          </reference>
          <reference field="2" count="1">
            <x v="127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138"/>
          </reference>
          <reference field="1" count="1" selected="0">
            <x v="71"/>
          </reference>
          <reference field="2" count="1">
            <x v="130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139"/>
          </reference>
          <reference field="1" count="1" selected="0">
            <x v="72"/>
          </reference>
          <reference field="2" count="1">
            <x v="249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140"/>
          </reference>
          <reference field="1" count="1" selected="0">
            <x v="131"/>
          </reference>
          <reference field="2" count="1">
            <x v="172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141"/>
          </reference>
          <reference field="1" count="1" selected="0">
            <x v="382"/>
          </reference>
          <reference field="2" count="1">
            <x v="207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142"/>
          </reference>
          <reference field="1" count="1" selected="0">
            <x v="198"/>
          </reference>
          <reference field="2" count="1">
            <x v="2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143"/>
          </reference>
          <reference field="1" count="1" selected="0">
            <x v="132"/>
          </reference>
          <reference field="2" count="1">
            <x v="171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144"/>
          </reference>
          <reference field="1" count="1" selected="0">
            <x v="273"/>
          </reference>
          <reference field="2" count="1">
            <x v="77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145"/>
          </reference>
          <reference field="1" count="1" selected="0">
            <x v="275"/>
          </reference>
          <reference field="2" count="1">
            <x v="196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146"/>
          </reference>
          <reference field="1" count="1" selected="0">
            <x v="383"/>
          </reference>
          <reference field="2" count="1">
            <x v="244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147"/>
          </reference>
          <reference field="1" count="1" selected="0">
            <x v="274"/>
          </reference>
          <reference field="2" count="1">
            <x v="62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148"/>
          </reference>
          <reference field="1" count="1" selected="0">
            <x v="133"/>
          </reference>
          <reference field="2" count="1">
            <x v="169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149"/>
          </reference>
          <reference field="1" count="1" selected="0">
            <x v="514"/>
          </reference>
          <reference field="2" count="1">
            <x v="33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150"/>
          </reference>
          <reference field="1" count="1" selected="0">
            <x v="185"/>
          </reference>
          <reference field="2" count="1">
            <x v="42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151"/>
          </reference>
          <reference field="1" count="1" selected="0">
            <x v="186"/>
          </reference>
          <reference field="2" count="1">
            <x v="34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152"/>
          </reference>
          <reference field="1" count="1" selected="0">
            <x v="515"/>
          </reference>
          <reference field="2" count="2">
            <x v="11"/>
            <x v="13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153"/>
          </reference>
          <reference field="1" count="1" selected="0">
            <x v="188"/>
          </reference>
          <reference field="2" count="1">
            <x v="45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154"/>
          </reference>
          <reference field="1" count="1" selected="0">
            <x v="516"/>
          </reference>
          <reference field="2" count="1">
            <x v="9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155"/>
          </reference>
          <reference field="1" count="1" selected="0">
            <x v="189"/>
          </reference>
          <reference field="2" count="1">
            <x v="49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156"/>
          </reference>
          <reference field="1" count="1" selected="0">
            <x v="190"/>
          </reference>
          <reference field="2" count="1">
            <x v="50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157"/>
          </reference>
          <reference field="1" count="1" selected="0">
            <x v="191"/>
          </reference>
          <reference field="2" count="1">
            <x v="39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158"/>
          </reference>
          <reference field="1" count="1" selected="0">
            <x v="192"/>
          </reference>
          <reference field="2" count="1">
            <x v="45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159"/>
          </reference>
          <reference field="1" count="1" selected="0">
            <x v="193"/>
          </reference>
          <reference field="2" count="2">
            <x v="3"/>
            <x v="40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160"/>
          </reference>
          <reference field="1" count="1" selected="0">
            <x v="194"/>
          </reference>
          <reference field="2" count="1">
            <x v="47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161"/>
          </reference>
          <reference field="1" count="1" selected="0">
            <x v="195"/>
          </reference>
          <reference field="2" count="1">
            <x v="33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162"/>
          </reference>
          <reference field="1" count="1" selected="0">
            <x v="196"/>
          </reference>
          <reference field="2" count="1">
            <x v="38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163"/>
          </reference>
          <reference field="1" count="1" selected="0">
            <x v="517"/>
          </reference>
          <reference field="2" count="1">
            <x v="18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164"/>
          </reference>
          <reference field="1" count="1" selected="0">
            <x v="197"/>
          </reference>
          <reference field="2" count="1">
            <x v="48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165"/>
          </reference>
          <reference field="1" count="1" selected="0">
            <x v="528"/>
          </reference>
          <reference field="2" count="1">
            <x v="9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166"/>
          </reference>
          <reference field="1" count="1" selected="0">
            <x v="198"/>
          </reference>
          <reference field="2" count="1">
            <x v="40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167"/>
          </reference>
          <reference field="1" count="1" selected="0">
            <x v="529"/>
          </reference>
          <reference field="2" count="1">
            <x v="9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168"/>
          </reference>
          <reference field="1" count="1" selected="0">
            <x v="199"/>
          </reference>
          <reference field="2" count="1">
            <x v="28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169"/>
          </reference>
          <reference field="1" count="1" selected="0">
            <x v="2"/>
          </reference>
          <reference field="2" count="1">
            <x v="249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170"/>
          </reference>
          <reference field="1" count="1" selected="0">
            <x v="359"/>
          </reference>
          <reference field="2" count="1">
            <x v="87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171"/>
          </reference>
          <reference field="1" count="1" selected="0">
            <x v="360"/>
          </reference>
          <reference field="2" count="1">
            <x v="88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172"/>
          </reference>
          <reference field="1" count="1" selected="0">
            <x v="384"/>
          </reference>
          <reference field="2" count="1">
            <x v="65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173"/>
          </reference>
          <reference field="1" count="1" selected="0">
            <x v="361"/>
          </reference>
          <reference field="2" count="1">
            <x v="94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174"/>
          </reference>
          <reference field="1" count="1" selected="0">
            <x v="385"/>
          </reference>
          <reference field="2" count="1">
            <x v="65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175"/>
          </reference>
          <reference field="1" count="1" selected="0">
            <x v="276"/>
          </reference>
          <reference field="2" count="1">
            <x v="185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176"/>
          </reference>
          <reference field="1" count="1" selected="0">
            <x v="499"/>
          </reference>
          <reference field="2" count="1">
            <x v="1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177"/>
          </reference>
          <reference field="1" count="1" selected="0">
            <x v="486"/>
          </reference>
          <reference field="2" count="1">
            <x v="180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178"/>
          </reference>
          <reference field="1" count="1" selected="0">
            <x v="486"/>
          </reference>
          <reference field="2" count="1">
            <x v="189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179"/>
          </reference>
          <reference field="1" count="1" selected="0">
            <x v="510"/>
          </reference>
          <reference field="2" count="1">
            <x v="105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180"/>
          </reference>
          <reference field="1" count="1" selected="0">
            <x v="500"/>
          </reference>
          <reference field="2" count="1">
            <x v="103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181"/>
          </reference>
          <reference field="1" count="1" selected="0">
            <x v="74"/>
          </reference>
          <reference field="2" count="1">
            <x v="249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182"/>
          </reference>
          <reference field="1" count="1" selected="0">
            <x v="75"/>
          </reference>
          <reference field="2" count="1">
            <x v="249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183"/>
          </reference>
          <reference field="1" count="1" selected="0">
            <x v="386"/>
          </reference>
          <reference field="2" count="1">
            <x v="234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184"/>
          </reference>
          <reference field="1" count="1" selected="0">
            <x v="76"/>
          </reference>
          <reference field="2" count="1">
            <x v="156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185"/>
          </reference>
          <reference field="1" count="1" selected="0">
            <x v="200"/>
          </reference>
          <reference field="2" count="1">
            <x v="45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186"/>
          </reference>
          <reference field="1" count="1" selected="0">
            <x v="238"/>
          </reference>
          <reference field="2" count="1">
            <x v="118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187"/>
          </reference>
          <reference field="1" count="1" selected="0">
            <x v="277"/>
          </reference>
          <reference field="2" count="1">
            <x v="159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188"/>
          </reference>
          <reference field="1" count="1" selected="0">
            <x v="387"/>
          </reference>
          <reference field="2" count="1">
            <x v="221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189"/>
          </reference>
          <reference field="1" count="1" selected="0">
            <x v="388"/>
          </reference>
          <reference field="2" count="1">
            <x v="243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190"/>
          </reference>
          <reference field="1" count="1" selected="0">
            <x v="278"/>
          </reference>
          <reference field="2" count="1">
            <x v="193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191"/>
          </reference>
          <reference field="1" count="1" selected="0">
            <x v="279"/>
          </reference>
          <reference field="2" count="1">
            <x v="192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192"/>
          </reference>
          <reference field="1" count="1" selected="0">
            <x v="389"/>
          </reference>
          <reference field="2" count="1">
            <x v="220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93"/>
          </reference>
          <reference field="1" count="1" selected="0">
            <x v="280"/>
          </reference>
          <reference field="2" count="1">
            <x v="193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194"/>
          </reference>
          <reference field="1" count="1" selected="0">
            <x v="530"/>
          </reference>
          <reference field="2" count="1">
            <x v="9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95"/>
          </reference>
          <reference field="1" count="1" selected="0">
            <x v="201"/>
          </reference>
          <reference field="2" count="1">
            <x v="6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196"/>
          </reference>
          <reference field="1" count="1" selected="0">
            <x v="202"/>
          </reference>
          <reference field="2" count="1">
            <x v="42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197"/>
          </reference>
          <reference field="1" count="1" selected="0">
            <x v="203"/>
          </reference>
          <reference field="2" count="1">
            <x v="51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198"/>
          </reference>
          <reference field="1" count="1" selected="0">
            <x v="204"/>
          </reference>
          <reference field="2" count="1">
            <x v="43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199"/>
          </reference>
          <reference field="1" count="1" selected="0">
            <x v="205"/>
          </reference>
          <reference field="2" count="1">
            <x v="38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200"/>
          </reference>
          <reference field="1" count="1" selected="0">
            <x v="206"/>
          </reference>
          <reference field="2" count="1">
            <x v="39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201"/>
          </reference>
          <reference field="1" count="1" selected="0">
            <x v="207"/>
          </reference>
          <reference field="2" count="1">
            <x v="46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202"/>
          </reference>
          <reference field="1" count="1" selected="0">
            <x v="208"/>
          </reference>
          <reference field="2" count="1">
            <x v="44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203"/>
          </reference>
          <reference field="1" count="1" selected="0">
            <x v="209"/>
          </reference>
          <reference field="2" count="1">
            <x v="48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204"/>
          </reference>
          <reference field="1" count="1" selected="0">
            <x v="519"/>
          </reference>
          <reference field="2" count="1">
            <x v="91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205"/>
          </reference>
          <reference field="1" count="1" selected="0">
            <x v="392"/>
          </reference>
          <reference field="2" count="1">
            <x v="208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206"/>
          </reference>
          <reference field="1" count="1" selected="0">
            <x v="210"/>
          </reference>
          <reference field="2" count="1">
            <x v="37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207"/>
          </reference>
          <reference field="1" count="1" selected="0">
            <x v="281"/>
          </reference>
          <reference field="2" count="1">
            <x v="193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208"/>
          </reference>
          <reference field="1" count="1" selected="0">
            <x v="282"/>
          </reference>
          <reference field="2" count="1">
            <x v="63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209"/>
          </reference>
          <reference field="1" count="1" selected="0">
            <x v="283"/>
          </reference>
          <reference field="2" count="1">
            <x v="88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210"/>
          </reference>
          <reference field="1" count="1" selected="0">
            <x v="390"/>
          </reference>
          <reference field="2" count="1">
            <x v="232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211"/>
          </reference>
          <reference field="1" count="1" selected="0">
            <x v="391"/>
          </reference>
          <reference field="2" count="1">
            <x v="210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212"/>
          </reference>
          <reference field="1" count="1" selected="0">
            <x v="521"/>
          </reference>
          <reference field="2" count="1">
            <x v="90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213"/>
          </reference>
          <reference field="1" count="1" selected="0">
            <x v="212"/>
          </reference>
          <reference field="2" count="1">
            <x v="21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214"/>
          </reference>
          <reference field="1" count="1" selected="0">
            <x v="214"/>
          </reference>
          <reference field="2" count="1">
            <x v="5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215"/>
          </reference>
          <reference field="1" count="1" selected="0">
            <x v="212"/>
          </reference>
          <reference field="2" count="1">
            <x v="37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216"/>
          </reference>
          <reference field="1" count="1" selected="0">
            <x v="213"/>
          </reference>
          <reference field="2" count="1">
            <x v="25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217"/>
          </reference>
          <reference field="1" count="1" selected="0">
            <x v="214"/>
          </reference>
          <reference field="2" count="1">
            <x v="7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217"/>
          </reference>
          <reference field="1" count="1" selected="0">
            <x v="215"/>
          </reference>
          <reference field="2" count="1">
            <x v="8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218"/>
          </reference>
          <reference field="1" count="1" selected="0">
            <x v="211"/>
          </reference>
          <reference field="2" count="1">
            <x v="48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219"/>
          </reference>
          <reference field="1" count="1" selected="0">
            <x v="216"/>
          </reference>
          <reference field="2" count="1">
            <x v="34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220"/>
          </reference>
          <reference field="1" count="1" selected="0">
            <x v="217"/>
          </reference>
          <reference field="2" count="1">
            <x v="35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221"/>
          </reference>
          <reference field="1" count="1" selected="0">
            <x v="220"/>
          </reference>
          <reference field="2" count="1">
            <x v="41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222"/>
          </reference>
          <reference field="1" count="1" selected="0">
            <x v="218"/>
          </reference>
          <reference field="2" count="1">
            <x v="38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223"/>
          </reference>
          <reference field="1" count="1" selected="0">
            <x v="393"/>
          </reference>
          <reference field="2" count="1">
            <x v="239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224"/>
          </reference>
          <reference field="1" count="1" selected="0">
            <x v="284"/>
          </reference>
          <reference field="2" count="1">
            <x v="59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225"/>
          </reference>
          <reference field="1" count="1" selected="0">
            <x v="394"/>
          </reference>
          <reference field="2" count="1">
            <x v="238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226"/>
          </reference>
          <reference field="1" count="1" selected="0">
            <x v="285"/>
          </reference>
          <reference field="2" count="1">
            <x v="62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227"/>
          </reference>
          <reference field="1" count="1" selected="0">
            <x v="286"/>
          </reference>
          <reference field="2" count="1">
            <x v="173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228"/>
          </reference>
          <reference field="1" count="1" selected="0">
            <x v="395"/>
          </reference>
          <reference field="2" count="1">
            <x v="241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229"/>
          </reference>
          <reference field="1" count="1" selected="0">
            <x v="287"/>
          </reference>
          <reference field="2" count="1">
            <x v="192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230"/>
          </reference>
          <reference field="1" count="1" selected="0">
            <x v="230"/>
          </reference>
          <reference field="2" count="1">
            <x v="19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231"/>
          </reference>
          <reference field="1" count="1" selected="0">
            <x v="219"/>
          </reference>
          <reference field="2" count="1">
            <x v="21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232"/>
          </reference>
          <reference field="1" count="1" selected="0">
            <x v="396"/>
          </reference>
          <reference field="2" count="1">
            <x v="225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233"/>
          </reference>
          <reference field="1" count="1" selected="0">
            <x v="288"/>
          </reference>
          <reference field="2" count="1">
            <x v="200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234"/>
          </reference>
          <reference field="1" count="1" selected="0">
            <x v="289"/>
          </reference>
          <reference field="2" count="1">
            <x v="195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235"/>
          </reference>
          <reference field="1" count="1" selected="0">
            <x v="397"/>
          </reference>
          <reference field="2" count="1">
            <x v="231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236"/>
          </reference>
          <reference field="1" count="1" selected="0">
            <x v="520"/>
          </reference>
          <reference field="2" count="1">
            <x v="9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237"/>
          </reference>
          <reference field="1" count="1" selected="0">
            <x v="531"/>
          </reference>
          <reference field="2" count="1">
            <x v="9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238"/>
          </reference>
          <reference field="1" count="1" selected="0">
            <x v="532"/>
          </reference>
          <reference field="2" count="1">
            <x v="9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239"/>
          </reference>
          <reference field="1" count="1" selected="0">
            <x v="398"/>
          </reference>
          <reference field="2" count="1">
            <x v="244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240"/>
          </reference>
          <reference field="1" count="1" selected="0">
            <x v="398"/>
          </reference>
          <reference field="2" count="1">
            <x v="246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241"/>
          </reference>
          <reference field="1" count="1" selected="0">
            <x v="362"/>
          </reference>
          <reference field="2" count="1">
            <x v="121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242"/>
          </reference>
          <reference field="1" count="1" selected="0">
            <x v="290"/>
          </reference>
          <reference field="2" count="1">
            <x v="160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243"/>
          </reference>
          <reference field="1" count="1" selected="0">
            <x v="292"/>
          </reference>
          <reference field="2" count="1">
            <x v="87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244"/>
          </reference>
          <reference field="1" count="1" selected="0">
            <x v="399"/>
          </reference>
          <reference field="2" count="1">
            <x v="228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245"/>
          </reference>
          <reference field="1" count="1" selected="0">
            <x v="291"/>
          </reference>
          <reference field="2" count="1">
            <x v="192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246"/>
          </reference>
          <reference field="1" count="1" selected="0">
            <x v="293"/>
          </reference>
          <reference field="2" count="1">
            <x v="87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247"/>
          </reference>
          <reference field="1" count="1" selected="0">
            <x v="294"/>
          </reference>
          <reference field="2" count="1">
            <x v="202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248"/>
          </reference>
          <reference field="1" count="1" selected="0">
            <x v="400"/>
          </reference>
          <reference field="2" count="1">
            <x v="249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249"/>
          </reference>
          <reference field="1" count="1" selected="0">
            <x v="295"/>
          </reference>
          <reference field="2" count="1">
            <x v="178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250"/>
          </reference>
          <reference field="1" count="1" selected="0">
            <x v="296"/>
          </reference>
          <reference field="2" count="1">
            <x v="87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251"/>
          </reference>
          <reference field="1" count="1" selected="0">
            <x v="297"/>
          </reference>
          <reference field="2" count="1">
            <x v="201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252"/>
          </reference>
          <reference field="1" count="1" selected="0">
            <x v="403"/>
          </reference>
          <reference field="2" count="1">
            <x v="235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253"/>
          </reference>
          <reference field="1" count="1" selected="0">
            <x v="299"/>
          </reference>
          <reference field="2" count="1">
            <x v="206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254"/>
          </reference>
          <reference field="1" count="1" selected="0">
            <x v="402"/>
          </reference>
          <reference field="2" count="1">
            <x v="243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255"/>
          </reference>
          <reference field="1" count="1" selected="0">
            <x v="300"/>
          </reference>
          <reference field="2" count="1">
            <x v="63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256"/>
          </reference>
          <reference field="1" count="1" selected="0">
            <x v="401"/>
          </reference>
          <reference field="2" count="1">
            <x v="222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257"/>
          </reference>
          <reference field="1" count="1" selected="0">
            <x v="401"/>
          </reference>
          <reference field="2" count="1">
            <x v="240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258"/>
          </reference>
          <reference field="1" count="1" selected="0">
            <x v="298"/>
          </reference>
          <reference field="2" count="1">
            <x v="202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259"/>
          </reference>
          <reference field="1" count="1" selected="0">
            <x v="302"/>
          </reference>
          <reference field="2" count="1">
            <x v="196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260"/>
          </reference>
          <reference field="1" count="1" selected="0">
            <x v="404"/>
          </reference>
          <reference field="2" count="1">
            <x v="235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261"/>
          </reference>
          <reference field="1" count="1" selected="0">
            <x v="303"/>
          </reference>
          <reference field="2" count="1">
            <x v="190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262"/>
          </reference>
          <reference field="1" count="1" selected="0">
            <x v="304"/>
          </reference>
          <reference field="2" count="1">
            <x v="173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263"/>
          </reference>
          <reference field="1" count="1" selected="0">
            <x v="301"/>
          </reference>
          <reference field="2" count="1">
            <x v="58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264"/>
          </reference>
          <reference field="1" count="1" selected="0">
            <x v="405"/>
          </reference>
          <reference field="2" count="1">
            <x v="240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265"/>
          </reference>
          <reference field="1" count="1" selected="0">
            <x v="408"/>
          </reference>
          <reference field="2" count="1">
            <x v="245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266"/>
          </reference>
          <reference field="1" count="1" selected="0">
            <x v="406"/>
          </reference>
          <reference field="2" count="1">
            <x v="237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267"/>
          </reference>
          <reference field="1" count="1" selected="0">
            <x v="407"/>
          </reference>
          <reference field="2" count="1">
            <x v="234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268"/>
          </reference>
          <reference field="1" count="1" selected="0">
            <x v="305"/>
          </reference>
          <reference field="2" count="1">
            <x v="194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269"/>
          </reference>
          <reference field="1" count="1" selected="0">
            <x v="306"/>
          </reference>
          <reference field="2" count="1">
            <x v="83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270"/>
          </reference>
          <reference field="1" count="1" selected="0">
            <x v="307"/>
          </reference>
          <reference field="2" count="1">
            <x v="199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271"/>
          </reference>
          <reference field="1" count="1" selected="0">
            <x v="267"/>
          </reference>
          <reference field="2" count="1">
            <x v="170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272"/>
          </reference>
          <reference field="1" count="1" selected="0">
            <x v="533"/>
          </reference>
          <reference field="2" count="1">
            <x v="16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273"/>
          </reference>
          <reference field="1" count="1" selected="0">
            <x v="534"/>
          </reference>
          <reference field="2" count="1">
            <x v="16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274"/>
          </reference>
          <reference field="1" count="1" selected="0">
            <x v="308"/>
          </reference>
          <reference field="2" count="1">
            <x v="106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275"/>
          </reference>
          <reference field="1" count="1" selected="0">
            <x v="522"/>
          </reference>
          <reference field="2" count="2">
            <x v="12"/>
            <x v="169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276"/>
          </reference>
          <reference field="1" count="1" selected="0">
            <x v="541"/>
          </reference>
          <reference field="2" count="1">
            <x v="249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277"/>
          </reference>
          <reference field="1" count="1" selected="0">
            <x v="409"/>
          </reference>
          <reference field="2" count="1">
            <x v="236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278"/>
          </reference>
          <reference field="1" count="1" selected="0">
            <x v="410"/>
          </reference>
          <reference field="2" count="1">
            <x v="218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279"/>
          </reference>
          <reference field="1" count="1" selected="0">
            <x v="309"/>
          </reference>
          <reference field="2" count="1">
            <x v="197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280"/>
          </reference>
          <reference field="1" count="1" selected="0">
            <x v="411"/>
          </reference>
          <reference field="2" count="1">
            <x v="232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281"/>
          </reference>
          <reference field="1" count="1" selected="0">
            <x v="310"/>
          </reference>
          <reference field="2" count="1">
            <x v="196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282"/>
          </reference>
          <reference field="1" count="1" selected="0">
            <x v="363"/>
          </reference>
          <reference field="2" count="1">
            <x v="87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283"/>
          </reference>
          <reference field="1" count="1" selected="0">
            <x v="413"/>
          </reference>
          <reference field="2" count="1">
            <x v="242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284"/>
          </reference>
          <reference field="1" count="1" selected="0">
            <x v="312"/>
          </reference>
          <reference field="2" count="1">
            <x v="206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285"/>
          </reference>
          <reference field="1" count="1" selected="0">
            <x v="312"/>
          </reference>
          <reference field="2" count="1">
            <x v="58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286"/>
          </reference>
          <reference field="1" count="1" selected="0">
            <x v="412"/>
          </reference>
          <reference field="2" count="1">
            <x v="233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287"/>
          </reference>
          <reference field="1" count="1" selected="0">
            <x v="313"/>
          </reference>
          <reference field="2" count="1">
            <x v="201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288"/>
          </reference>
          <reference field="1" count="1" selected="0">
            <x v="311"/>
          </reference>
          <reference field="2" count="1">
            <x v="55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289"/>
          </reference>
          <reference field="1" count="1" selected="0">
            <x v="314"/>
          </reference>
          <reference field="2" count="1">
            <x v="190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290"/>
          </reference>
          <reference field="1" count="1" selected="0">
            <x v="414"/>
          </reference>
          <reference field="2" count="1">
            <x v="246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291"/>
          </reference>
          <reference field="1" count="1" selected="0">
            <x v="315"/>
          </reference>
          <reference field="2" count="1">
            <x v="64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292"/>
          </reference>
          <reference field="1" count="1" selected="0">
            <x v="316"/>
          </reference>
          <reference field="2" count="1">
            <x v="55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293"/>
          </reference>
          <reference field="1" count="1" selected="0">
            <x v="146"/>
          </reference>
          <reference field="2" count="1">
            <x v="230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294"/>
          </reference>
          <reference field="1" count="1" selected="0">
            <x v="77"/>
          </reference>
          <reference field="2" count="1">
            <x v="144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295"/>
          </reference>
          <reference field="1" count="1" selected="0">
            <x v="147"/>
          </reference>
          <reference field="2" count="1">
            <x v="214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296"/>
          </reference>
          <reference field="1" count="1" selected="0">
            <x v="317"/>
          </reference>
          <reference field="2" count="1">
            <x v="83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297"/>
          </reference>
          <reference field="1" count="1" selected="0">
            <x v="415"/>
          </reference>
          <reference field="2" count="1">
            <x v="246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298"/>
          </reference>
          <reference field="1" count="1" selected="0">
            <x v="319"/>
          </reference>
          <reference field="2" count="1">
            <x v="199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299"/>
          </reference>
          <reference field="1" count="1" selected="0">
            <x v="417"/>
          </reference>
          <reference field="2" count="1">
            <x v="80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300"/>
          </reference>
          <reference field="1" count="1" selected="0">
            <x v="416"/>
          </reference>
          <reference field="2" count="1">
            <x v="79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301"/>
          </reference>
          <reference field="1" count="1" selected="0">
            <x v="318"/>
          </reference>
          <reference field="2" count="1">
            <x v="69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302"/>
          </reference>
          <reference field="1" count="1" selected="0">
            <x v="321"/>
          </reference>
          <reference field="2" count="1">
            <x v="64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303"/>
          </reference>
          <reference field="1" count="1" selected="0">
            <x v="320"/>
          </reference>
          <reference field="2" count="2">
            <x v="67"/>
            <x v="204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304"/>
          </reference>
          <reference field="1" count="1" selected="0">
            <x v="322"/>
          </reference>
          <reference field="2" count="1">
            <x v="202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305"/>
          </reference>
          <reference field="1" count="1" selected="0">
            <x v="323"/>
          </reference>
          <reference field="2" count="1">
            <x v="247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306"/>
          </reference>
          <reference field="1" count="1" selected="0">
            <x v="366"/>
          </reference>
          <reference field="2" count="1">
            <x v="56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307"/>
          </reference>
          <reference field="1" count="1" selected="0">
            <x v="78"/>
          </reference>
          <reference field="2" count="1">
            <x v="124"/>
          </reference>
        </references>
      </pivotArea>
    </format>
    <format dxfId="288">
      <pivotArea dataOnly="0" labelOnly="1" outline="0" fieldPosition="0">
        <references count="3">
          <reference field="0" count="1" selected="0">
            <x v="308"/>
          </reference>
          <reference field="1" count="1" selected="0">
            <x v="148"/>
          </reference>
          <reference field="2" count="1">
            <x v="209"/>
          </reference>
        </references>
      </pivotArea>
    </format>
    <format dxfId="287">
      <pivotArea dataOnly="0" labelOnly="1" outline="0" fieldPosition="0">
        <references count="3">
          <reference field="0" count="1" selected="0">
            <x v="309"/>
          </reference>
          <reference field="1" count="1" selected="0">
            <x v="79"/>
          </reference>
          <reference field="2" count="2">
            <x v="140"/>
            <x v="143"/>
          </reference>
        </references>
      </pivotArea>
    </format>
    <format dxfId="286">
      <pivotArea dataOnly="0" labelOnly="1" outline="0" fieldPosition="0">
        <references count="3">
          <reference field="0" count="1" selected="0">
            <x v="310"/>
          </reference>
          <reference field="1" count="1" selected="0">
            <x v="80"/>
          </reference>
          <reference field="2" count="1">
            <x v="148"/>
          </reference>
        </references>
      </pivotArea>
    </format>
    <format dxfId="285">
      <pivotArea dataOnly="0" labelOnly="1" outline="0" fieldPosition="0">
        <references count="3">
          <reference field="0" count="1" selected="0">
            <x v="311"/>
          </reference>
          <reference field="1" count="1" selected="0">
            <x v="81"/>
          </reference>
          <reference field="2" count="1">
            <x v="148"/>
          </reference>
        </references>
      </pivotArea>
    </format>
    <format dxfId="284">
      <pivotArea dataOnly="0" labelOnly="1" outline="0" fieldPosition="0">
        <references count="3">
          <reference field="0" count="1" selected="0">
            <x v="312"/>
          </reference>
          <reference field="1" count="1" selected="0">
            <x v="149"/>
          </reference>
          <reference field="2" count="1">
            <x v="216"/>
          </reference>
        </references>
      </pivotArea>
    </format>
    <format dxfId="283">
      <pivotArea dataOnly="0" labelOnly="1" outline="0" fieldPosition="0">
        <references count="3">
          <reference field="0" count="1" selected="0">
            <x v="313"/>
          </reference>
          <reference field="1" count="1" selected="0">
            <x v="82"/>
          </reference>
          <reference field="2" count="1">
            <x v="131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314"/>
          </reference>
          <reference field="1" count="1" selected="0">
            <x v="83"/>
          </reference>
          <reference field="2" count="1">
            <x v="166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315"/>
          </reference>
          <reference field="1" count="1" selected="0">
            <x v="150"/>
          </reference>
          <reference field="2" count="1">
            <x v="227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316"/>
          </reference>
          <reference field="1" count="1" selected="0">
            <x v="523"/>
          </reference>
          <reference field="2" count="1">
            <x v="14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317"/>
          </reference>
          <reference field="1" count="1" selected="0">
            <x v="3"/>
          </reference>
          <reference field="2" count="1">
            <x v="249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318"/>
          </reference>
          <reference field="1" count="1" selected="0">
            <x v="324"/>
          </reference>
          <reference field="2" count="1">
            <x v="66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319"/>
          </reference>
          <reference field="1" count="1" selected="0">
            <x v="327"/>
          </reference>
          <reference field="2" count="1">
            <x v="199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320"/>
          </reference>
          <reference field="1" count="1" selected="0">
            <x v="325"/>
          </reference>
          <reference field="2" count="1">
            <x v="93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321"/>
          </reference>
          <reference field="1" count="1" selected="0">
            <x v="326"/>
          </reference>
          <reference field="2" count="1">
            <x v="72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322"/>
          </reference>
          <reference field="1" count="1" selected="0">
            <x v="328"/>
          </reference>
          <reference field="2" count="1">
            <x v="93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323"/>
          </reference>
          <reference field="1" count="1" selected="0">
            <x v="418"/>
          </reference>
          <reference field="2" count="1">
            <x v="236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324"/>
          </reference>
          <reference field="1" count="1" selected="0">
            <x v="84"/>
          </reference>
          <reference field="2" count="1">
            <x v="151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325"/>
          </reference>
          <reference field="1" count="1" selected="0">
            <x v="84"/>
          </reference>
          <reference field="2" count="1">
            <x v="165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326"/>
          </reference>
          <reference field="1" count="1" selected="0">
            <x v="151"/>
          </reference>
          <reference field="2" count="1">
            <x v="211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327"/>
          </reference>
          <reference field="1" count="1" selected="0">
            <x v="85"/>
          </reference>
          <reference field="2" count="1">
            <x v="134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328"/>
          </reference>
          <reference field="1" count="1" selected="0">
            <x v="85"/>
          </reference>
          <reference field="2" count="1">
            <x v="145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329"/>
          </reference>
          <reference field="1" count="1" selected="0">
            <x v="152"/>
          </reference>
          <reference field="2" count="1">
            <x v="217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330"/>
          </reference>
          <reference field="1" count="1" selected="0">
            <x v="86"/>
          </reference>
          <reference field="2" count="1">
            <x v="123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331"/>
          </reference>
          <reference field="1" count="1" selected="0">
            <x v="86"/>
          </reference>
          <reference field="2" count="1">
            <x v="86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332"/>
          </reference>
          <reference field="1" count="1" selected="0">
            <x v="87"/>
          </reference>
          <reference field="2" count="1">
            <x v="137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333"/>
          </reference>
          <reference field="1" count="1" selected="0">
            <x v="88"/>
          </reference>
          <reference field="2" count="1">
            <x v="144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334"/>
          </reference>
          <reference field="1" count="1" selected="0">
            <x v="88"/>
          </reference>
          <reference field="2" count="1">
            <x v="145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335"/>
          </reference>
          <reference field="1" count="1" selected="0">
            <x v="89"/>
          </reference>
          <reference field="2" count="1">
            <x v="150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336"/>
          </reference>
          <reference field="1" count="1" selected="0">
            <x v="153"/>
          </reference>
          <reference field="2" count="1">
            <x v="213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337"/>
          </reference>
          <reference field="1" count="1" selected="0">
            <x v="90"/>
          </reference>
          <reference field="2" count="1">
            <x v="157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338"/>
          </reference>
          <reference field="1" count="1" selected="0">
            <x v="90"/>
          </reference>
          <reference field="2" count="1">
            <x v="145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339"/>
          </reference>
          <reference field="1" count="1" selected="0">
            <x v="154"/>
          </reference>
          <reference field="2" count="1">
            <x v="217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340"/>
          </reference>
          <reference field="1" count="1" selected="0">
            <x v="91"/>
          </reference>
          <reference field="2" count="1">
            <x v="164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341"/>
          </reference>
          <reference field="1" count="1" selected="0">
            <x v="92"/>
          </reference>
          <reference field="2" count="1">
            <x v="132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342"/>
          </reference>
          <reference field="1" count="1" selected="0">
            <x v="93"/>
          </reference>
          <reference field="2" count="1">
            <x v="131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343"/>
          </reference>
          <reference field="1" count="1" selected="0">
            <x v="94"/>
          </reference>
          <reference field="2" count="1">
            <x v="204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344"/>
          </reference>
          <reference field="1" count="1" selected="0">
            <x v="95"/>
          </reference>
          <reference field="2" count="1">
            <x v="68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345"/>
          </reference>
          <reference field="1" count="1" selected="0">
            <x v="96"/>
          </reference>
          <reference field="2" count="1">
            <x v="64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346"/>
          </reference>
          <reference field="1" count="1" selected="0">
            <x v="97"/>
          </reference>
          <reference field="2" count="1">
            <x v="150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347"/>
          </reference>
          <reference field="1" count="1" selected="0">
            <x v="98"/>
          </reference>
          <reference field="2" count="1">
            <x v="167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348"/>
          </reference>
          <reference field="1" count="1" selected="0">
            <x v="99"/>
          </reference>
          <reference field="2" count="1">
            <x v="157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349"/>
          </reference>
          <reference field="1" count="1" selected="0">
            <x v="100"/>
          </reference>
          <reference field="2" count="1">
            <x v="74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350"/>
          </reference>
          <reference field="1" count="1" selected="0">
            <x v="155"/>
          </reference>
          <reference field="2" count="1">
            <x v="214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351"/>
          </reference>
          <reference field="1" count="1" selected="0">
            <x v="524"/>
          </reference>
          <reference field="2" count="1">
            <x v="14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352"/>
          </reference>
          <reference field="1" count="1" selected="0">
            <x v="221"/>
          </reference>
          <reference field="2" count="1">
            <x v="30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353"/>
          </reference>
          <reference field="1" count="1" selected="0">
            <x v="222"/>
          </reference>
          <reference field="2" count="1">
            <x v="17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354"/>
          </reference>
          <reference field="1" count="1" selected="0">
            <x v="235"/>
          </reference>
          <reference field="2" count="1">
            <x v="121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355"/>
          </reference>
          <reference field="1" count="1" selected="0">
            <x v="329"/>
          </reference>
          <reference field="2" count="1">
            <x v="249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356"/>
          </reference>
          <reference field="1" count="1" selected="0">
            <x v="332"/>
          </reference>
          <reference field="2" count="1">
            <x v="55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357"/>
          </reference>
          <reference field="1" count="1" selected="0">
            <x v="333"/>
          </reference>
          <reference field="2" count="1">
            <x v="198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358"/>
          </reference>
          <reference field="1" count="1" selected="0">
            <x v="330"/>
          </reference>
          <reference field="2" count="1">
            <x v="205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359"/>
          </reference>
          <reference field="1" count="1" selected="0">
            <x v="331"/>
          </reference>
          <reference field="2" count="1">
            <x v="61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360"/>
          </reference>
          <reference field="1" count="1" selected="0">
            <x v="419"/>
          </reference>
          <reference field="2" count="1">
            <x v="229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361"/>
          </reference>
          <reference field="1" count="1" selected="0">
            <x v="334"/>
          </reference>
          <reference field="2" count="1">
            <x v="191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362"/>
          </reference>
          <reference field="1" count="1" selected="0">
            <x v="334"/>
          </reference>
          <reference field="2" count="1">
            <x v="174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363"/>
          </reference>
          <reference field="1" count="1" selected="0">
            <x v="334"/>
          </reference>
          <reference field="2" count="1">
            <x v="195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364"/>
          </reference>
          <reference field="1" count="1" selected="0">
            <x v="336"/>
          </reference>
          <reference field="2" count="1">
            <x v="55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365"/>
          </reference>
          <reference field="1" count="1" selected="0">
            <x v="337"/>
          </reference>
          <reference field="2" count="1">
            <x v="87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366"/>
          </reference>
          <reference field="1" count="1" selected="0">
            <x v="339"/>
          </reference>
          <reference field="2" count="1">
            <x v="201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367"/>
          </reference>
          <reference field="1" count="1" selected="0">
            <x v="338"/>
          </reference>
          <reference field="2" count="1">
            <x v="249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368"/>
          </reference>
          <reference field="1" count="1" selected="0">
            <x v="340"/>
          </reference>
          <reference field="2" count="1">
            <x v="87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369"/>
          </reference>
          <reference field="1" count="1" selected="0">
            <x v="341"/>
          </reference>
          <reference field="2" count="1">
            <x v="249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370"/>
          </reference>
          <reference field="1" count="1" selected="0">
            <x v="367"/>
          </reference>
          <reference field="2" count="1">
            <x v="99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372"/>
          </reference>
          <reference field="1" count="1" selected="0">
            <x v="223"/>
          </reference>
          <reference field="2" count="1">
            <x v="30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373"/>
          </reference>
          <reference field="1" count="1" selected="0">
            <x v="223"/>
          </reference>
          <reference field="2" count="1">
            <x v="22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374"/>
          </reference>
          <reference field="1" count="1" selected="0">
            <x v="228"/>
          </reference>
          <reference field="2" count="1">
            <x v="27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375"/>
          </reference>
          <reference field="1" count="1" selected="0">
            <x v="368"/>
          </reference>
          <reference field="2" count="1">
            <x v="87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376"/>
          </reference>
          <reference field="1" count="1" selected="0">
            <x v="241"/>
          </reference>
          <reference field="2" count="1">
            <x v="114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377"/>
          </reference>
          <reference field="1" count="1" selected="0">
            <x v="101"/>
          </reference>
          <reference field="2" count="1">
            <x v="20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378"/>
          </reference>
          <reference field="1" count="1" selected="0">
            <x v="503"/>
          </reference>
          <reference field="2" count="1">
            <x v="136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379"/>
          </reference>
          <reference field="1" count="1" selected="0">
            <x v="503"/>
          </reference>
          <reference field="2" count="1">
            <x v="136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380"/>
          </reference>
          <reference field="1" count="1" selected="0">
            <x v="101"/>
          </reference>
          <reference field="2" count="1">
            <x v="68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381"/>
          </reference>
          <reference field="1" count="1" selected="0">
            <x v="101"/>
          </reference>
          <reference field="2" count="1">
            <x v="157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382"/>
          </reference>
          <reference field="1" count="1" selected="0">
            <x v="489"/>
          </reference>
          <reference field="2" count="1">
            <x v="111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383"/>
          </reference>
          <reference field="1" count="1" selected="0">
            <x v="502"/>
          </reference>
          <reference field="2" count="1">
            <x v="108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384"/>
          </reference>
          <reference field="1" count="1" selected="0">
            <x v="102"/>
          </reference>
          <reference field="2" count="2">
            <x v="66"/>
            <x v="129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385"/>
          </reference>
          <reference field="1" count="1" selected="0">
            <x v="103"/>
          </reference>
          <reference field="2" count="1">
            <x v="129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386"/>
          </reference>
          <reference field="1" count="1" selected="0">
            <x v="426"/>
          </reference>
          <reference field="2" count="1">
            <x v="188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387"/>
          </reference>
          <reference field="1" count="1" selected="0">
            <x v="156"/>
          </reference>
          <reference field="2" count="1">
            <x v="232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388"/>
          </reference>
          <reference field="1" count="1" selected="0">
            <x v="104"/>
          </reference>
          <reference field="2" count="1">
            <x v="158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389"/>
          </reference>
          <reference field="1" count="1" selected="0">
            <x v="105"/>
          </reference>
          <reference field="2" count="1">
            <x v="130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390"/>
          </reference>
          <reference field="1" count="1" selected="0">
            <x v="157"/>
          </reference>
          <reference field="2" count="1">
            <x v="219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391"/>
          </reference>
          <reference field="1" count="1" selected="0">
            <x v="106"/>
          </reference>
          <reference field="2" count="1">
            <x v="150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392"/>
          </reference>
          <reference field="1" count="1" selected="0">
            <x v="106"/>
          </reference>
          <reference field="2" count="1">
            <x v="155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393"/>
          </reference>
          <reference field="1" count="1" selected="0">
            <x v="107"/>
          </reference>
          <reference field="2" count="1">
            <x v="142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394"/>
          </reference>
          <reference field="1" count="1" selected="0">
            <x v="158"/>
          </reference>
          <reference field="2" count="1">
            <x v="212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395"/>
          </reference>
          <reference field="1" count="1" selected="0">
            <x v="159"/>
          </reference>
          <reference field="2" count="1">
            <x v="208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396"/>
          </reference>
          <reference field="1" count="1" selected="0">
            <x v="108"/>
          </reference>
          <reference field="2" count="1">
            <x v="135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397"/>
          </reference>
          <reference field="1" count="1" selected="0">
            <x v="160"/>
          </reference>
          <reference field="2" count="1">
            <x v="212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398"/>
          </reference>
          <reference field="1" count="1" selected="0">
            <x v="126"/>
          </reference>
          <reference field="2" count="1">
            <x v="159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399"/>
          </reference>
          <reference field="1" count="1" selected="0">
            <x v="109"/>
          </reference>
          <reference field="2" count="1">
            <x v="101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400"/>
          </reference>
          <reference field="1" count="1" selected="0">
            <x v="109"/>
          </reference>
          <reference field="2" count="1">
            <x v="147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401"/>
          </reference>
          <reference field="1" count="1" selected="0">
            <x v="161"/>
          </reference>
          <reference field="2" count="2">
            <x v="93"/>
            <x v="214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402"/>
          </reference>
          <reference field="1" count="1" selected="0">
            <x v="110"/>
          </reference>
          <reference field="2" count="1">
            <x v="133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403"/>
          </reference>
          <reference field="1" count="1" selected="0">
            <x v="162"/>
          </reference>
          <reference field="2" count="1">
            <x v="228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404"/>
          </reference>
          <reference field="1" count="1" selected="0">
            <x v="111"/>
          </reference>
          <reference field="2" count="1">
            <x v="157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405"/>
          </reference>
          <reference field="1" count="1" selected="0">
            <x v="112"/>
          </reference>
          <reference field="2" count="1">
            <x v="63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406"/>
          </reference>
          <reference field="1" count="1" selected="0">
            <x v="113"/>
          </reference>
          <reference field="2" count="1">
            <x v="175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407"/>
          </reference>
          <reference field="1" count="1" selected="0">
            <x v="113"/>
          </reference>
          <reference field="2" count="1">
            <x v="194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408"/>
          </reference>
          <reference field="1" count="1" selected="0">
            <x v="113"/>
          </reference>
          <reference field="2" count="1">
            <x v="92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409"/>
          </reference>
          <reference field="1" count="1" selected="0">
            <x v="163"/>
          </reference>
          <reference field="2" count="1">
            <x v="212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410"/>
          </reference>
          <reference field="1" count="1" selected="0">
            <x v="114"/>
          </reference>
          <reference field="2" count="1">
            <x v="95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411"/>
          </reference>
          <reference field="1" count="1" selected="0">
            <x v="115"/>
          </reference>
          <reference field="2" count="1">
            <x v="101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412"/>
          </reference>
          <reference field="1" count="1" selected="0">
            <x v="164"/>
          </reference>
          <reference field="2" count="1">
            <x v="215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413"/>
          </reference>
          <reference field="1" count="1" selected="0">
            <x v="116"/>
          </reference>
          <reference field="2" count="1">
            <x v="125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414"/>
          </reference>
          <reference field="1" count="1" selected="0">
            <x v="116"/>
          </reference>
          <reference field="2" count="1">
            <x v="125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415"/>
          </reference>
          <reference field="1" count="1" selected="0">
            <x v="117"/>
          </reference>
          <reference field="2" count="1">
            <x v="160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416"/>
          </reference>
          <reference field="1" count="1" selected="0">
            <x v="165"/>
          </reference>
          <reference field="2" count="1">
            <x v="211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417"/>
          </reference>
          <reference field="1" count="1" selected="0">
            <x v="118"/>
          </reference>
          <reference field="2" count="1">
            <x v="67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418"/>
          </reference>
          <reference field="1" count="1" selected="0">
            <x v="119"/>
          </reference>
          <reference field="2" count="1">
            <x v="145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419"/>
          </reference>
          <reference field="1" count="1" selected="0">
            <x v="166"/>
          </reference>
          <reference field="2" count="1">
            <x v="222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420"/>
          </reference>
          <reference field="1" count="1" selected="0">
            <x v="541"/>
          </reference>
          <reference field="2" count="1">
            <x v="222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421"/>
          </reference>
          <reference field="1" count="1" selected="0">
            <x v="120"/>
          </reference>
          <reference field="2" count="1">
            <x v="156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422"/>
          </reference>
          <reference field="1" count="1" selected="0">
            <x v="121"/>
          </reference>
          <reference field="2" count="1">
            <x v="249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423"/>
          </reference>
          <reference field="1" count="1" selected="0">
            <x v="122"/>
          </reference>
          <reference field="2" count="1">
            <x v="75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424"/>
          </reference>
          <reference field="1" count="1" selected="0">
            <x v="123"/>
          </reference>
          <reference field="2" count="1">
            <x v="156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425"/>
          </reference>
          <reference field="1" count="1" selected="0">
            <x v="124"/>
          </reference>
          <reference field="2" count="1">
            <x v="66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426"/>
          </reference>
          <reference field="1" count="1" selected="0">
            <x v="125"/>
          </reference>
          <reference field="2" count="1">
            <x v="145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427"/>
          </reference>
          <reference field="1" count="1" selected="0">
            <x v="342"/>
          </reference>
          <reference field="2" count="1">
            <x v="78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428"/>
          </reference>
          <reference field="1" count="1" selected="0">
            <x v="343"/>
          </reference>
          <reference field="2" count="1">
            <x v="78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429"/>
          </reference>
          <reference field="1" count="1" selected="0">
            <x v="344"/>
          </reference>
          <reference field="2" count="1">
            <x v="88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430"/>
          </reference>
          <reference field="1" count="1" selected="0">
            <x v="346"/>
          </reference>
          <reference field="2" count="1">
            <x v="173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431"/>
          </reference>
          <reference field="1" count="1" selected="0">
            <x v="345"/>
          </reference>
          <reference field="2" count="1">
            <x v="198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432"/>
          </reference>
          <reference field="1" count="1" selected="0">
            <x v="249"/>
          </reference>
          <reference field="2" count="1">
            <x v="223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433"/>
          </reference>
          <reference field="1" count="1" selected="0">
            <x v="370"/>
          </reference>
          <reference field="2" count="1">
            <x v="196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434"/>
          </reference>
          <reference field="1" count="1" selected="0">
            <x v="347"/>
          </reference>
          <reference field="2" count="1">
            <x v="203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435"/>
          </reference>
          <reference field="1" count="1" selected="0">
            <x v="348"/>
          </reference>
          <reference field="2" count="1">
            <x v="198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436"/>
          </reference>
          <reference field="1" count="1" selected="0">
            <x v="369"/>
          </reference>
          <reference field="2" count="1">
            <x v="60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437"/>
          </reference>
          <reference field="1" count="1" selected="0">
            <x v="420"/>
          </reference>
          <reference field="2" count="1">
            <x v="224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438"/>
          </reference>
          <reference field="1" count="1" selected="0">
            <x v="349"/>
          </reference>
          <reference field="2" count="2">
            <x v="54"/>
            <x v="175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439"/>
          </reference>
          <reference field="1" count="1" selected="0">
            <x v="421"/>
          </reference>
          <reference field="2" count="1">
            <x v="233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440"/>
          </reference>
          <reference field="1" count="1" selected="0">
            <x v="350"/>
          </reference>
          <reference field="2" count="1">
            <x v="88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441"/>
          </reference>
          <reference field="1" count="1" selected="0">
            <x v="351"/>
          </reference>
          <reference field="2" count="1">
            <x v="249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442"/>
          </reference>
          <reference field="1" count="1" selected="0">
            <x v="224"/>
          </reference>
          <reference field="2" count="1">
            <x v="31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443"/>
          </reference>
          <reference field="1" count="1" selected="0">
            <x v="225"/>
          </reference>
          <reference field="2" count="2">
            <x v="29"/>
            <x v="36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444"/>
          </reference>
          <reference field="1" count="1" selected="0">
            <x v="229"/>
          </reference>
          <reference field="2" count="1">
            <x v="30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445"/>
          </reference>
          <reference field="1" count="1" selected="0">
            <x v="0"/>
          </reference>
          <reference field="2" count="1">
            <x v="89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446"/>
          </reference>
          <reference field="1" count="1" selected="0">
            <x v="11"/>
          </reference>
          <reference field="2" count="1">
            <x v="248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447"/>
          </reference>
          <reference field="1" count="1" selected="0">
            <x v="5"/>
          </reference>
          <reference field="2" count="1">
            <x v="102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448"/>
          </reference>
          <reference field="1" count="1" selected="0">
            <x v="9"/>
          </reference>
          <reference field="2" count="1">
            <x v="103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449"/>
          </reference>
          <reference field="1" count="1" selected="0">
            <x v="129"/>
          </reference>
          <reference field="2" count="1">
            <x v="187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450"/>
          </reference>
          <reference field="1" count="1" selected="0">
            <x v="130"/>
          </reference>
          <reference field="2" count="1">
            <x v="179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451"/>
          </reference>
          <reference field="1" count="1" selected="0">
            <x v="233"/>
          </reference>
          <reference field="2" count="1">
            <x v="77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452"/>
          </reference>
          <reference field="1" count="1" selected="0">
            <x v="234"/>
          </reference>
          <reference field="2" count="1">
            <x v="8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453"/>
          </reference>
          <reference field="1" count="1" selected="0">
            <x v="254"/>
          </reference>
          <reference field="2" count="1">
            <x v="52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454"/>
          </reference>
          <reference field="1" count="1" selected="0">
            <x v="255"/>
          </reference>
          <reference field="2" count="1">
            <x v="52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455"/>
          </reference>
          <reference field="1" count="1" selected="0">
            <x v="264"/>
          </reference>
          <reference field="2" count="1">
            <x v="96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456"/>
          </reference>
          <reference field="1" count="1" selected="0">
            <x v="237"/>
          </reference>
          <reference field="2" count="1">
            <x v="149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457"/>
          </reference>
          <reference field="1" count="1" selected="0">
            <x v="478"/>
          </reference>
          <reference field="2" count="1">
            <x v="188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458"/>
          </reference>
          <reference field="1" count="1" selected="0">
            <x v="469"/>
          </reference>
          <reference field="2" count="1">
            <x v="181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459"/>
          </reference>
          <reference field="1" count="1" selected="0">
            <x v="479"/>
          </reference>
          <reference field="2" count="1">
            <x v="177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460"/>
          </reference>
          <reference field="1" count="1" selected="0">
            <x v="237"/>
          </reference>
          <reference field="2" count="1">
            <x v="118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461"/>
          </reference>
          <reference field="1" count="1" selected="0">
            <x v="466"/>
          </reference>
          <reference field="2" count="1">
            <x v="126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462"/>
          </reference>
          <reference field="1" count="1" selected="0">
            <x v="427"/>
          </reference>
          <reference field="2" count="1">
            <x v="91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463"/>
          </reference>
          <reference field="1" count="1" selected="0">
            <x v="246"/>
          </reference>
          <reference field="2" count="1">
            <x v="226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464"/>
          </reference>
          <reference field="1" count="1" selected="0">
            <x v="506"/>
          </reference>
          <reference field="2" count="1">
            <x v="219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465"/>
          </reference>
          <reference field="1" count="1" selected="0">
            <x v="541"/>
          </reference>
          <reference field="2" count="1">
            <x v="107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466"/>
          </reference>
          <reference field="1" count="1" selected="0">
            <x v="492"/>
          </reference>
          <reference field="2" count="1">
            <x v="83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467"/>
          </reference>
          <reference field="1" count="1" selected="0">
            <x v="238"/>
          </reference>
          <reference field="2" count="1">
            <x v="149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468"/>
          </reference>
          <reference field="1" count="1" selected="0">
            <x v="470"/>
          </reference>
          <reference field="2" count="1">
            <x v="170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469"/>
          </reference>
          <reference field="1" count="1" selected="0">
            <x v="440"/>
          </reference>
          <reference field="2" count="1">
            <x v="118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470"/>
          </reference>
          <reference field="1" count="1" selected="0">
            <x v="480"/>
          </reference>
          <reference field="2" count="1">
            <x v="176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471"/>
          </reference>
          <reference field="1" count="1" selected="0">
            <x v="428"/>
          </reference>
          <reference field="2" count="1">
            <x v="90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472"/>
          </reference>
          <reference field="1" count="1" selected="0">
            <x v="485"/>
          </reference>
          <reference field="2" count="1">
            <x v="118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473"/>
          </reference>
          <reference field="1" count="1" selected="0">
            <x v="247"/>
          </reference>
          <reference field="2" count="1">
            <x v="221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474"/>
          </reference>
          <reference field="1" count="1" selected="0">
            <x v="507"/>
          </reference>
          <reference field="2" count="1">
            <x v="219"/>
          </reference>
        </references>
      </pivotArea>
    </format>
    <format dxfId="122">
      <pivotArea dataOnly="0" labelOnly="1" outline="0" fieldPosition="0">
        <references count="3">
          <reference field="0" count="1" selected="0">
            <x v="475"/>
          </reference>
          <reference field="1" count="1" selected="0">
            <x v="507"/>
          </reference>
          <reference field="2" count="1">
            <x v="222"/>
          </reference>
        </references>
      </pivotArea>
    </format>
    <format dxfId="121">
      <pivotArea dataOnly="0" labelOnly="1" outline="0" fieldPosition="0">
        <references count="3">
          <reference field="0" count="1" selected="0">
            <x v="476"/>
          </reference>
          <reference field="1" count="1" selected="0">
            <x v="428"/>
          </reference>
          <reference field="2" count="1">
            <x v="134"/>
          </reference>
        </references>
      </pivotArea>
    </format>
    <format dxfId="120">
      <pivotArea dataOnly="0" labelOnly="1" outline="0" fieldPosition="0">
        <references count="3">
          <reference field="0" count="1" selected="0">
            <x v="477"/>
          </reference>
          <reference field="1" count="1" selected="0">
            <x v="541"/>
          </reference>
          <reference field="2" count="1">
            <x v="183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478"/>
          </reference>
          <reference field="1" count="1" selected="0">
            <x v="481"/>
          </reference>
          <reference field="2" count="1">
            <x v="181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479"/>
          </reference>
          <reference field="1" count="1" selected="0">
            <x v="429"/>
          </reference>
          <reference field="2" count="1">
            <x v="127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480"/>
          </reference>
          <reference field="1" count="1" selected="0">
            <x v="239"/>
          </reference>
          <reference field="2" count="1">
            <x v="114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481"/>
          </reference>
          <reference field="1" count="1" selected="0">
            <x v="472"/>
          </reference>
          <reference field="2" count="1">
            <x v="182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482"/>
          </reference>
          <reference field="1" count="1" selected="0">
            <x v="471"/>
          </reference>
          <reference field="2" count="1">
            <x v="184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483"/>
          </reference>
          <reference field="1" count="1" selected="0">
            <x v="482"/>
          </reference>
          <reference field="2" count="1">
            <x v="18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484"/>
          </reference>
          <reference field="1" count="1" selected="0">
            <x v="430"/>
          </reference>
          <reference field="2" count="1">
            <x v="9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485"/>
          </reference>
          <reference field="1" count="1" selected="0">
            <x v="248"/>
          </reference>
          <reference field="2" count="1">
            <x v="23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486"/>
          </reference>
          <reference field="1" count="1" selected="0">
            <x v="423"/>
          </reference>
          <reference field="2" count="1">
            <x v="163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487"/>
          </reference>
          <reference field="1" count="1" selected="0">
            <x v="231"/>
          </reference>
          <reference field="2" count="1">
            <x v="165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488"/>
          </reference>
          <reference field="1" count="1" selected="0">
            <x v="537"/>
          </reference>
          <reference field="2" count="1">
            <x v="116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489"/>
          </reference>
          <reference field="1" count="1" selected="0">
            <x v="473"/>
          </reference>
          <reference field="2" count="1">
            <x v="162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490"/>
          </reference>
          <reference field="1" count="1" selected="0">
            <x v="474"/>
          </reference>
          <reference field="2" count="1">
            <x v="16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491"/>
          </reference>
          <reference field="1" count="1" selected="0">
            <x v="475"/>
          </reference>
          <reference field="2" count="1">
            <x v="16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492"/>
          </reference>
          <reference field="1" count="1" selected="0">
            <x v="538"/>
          </reference>
          <reference field="2" count="1">
            <x v="87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493"/>
          </reference>
          <reference field="1" count="1" selected="0">
            <x v="134"/>
          </reference>
          <reference field="2" count="1">
            <x v="176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494"/>
          </reference>
          <reference field="1" count="1" selected="0">
            <x v="476"/>
          </reference>
          <reference field="2" count="1">
            <x v="176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495"/>
          </reference>
          <reference field="1" count="1" selected="0">
            <x v="541"/>
          </reference>
          <reference field="2" count="1">
            <x v="117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496"/>
          </reference>
          <reference field="1" count="1" selected="0">
            <x v="476"/>
          </reference>
          <reference field="2" count="1">
            <x v="183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497"/>
          </reference>
          <reference field="1" count="1" selected="0">
            <x v="483"/>
          </reference>
          <reference field="2" count="1">
            <x v="170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498"/>
          </reference>
          <reference field="1" count="1" selected="0">
            <x v="476"/>
          </reference>
          <reference field="2" count="1">
            <x v="174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499"/>
          </reference>
          <reference field="1" count="1" selected="0">
            <x v="540"/>
          </reference>
          <reference field="2" count="1">
            <x v="117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500"/>
          </reference>
          <reference field="1" count="1" selected="0">
            <x v="477"/>
          </reference>
          <reference field="2" count="1">
            <x v="168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501"/>
          </reference>
          <reference field="1" count="1" selected="0">
            <x v="541"/>
          </reference>
          <reference field="2" count="1">
            <x v="185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502"/>
          </reference>
          <reference field="1" count="1" selected="0">
            <x v="539"/>
          </reference>
          <reference field="2" count="1">
            <x v="65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503"/>
          </reference>
          <reference field="1" count="1" selected="0">
            <x v="484"/>
          </reference>
          <reference field="2" count="1">
            <x v="167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504"/>
          </reference>
          <reference field="1" count="1" selected="0">
            <x v="232"/>
          </reference>
          <reference field="2" count="1">
            <x v="156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505"/>
          </reference>
          <reference field="1" count="1" selected="0">
            <x v="266"/>
          </reference>
          <reference field="2" count="1">
            <x v="10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506"/>
          </reference>
          <reference field="1" count="1" selected="0">
            <x v="467"/>
          </reference>
          <reference field="2" count="1">
            <x v="136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507"/>
          </reference>
          <reference field="1" count="1" selected="0">
            <x v="424"/>
          </reference>
          <reference field="2" count="1">
            <x v="174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508"/>
          </reference>
          <reference field="1" count="1" selected="0">
            <x v="373"/>
          </reference>
          <reference field="2" count="1">
            <x v="19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509"/>
          </reference>
          <reference field="1" count="1" selected="0">
            <x v="501"/>
          </reference>
          <reference field="2" count="1">
            <x v="161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510"/>
          </reference>
          <reference field="1" count="1" selected="0">
            <x v="235"/>
          </reference>
          <reference field="2" count="1">
            <x v="149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511"/>
          </reference>
          <reference field="1" count="1" selected="0">
            <x v="235"/>
          </reference>
          <reference field="2" count="1">
            <x v="120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512"/>
          </reference>
          <reference field="1" count="1" selected="0">
            <x v="242"/>
          </reference>
          <reference field="2" count="1">
            <x v="120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513"/>
          </reference>
          <reference field="1" count="1" selected="0">
            <x v="244"/>
          </reference>
          <reference field="2" count="1">
            <x v="221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514"/>
          </reference>
          <reference field="1" count="1" selected="0">
            <x v="504"/>
          </reference>
          <reference field="2" count="1">
            <x v="224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515"/>
          </reference>
          <reference field="1" count="1" selected="0">
            <x v="240"/>
          </reference>
          <reference field="2" count="1">
            <x v="120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516"/>
          </reference>
          <reference field="1" count="1" selected="0">
            <x v="236"/>
          </reference>
          <reference field="2" count="1">
            <x v="149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517"/>
          </reference>
          <reference field="1" count="1" selected="0">
            <x v="468"/>
          </reference>
          <reference field="2" count="1">
            <x v="136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518"/>
          </reference>
          <reference field="1" count="1" selected="0">
            <x v="425"/>
          </reference>
          <reference field="2" count="1">
            <x v="126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519"/>
          </reference>
          <reference field="1" count="1" selected="0">
            <x v="245"/>
          </reference>
          <reference field="2" count="1">
            <x v="224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520"/>
          </reference>
          <reference field="1" count="1" selected="0">
            <x v="505"/>
          </reference>
          <reference field="2" count="1">
            <x v="210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521"/>
          </reference>
          <reference field="1" count="1" selected="0">
            <x v="465"/>
          </reference>
          <reference field="2" count="1">
            <x v="90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522"/>
          </reference>
          <reference field="1" count="1" selected="0">
            <x v="422"/>
          </reference>
          <reference field="2" count="1">
            <x v="169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523"/>
          </reference>
          <reference field="1" count="1" selected="0">
            <x v="372"/>
          </reference>
          <reference field="2" count="1">
            <x v="177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524"/>
          </reference>
          <reference field="1" count="1" selected="0">
            <x v="268"/>
          </reference>
          <reference field="2" count="1">
            <x v="170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525"/>
          </reference>
          <reference field="1" count="1" selected="0">
            <x v="135"/>
          </reference>
          <reference field="2" count="1">
            <x v="16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526"/>
          </reference>
          <reference field="1" count="1" selected="0">
            <x v="441"/>
          </reference>
          <reference field="2" count="1">
            <x v="54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527"/>
          </reference>
          <reference field="1" count="1" selected="0">
            <x v="448"/>
          </reference>
          <reference field="2" count="1">
            <x v="52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528"/>
          </reference>
          <reference field="1" count="1" selected="0">
            <x v="541"/>
          </reference>
          <reference field="2" count="1">
            <x v="249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529"/>
          </reference>
          <reference field="1" count="1" selected="0">
            <x v="454"/>
          </reference>
          <reference field="2" count="1">
            <x v="73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530"/>
          </reference>
          <reference field="1" count="1" selected="0">
            <x v="456"/>
          </reference>
          <reference field="2" count="1">
            <x v="73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531"/>
          </reference>
          <reference field="1" count="1" selected="0">
            <x v="459"/>
          </reference>
          <reference field="2" count="1">
            <x v="73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532"/>
          </reference>
          <reference field="1" count="1" selected="0">
            <x v="461"/>
          </reference>
          <reference field="2" count="1">
            <x v="73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533"/>
          </reference>
          <reference field="1" count="1" selected="0">
            <x v="265"/>
          </reference>
          <reference field="2" count="1">
            <x v="102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534"/>
          </reference>
          <reference field="1" count="1" selected="0">
            <x v="490"/>
          </reference>
          <reference field="2" count="1">
            <x v="164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535"/>
          </reference>
          <reference field="1" count="1" selected="0">
            <x v="432"/>
          </reference>
          <reference field="2" count="1">
            <x v="100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535"/>
          </reference>
          <reference field="1" count="1" selected="0">
            <x v="433"/>
          </reference>
          <reference field="2" count="1">
            <x v="100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536"/>
          </reference>
          <reference field="1" count="1" selected="0">
            <x v="439"/>
          </reference>
          <reference field="2" count="1">
            <x v="76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537"/>
          </reference>
          <reference field="1" count="1" selected="0">
            <x v="257"/>
          </reference>
          <reference field="2" count="1">
            <x v="122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538"/>
          </reference>
          <reference field="1" count="1" selected="0">
            <x v="258"/>
          </reference>
          <reference field="2" count="1">
            <x v="87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539"/>
          </reference>
          <reference field="1" count="1" selected="0">
            <x v="541"/>
          </reference>
          <reference field="2" count="1">
            <x v="87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540"/>
          </reference>
          <reference field="1" count="1" selected="0">
            <x v="541"/>
          </reference>
          <reference field="2" count="1">
            <x v="11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541"/>
          </reference>
          <reference field="1" count="1" selected="0">
            <x v="250"/>
          </reference>
          <reference field="2" count="1">
            <x v="101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542"/>
          </reference>
          <reference field="1" count="1" selected="0">
            <x v="434"/>
          </reference>
          <reference field="2" count="1">
            <x v="0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543"/>
          </reference>
          <reference field="1" count="1" selected="0">
            <x v="436"/>
          </reference>
          <reference field="2" count="1">
            <x v="96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544"/>
          </reference>
          <reference field="1" count="1" selected="0">
            <x v="435"/>
          </reference>
          <reference field="2" count="1">
            <x v="4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545"/>
          </reference>
          <reference field="1" count="1" selected="0">
            <x v="251"/>
          </reference>
          <reference field="2" count="1">
            <x v="93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546"/>
          </reference>
          <reference field="1" count="1" selected="0">
            <x v="431"/>
          </reference>
          <reference field="2" count="1">
            <x v="187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547"/>
          </reference>
          <reference field="1" count="1" selected="0">
            <x v="374"/>
          </reference>
          <reference field="2" count="1">
            <x v="93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548"/>
          </reference>
          <reference field="1" count="1" selected="0">
            <x v="438"/>
          </reference>
          <reference field="2" count="1">
            <x v="54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549"/>
          </reference>
          <reference field="1" count="1" selected="0">
            <x v="437"/>
          </reference>
          <reference field="2" count="1">
            <x v="249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549"/>
          </reference>
          <reference field="1" count="1" selected="0">
            <x v="438"/>
          </reference>
          <reference field="2" count="1">
            <x v="249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550"/>
          </reference>
          <reference field="1" count="1" selected="0">
            <x v="487"/>
          </reference>
          <reference field="2" count="1">
            <x v="81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551"/>
          </reference>
          <reference field="1" count="1" selected="0">
            <x v="488"/>
          </reference>
          <reference field="2" count="1">
            <x v="81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552"/>
          </reference>
          <reference field="1" count="1" selected="0">
            <x v="8"/>
          </reference>
          <reference field="2" count="1">
            <x v="249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553"/>
          </reference>
          <reference field="1" count="1" selected="0">
            <x v="443"/>
          </reference>
          <reference field="2" count="1">
            <x v="249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554"/>
          </reference>
          <reference field="1" count="1" selected="0">
            <x v="253"/>
          </reference>
          <reference field="2" count="1">
            <x v="249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555"/>
          </reference>
          <reference field="1" count="1" selected="0">
            <x v="6"/>
          </reference>
          <reference field="2" count="1">
            <x v="102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556"/>
          </reference>
          <reference field="1" count="1" selected="0">
            <x v="10"/>
          </reference>
          <reference field="2" count="1">
            <x v="54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557"/>
          </reference>
          <reference field="1" count="1" selected="0">
            <x v="450"/>
          </reference>
          <reference field="2" count="1">
            <x v="54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558"/>
          </reference>
          <reference field="1" count="1" selected="0">
            <x v="497"/>
          </reference>
          <reference field="2" count="1">
            <x v="115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559"/>
          </reference>
          <reference field="1" count="1" selected="0">
            <x v="256"/>
          </reference>
          <reference field="2" count="1">
            <x v="52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560"/>
          </reference>
          <reference field="1" count="1" selected="0">
            <x v="444"/>
          </reference>
          <reference field="2" count="1">
            <x v="54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561"/>
          </reference>
          <reference field="1" count="1" selected="0">
            <x v="446"/>
          </reference>
          <reference field="2" count="1">
            <x v="54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562"/>
          </reference>
          <reference field="1" count="1" selected="0">
            <x v="496"/>
          </reference>
          <reference field="2" count="1">
            <x v="109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563"/>
          </reference>
          <reference field="1" count="1" selected="0">
            <x v="4"/>
          </reference>
          <reference field="2" count="1">
            <x v="84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564"/>
          </reference>
          <reference field="1" count="1" selected="0">
            <x v="21"/>
          </reference>
          <reference field="2" count="1">
            <x v="84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565"/>
          </reference>
          <reference field="1" count="1" selected="0">
            <x v="447"/>
          </reference>
          <reference field="2" count="1">
            <x v="84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566"/>
          </reference>
          <reference field="1" count="1" selected="0">
            <x v="7"/>
          </reference>
          <reference field="2" count="1">
            <x v="249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567"/>
          </reference>
          <reference field="1" count="1" selected="0">
            <x v="335"/>
          </reference>
          <reference field="2" count="1">
            <x v="249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567"/>
          </reference>
          <reference field="1" count="1" selected="0">
            <x v="375"/>
          </reference>
          <reference field="2" count="1">
            <x v="249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568"/>
          </reference>
          <reference field="1" count="1" selected="0">
            <x v="442"/>
          </reference>
          <reference field="2" count="1">
            <x v="249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569"/>
          </reference>
          <reference field="1" count="1" selected="0">
            <x v="449"/>
          </reference>
          <reference field="2" count="1">
            <x v="54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570"/>
          </reference>
          <reference field="1" count="1" selected="0">
            <x v="452"/>
          </reference>
          <reference field="2" count="1">
            <x v="54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571"/>
          </reference>
          <reference field="1" count="1" selected="0">
            <x v="259"/>
          </reference>
          <reference field="2" count="1">
            <x v="76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572"/>
          </reference>
          <reference field="1" count="1" selected="0">
            <x v="260"/>
          </reference>
          <reference field="2" count="1">
            <x v="249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573"/>
          </reference>
          <reference field="1" count="1" selected="0">
            <x v="541"/>
          </reference>
          <reference field="2" count="1">
            <x v="107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574"/>
          </reference>
          <reference field="1" count="1" selected="0">
            <x v="262"/>
          </reference>
          <reference field="2" count="1">
            <x v="249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575"/>
          </reference>
          <reference field="1" count="1" selected="0">
            <x v="541"/>
          </reference>
          <reference field="2" count="1">
            <x v="121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576"/>
          </reference>
          <reference field="1" count="1" selected="0">
            <x v="451"/>
          </reference>
          <reference field="2" count="1">
            <x v="76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577"/>
          </reference>
          <reference field="1" count="1" selected="0">
            <x v="263"/>
          </reference>
          <reference field="2" count="1">
            <x v="112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578"/>
          </reference>
          <reference field="1" count="1" selected="0">
            <x v="364"/>
          </reference>
          <reference field="2" count="1">
            <x v="113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578"/>
          </reference>
          <reference field="1" count="1" selected="0">
            <x v="365"/>
          </reference>
          <reference field="2" count="1">
            <x v="113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579"/>
          </reference>
          <reference field="1" count="1" selected="0">
            <x v="371"/>
          </reference>
          <reference field="2" count="1">
            <x v="249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580"/>
          </reference>
          <reference field="1" count="1" selected="0">
            <x v="455"/>
          </reference>
          <reference field="2" count="1">
            <x v="73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581"/>
          </reference>
          <reference field="1" count="1" selected="0">
            <x v="453"/>
          </reference>
          <reference field="2" count="1">
            <x v="73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582"/>
          </reference>
          <reference field="1" count="1" selected="0">
            <x v="458"/>
          </reference>
          <reference field="2" count="1">
            <x v="54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583"/>
          </reference>
          <reference field="1" count="1" selected="0">
            <x v="464"/>
          </reference>
          <reference field="2" count="1">
            <x v="99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584"/>
          </reference>
          <reference field="1" count="1" selected="0">
            <x v="457"/>
          </reference>
          <reference field="2" count="1">
            <x v="73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585"/>
          </reference>
          <reference field="1" count="1" selected="0">
            <x v="460"/>
          </reference>
          <reference field="2" count="1">
            <x v="73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586"/>
          </reference>
          <reference field="1" count="1" selected="0">
            <x v="462"/>
          </reference>
          <reference field="2" count="1">
            <x v="73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587"/>
          </reference>
          <reference field="1" count="1" selected="0">
            <x v="252"/>
          </reference>
          <reference field="2" count="1">
            <x v="93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587"/>
          </reference>
          <reference field="1" count="1" selected="0">
            <x v="445"/>
          </reference>
          <reference field="2" count="1">
            <x v="54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587"/>
          </reference>
          <reference field="1" count="1" selected="0">
            <x v="541"/>
          </reference>
          <reference field="2" count="1">
            <x v="250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588"/>
          </reference>
          <reference field="1" count="1" selected="0">
            <x v="525"/>
          </reference>
          <reference field="2" count="1">
            <x v="19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589"/>
          </reference>
          <reference field="1" count="1" selected="0">
            <x v="542"/>
          </reference>
          <reference field="2" count="1">
            <x v="19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590"/>
          </reference>
          <reference field="1" count="1" selected="0">
            <x v="543"/>
          </reference>
          <reference field="2" count="1">
            <x v="122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8967-2A68-4959-8B4F-5385714CEBD4}">
  <dimension ref="A3:E616"/>
  <sheetViews>
    <sheetView tabSelected="1" workbookViewId="0">
      <selection activeCell="C9" sqref="C9"/>
    </sheetView>
  </sheetViews>
  <sheetFormatPr defaultRowHeight="15" x14ac:dyDescent="0.25"/>
  <cols>
    <col min="1" max="1" width="37.5703125" customWidth="1"/>
    <col min="2" max="2" width="24.85546875" customWidth="1"/>
    <col min="3" max="3" width="24.140625" bestFit="1" customWidth="1"/>
    <col min="4" max="4" width="27.140625" style="81" bestFit="1" customWidth="1"/>
    <col min="5" max="5" width="21.85546875" style="81" bestFit="1" customWidth="1"/>
  </cols>
  <sheetData>
    <row r="3" spans="1:5" x14ac:dyDescent="0.25">
      <c r="A3" s="26"/>
      <c r="B3" s="26"/>
      <c r="C3" s="26"/>
      <c r="D3" s="91" t="s">
        <v>2162</v>
      </c>
      <c r="E3" s="92"/>
    </row>
    <row r="4" spans="1:5" x14ac:dyDescent="0.25">
      <c r="A4" s="93" t="s">
        <v>0</v>
      </c>
      <c r="B4" s="93" t="s">
        <v>1</v>
      </c>
      <c r="C4" s="93" t="s">
        <v>2</v>
      </c>
      <c r="D4" s="92" t="s">
        <v>2160</v>
      </c>
      <c r="E4" s="92" t="s">
        <v>2161</v>
      </c>
    </row>
    <row r="5" spans="1:5" x14ac:dyDescent="0.25">
      <c r="A5" s="26" t="s">
        <v>2150</v>
      </c>
      <c r="B5" s="26" t="s">
        <v>2149</v>
      </c>
      <c r="C5" s="26" t="s">
        <v>1497</v>
      </c>
      <c r="D5" s="92"/>
      <c r="E5" s="92">
        <v>19</v>
      </c>
    </row>
    <row r="6" spans="1:5" x14ac:dyDescent="0.25">
      <c r="A6" s="26" t="s">
        <v>1523</v>
      </c>
      <c r="B6" s="26" t="s">
        <v>1522</v>
      </c>
      <c r="C6" s="26" t="s">
        <v>837</v>
      </c>
      <c r="D6" s="92">
        <v>15</v>
      </c>
      <c r="E6" s="92">
        <v>3579</v>
      </c>
    </row>
    <row r="7" spans="1:5" x14ac:dyDescent="0.25">
      <c r="A7" s="26" t="s">
        <v>166</v>
      </c>
      <c r="B7" s="26" t="s">
        <v>167</v>
      </c>
      <c r="C7" s="26" t="s">
        <v>168</v>
      </c>
      <c r="D7" s="92"/>
      <c r="E7" s="92">
        <v>3200</v>
      </c>
    </row>
    <row r="8" spans="1:5" x14ac:dyDescent="0.25">
      <c r="A8" s="26" t="s">
        <v>485</v>
      </c>
      <c r="B8" s="26" t="s">
        <v>486</v>
      </c>
      <c r="C8" s="26" t="s">
        <v>472</v>
      </c>
      <c r="D8" s="92"/>
      <c r="E8" s="92">
        <v>47</v>
      </c>
    </row>
    <row r="9" spans="1:5" x14ac:dyDescent="0.25">
      <c r="A9" s="26" t="s">
        <v>1894</v>
      </c>
      <c r="B9" s="26" t="s">
        <v>1895</v>
      </c>
      <c r="C9" s="26" t="s">
        <v>1080</v>
      </c>
      <c r="D9" s="92"/>
      <c r="E9" s="92">
        <v>470</v>
      </c>
    </row>
    <row r="10" spans="1:5" x14ac:dyDescent="0.25">
      <c r="A10" s="26" t="s">
        <v>1900</v>
      </c>
      <c r="B10" s="26" t="s">
        <v>1901</v>
      </c>
      <c r="C10" s="26" t="s">
        <v>935</v>
      </c>
      <c r="D10" s="92"/>
      <c r="E10" s="92">
        <v>465</v>
      </c>
    </row>
    <row r="11" spans="1:5" x14ac:dyDescent="0.25">
      <c r="A11" s="26" t="s">
        <v>1147</v>
      </c>
      <c r="B11" s="26" t="s">
        <v>1148</v>
      </c>
      <c r="C11" s="26" t="s">
        <v>1080</v>
      </c>
      <c r="D11" s="92">
        <v>2900</v>
      </c>
      <c r="E11" s="92">
        <v>3100</v>
      </c>
    </row>
    <row r="12" spans="1:5" x14ac:dyDescent="0.25">
      <c r="A12" s="26" t="s">
        <v>1524</v>
      </c>
      <c r="B12" s="26" t="s">
        <v>1525</v>
      </c>
      <c r="C12" s="26" t="s">
        <v>923</v>
      </c>
      <c r="D12" s="92"/>
      <c r="E12" s="92">
        <v>50</v>
      </c>
    </row>
    <row r="13" spans="1:5" x14ac:dyDescent="0.25">
      <c r="A13" s="26" t="s">
        <v>665</v>
      </c>
      <c r="B13" s="26" t="s">
        <v>666</v>
      </c>
      <c r="C13" s="26" t="s">
        <v>661</v>
      </c>
      <c r="D13" s="92">
        <v>500</v>
      </c>
      <c r="E13" s="92">
        <v>4500</v>
      </c>
    </row>
    <row r="14" spans="1:5" x14ac:dyDescent="0.25">
      <c r="A14" s="26" t="s">
        <v>771</v>
      </c>
      <c r="B14" s="26" t="s">
        <v>772</v>
      </c>
      <c r="C14" s="26" t="s">
        <v>768</v>
      </c>
      <c r="D14" s="92"/>
      <c r="E14" s="92">
        <v>100</v>
      </c>
    </row>
    <row r="15" spans="1:5" x14ac:dyDescent="0.25">
      <c r="A15" s="26" t="s">
        <v>826</v>
      </c>
      <c r="B15" s="26" t="s">
        <v>827</v>
      </c>
      <c r="C15" s="26" t="s">
        <v>606</v>
      </c>
      <c r="D15" s="92">
        <v>6150</v>
      </c>
      <c r="E15" s="92">
        <v>1650</v>
      </c>
    </row>
    <row r="16" spans="1:5" x14ac:dyDescent="0.25">
      <c r="A16" s="26" t="s">
        <v>747</v>
      </c>
      <c r="B16" s="26" t="s">
        <v>748</v>
      </c>
      <c r="C16" s="26" t="s">
        <v>746</v>
      </c>
      <c r="D16" s="92"/>
      <c r="E16" s="92">
        <v>1537</v>
      </c>
    </row>
    <row r="17" spans="1:5" x14ac:dyDescent="0.25">
      <c r="A17" s="26" t="s">
        <v>2025</v>
      </c>
      <c r="B17" s="26" t="s">
        <v>754</v>
      </c>
      <c r="C17" s="26" t="s">
        <v>379</v>
      </c>
      <c r="D17" s="92"/>
      <c r="E17" s="92">
        <v>20300</v>
      </c>
    </row>
    <row r="18" spans="1:5" x14ac:dyDescent="0.25">
      <c r="A18" s="26" t="s">
        <v>2025</v>
      </c>
      <c r="B18" s="26"/>
      <c r="C18" s="26" t="s">
        <v>1722</v>
      </c>
      <c r="D18" s="92">
        <v>34083</v>
      </c>
      <c r="E18" s="92">
        <v>0</v>
      </c>
    </row>
    <row r="19" spans="1:5" x14ac:dyDescent="0.25">
      <c r="A19" s="26" t="s">
        <v>639</v>
      </c>
      <c r="B19" s="26" t="s">
        <v>640</v>
      </c>
      <c r="C19" s="26" t="s">
        <v>638</v>
      </c>
      <c r="D19" s="92"/>
      <c r="E19" s="92">
        <v>35167</v>
      </c>
    </row>
    <row r="20" spans="1:5" x14ac:dyDescent="0.25">
      <c r="A20" s="26" t="s">
        <v>912</v>
      </c>
      <c r="B20" s="26" t="s">
        <v>913</v>
      </c>
      <c r="C20" s="26" t="s">
        <v>914</v>
      </c>
      <c r="D20" s="92">
        <v>100</v>
      </c>
      <c r="E20" s="92">
        <v>400</v>
      </c>
    </row>
    <row r="21" spans="1:5" x14ac:dyDescent="0.25">
      <c r="A21" s="26" t="s">
        <v>779</v>
      </c>
      <c r="B21" s="26" t="s">
        <v>780</v>
      </c>
      <c r="C21" s="26" t="s">
        <v>802</v>
      </c>
      <c r="D21" s="92"/>
      <c r="E21" s="92">
        <v>1462</v>
      </c>
    </row>
    <row r="22" spans="1:5" x14ac:dyDescent="0.25">
      <c r="A22" s="26" t="s">
        <v>524</v>
      </c>
      <c r="B22" s="26" t="s">
        <v>525</v>
      </c>
      <c r="C22" s="26" t="s">
        <v>526</v>
      </c>
      <c r="D22" s="92">
        <v>4900</v>
      </c>
      <c r="E22" s="92">
        <v>5363</v>
      </c>
    </row>
    <row r="23" spans="1:5" x14ac:dyDescent="0.25">
      <c r="A23" s="26" t="s">
        <v>2114</v>
      </c>
      <c r="B23" s="26" t="s">
        <v>932</v>
      </c>
      <c r="C23" s="26" t="s">
        <v>2113</v>
      </c>
      <c r="D23" s="92">
        <v>100</v>
      </c>
      <c r="E23" s="92">
        <v>1400</v>
      </c>
    </row>
    <row r="24" spans="1:5" x14ac:dyDescent="0.25">
      <c r="A24" s="26" t="s">
        <v>2008</v>
      </c>
      <c r="B24" s="26" t="s">
        <v>525</v>
      </c>
      <c r="C24" s="26" t="s">
        <v>2004</v>
      </c>
      <c r="D24" s="92"/>
      <c r="E24" s="92">
        <v>50</v>
      </c>
    </row>
    <row r="25" spans="1:5" x14ac:dyDescent="0.25">
      <c r="A25" s="26" t="s">
        <v>1786</v>
      </c>
      <c r="B25" s="26" t="s">
        <v>1816</v>
      </c>
      <c r="C25" s="26" t="s">
        <v>526</v>
      </c>
      <c r="D25" s="92">
        <v>5149</v>
      </c>
      <c r="E25" s="92">
        <v>0</v>
      </c>
    </row>
    <row r="26" spans="1:5" x14ac:dyDescent="0.25">
      <c r="A26" s="26" t="s">
        <v>2108</v>
      </c>
      <c r="B26" s="26" t="s">
        <v>635</v>
      </c>
      <c r="C26" s="26" t="s">
        <v>633</v>
      </c>
      <c r="D26" s="92"/>
      <c r="E26" s="92">
        <v>1750</v>
      </c>
    </row>
    <row r="27" spans="1:5" x14ac:dyDescent="0.25">
      <c r="A27" s="26" t="s">
        <v>887</v>
      </c>
      <c r="B27" s="26" t="s">
        <v>888</v>
      </c>
      <c r="C27" s="26" t="s">
        <v>886</v>
      </c>
      <c r="D27" s="92">
        <v>400</v>
      </c>
      <c r="E27" s="92">
        <v>400</v>
      </c>
    </row>
    <row r="28" spans="1:5" x14ac:dyDescent="0.25">
      <c r="A28" s="26" t="s">
        <v>427</v>
      </c>
      <c r="B28" s="26" t="s">
        <v>428</v>
      </c>
      <c r="C28" s="26" t="s">
        <v>429</v>
      </c>
      <c r="D28" s="92">
        <v>7000</v>
      </c>
      <c r="E28" s="92">
        <v>6000</v>
      </c>
    </row>
    <row r="29" spans="1:5" x14ac:dyDescent="0.25">
      <c r="A29" s="26" t="s">
        <v>991</v>
      </c>
      <c r="B29" s="26" t="s">
        <v>992</v>
      </c>
      <c r="C29" s="26" t="s">
        <v>990</v>
      </c>
      <c r="D29" s="92">
        <v>1100</v>
      </c>
      <c r="E29" s="92">
        <v>2200</v>
      </c>
    </row>
    <row r="30" spans="1:5" x14ac:dyDescent="0.25">
      <c r="A30" s="26" t="s">
        <v>623</v>
      </c>
      <c r="B30" s="26" t="s">
        <v>624</v>
      </c>
      <c r="C30" s="26" t="s">
        <v>541</v>
      </c>
      <c r="D30" s="92">
        <v>1000</v>
      </c>
      <c r="E30" s="92">
        <v>4086</v>
      </c>
    </row>
    <row r="31" spans="1:5" x14ac:dyDescent="0.25">
      <c r="A31" s="26" t="s">
        <v>386</v>
      </c>
      <c r="B31" s="26" t="s">
        <v>387</v>
      </c>
      <c r="C31" s="26" t="s">
        <v>385</v>
      </c>
      <c r="D31" s="92">
        <v>9700</v>
      </c>
      <c r="E31" s="92">
        <v>3300</v>
      </c>
    </row>
    <row r="32" spans="1:5" x14ac:dyDescent="0.25">
      <c r="A32" s="26" t="s">
        <v>2006</v>
      </c>
      <c r="B32" s="26" t="s">
        <v>387</v>
      </c>
      <c r="C32" s="26" t="s">
        <v>2004</v>
      </c>
      <c r="D32" s="92"/>
      <c r="E32" s="92">
        <v>100</v>
      </c>
    </row>
    <row r="33" spans="1:5" x14ac:dyDescent="0.25">
      <c r="A33" s="26" t="s">
        <v>2007</v>
      </c>
      <c r="B33" s="26" t="s">
        <v>416</v>
      </c>
      <c r="C33" s="26" t="s">
        <v>2004</v>
      </c>
      <c r="D33" s="92"/>
      <c r="E33" s="92">
        <v>100</v>
      </c>
    </row>
    <row r="34" spans="1:5" x14ac:dyDescent="0.25">
      <c r="A34" s="26" t="s">
        <v>403</v>
      </c>
      <c r="B34" s="26" t="s">
        <v>404</v>
      </c>
      <c r="C34" s="26" t="s">
        <v>402</v>
      </c>
      <c r="D34" s="92"/>
      <c r="E34" s="92">
        <v>5000</v>
      </c>
    </row>
    <row r="35" spans="1:5" x14ac:dyDescent="0.25">
      <c r="A35" s="26" t="s">
        <v>1132</v>
      </c>
      <c r="B35" s="26" t="s">
        <v>416</v>
      </c>
      <c r="C35" s="26" t="s">
        <v>1883</v>
      </c>
      <c r="D35" s="92">
        <v>59000</v>
      </c>
      <c r="E35" s="92">
        <v>121000</v>
      </c>
    </row>
    <row r="36" spans="1:5" x14ac:dyDescent="0.25">
      <c r="A36" s="26" t="s">
        <v>1488</v>
      </c>
      <c r="B36" s="26" t="s">
        <v>416</v>
      </c>
      <c r="C36" s="26" t="s">
        <v>1936</v>
      </c>
      <c r="D36" s="92"/>
      <c r="E36" s="92">
        <v>174000</v>
      </c>
    </row>
    <row r="37" spans="1:5" x14ac:dyDescent="0.25">
      <c r="A37" s="26" t="s">
        <v>1488</v>
      </c>
      <c r="B37" s="26"/>
      <c r="C37" s="26" t="s">
        <v>417</v>
      </c>
      <c r="D37" s="92">
        <v>2000</v>
      </c>
      <c r="E37" s="92">
        <v>40000</v>
      </c>
    </row>
    <row r="38" spans="1:5" x14ac:dyDescent="0.25">
      <c r="A38" s="26" t="s">
        <v>988</v>
      </c>
      <c r="B38" s="26" t="s">
        <v>989</v>
      </c>
      <c r="C38" s="26" t="s">
        <v>990</v>
      </c>
      <c r="D38" s="92">
        <v>1600</v>
      </c>
      <c r="E38" s="92">
        <v>1300</v>
      </c>
    </row>
    <row r="39" spans="1:5" x14ac:dyDescent="0.25">
      <c r="A39" s="26" t="s">
        <v>1726</v>
      </c>
      <c r="B39" s="26" t="s">
        <v>695</v>
      </c>
      <c r="C39" s="26" t="s">
        <v>461</v>
      </c>
      <c r="D39" s="92"/>
      <c r="E39" s="92">
        <v>9775</v>
      </c>
    </row>
    <row r="40" spans="1:5" x14ac:dyDescent="0.25">
      <c r="A40" s="26" t="s">
        <v>1726</v>
      </c>
      <c r="B40" s="26"/>
      <c r="C40" s="26" t="s">
        <v>693</v>
      </c>
      <c r="D40" s="92"/>
      <c r="E40" s="92">
        <v>300</v>
      </c>
    </row>
    <row r="41" spans="1:5" x14ac:dyDescent="0.25">
      <c r="A41" s="26" t="s">
        <v>2138</v>
      </c>
      <c r="B41" s="26" t="s">
        <v>2139</v>
      </c>
      <c r="C41" s="26" t="s">
        <v>2140</v>
      </c>
      <c r="D41" s="92"/>
      <c r="E41" s="92">
        <v>400</v>
      </c>
    </row>
    <row r="42" spans="1:5" x14ac:dyDescent="0.25">
      <c r="A42" s="26" t="s">
        <v>432</v>
      </c>
      <c r="B42" s="26" t="s">
        <v>433</v>
      </c>
      <c r="C42" s="26" t="s">
        <v>429</v>
      </c>
      <c r="D42" s="92">
        <v>750</v>
      </c>
      <c r="E42" s="92">
        <v>3750</v>
      </c>
    </row>
    <row r="43" spans="1:5" x14ac:dyDescent="0.25">
      <c r="A43" s="26" t="s">
        <v>436</v>
      </c>
      <c r="B43" s="26" t="s">
        <v>437</v>
      </c>
      <c r="C43" s="26" t="s">
        <v>438</v>
      </c>
      <c r="D43" s="92"/>
      <c r="E43" s="92">
        <v>1800</v>
      </c>
    </row>
    <row r="44" spans="1:5" x14ac:dyDescent="0.25">
      <c r="A44" s="26" t="s">
        <v>1713</v>
      </c>
      <c r="B44" s="26" t="s">
        <v>1714</v>
      </c>
      <c r="C44" s="26" t="s">
        <v>738</v>
      </c>
      <c r="D44" s="92"/>
      <c r="E44" s="92">
        <v>0</v>
      </c>
    </row>
    <row r="45" spans="1:5" x14ac:dyDescent="0.25">
      <c r="A45" s="26" t="s">
        <v>440</v>
      </c>
      <c r="B45" s="26" t="s">
        <v>441</v>
      </c>
      <c r="C45" s="26" t="s">
        <v>438</v>
      </c>
      <c r="D45" s="92"/>
      <c r="E45" s="92">
        <v>6654</v>
      </c>
    </row>
    <row r="46" spans="1:5" x14ac:dyDescent="0.25">
      <c r="A46" s="26" t="s">
        <v>470</v>
      </c>
      <c r="B46" s="26" t="s">
        <v>471</v>
      </c>
      <c r="C46" s="26" t="s">
        <v>1080</v>
      </c>
      <c r="D46" s="92"/>
      <c r="E46" s="92">
        <v>185</v>
      </c>
    </row>
    <row r="47" spans="1:5" x14ac:dyDescent="0.25">
      <c r="A47" s="26" t="s">
        <v>500</v>
      </c>
      <c r="B47" s="26" t="s">
        <v>501</v>
      </c>
      <c r="C47" s="26" t="s">
        <v>491</v>
      </c>
      <c r="D47" s="92"/>
      <c r="E47" s="92">
        <v>381</v>
      </c>
    </row>
    <row r="48" spans="1:5" x14ac:dyDescent="0.25">
      <c r="A48" s="26" t="s">
        <v>492</v>
      </c>
      <c r="B48" s="26" t="s">
        <v>493</v>
      </c>
      <c r="C48" s="26" t="s">
        <v>491</v>
      </c>
      <c r="D48" s="92">
        <v>60</v>
      </c>
      <c r="E48" s="92">
        <v>46</v>
      </c>
    </row>
    <row r="49" spans="1:5" x14ac:dyDescent="0.25">
      <c r="A49" s="26" t="s">
        <v>516</v>
      </c>
      <c r="B49" s="26" t="s">
        <v>517</v>
      </c>
      <c r="C49" s="26" t="s">
        <v>515</v>
      </c>
      <c r="D49" s="92"/>
      <c r="E49" s="92">
        <v>300</v>
      </c>
    </row>
    <row r="50" spans="1:5" x14ac:dyDescent="0.25">
      <c r="A50" s="26" t="s">
        <v>1998</v>
      </c>
      <c r="B50" s="26" t="s">
        <v>1999</v>
      </c>
      <c r="C50" s="26" t="s">
        <v>506</v>
      </c>
      <c r="D50" s="92">
        <v>70</v>
      </c>
      <c r="E50" s="92">
        <v>430</v>
      </c>
    </row>
    <row r="51" spans="1:5" x14ac:dyDescent="0.25">
      <c r="A51" s="26" t="s">
        <v>1142</v>
      </c>
      <c r="B51" s="26" t="s">
        <v>1143</v>
      </c>
      <c r="C51" s="26" t="s">
        <v>1080</v>
      </c>
      <c r="D51" s="92"/>
      <c r="E51" s="92">
        <v>8700</v>
      </c>
    </row>
    <row r="52" spans="1:5" x14ac:dyDescent="0.25">
      <c r="A52" s="26" t="s">
        <v>857</v>
      </c>
      <c r="B52" s="26" t="s">
        <v>858</v>
      </c>
      <c r="C52" s="26" t="s">
        <v>856</v>
      </c>
      <c r="D52" s="92"/>
      <c r="E52" s="92">
        <v>500</v>
      </c>
    </row>
    <row r="53" spans="1:5" x14ac:dyDescent="0.25">
      <c r="A53" s="26" t="s">
        <v>786</v>
      </c>
      <c r="B53" s="26" t="s">
        <v>787</v>
      </c>
      <c r="C53" s="26" t="s">
        <v>785</v>
      </c>
      <c r="D53" s="92">
        <v>330</v>
      </c>
      <c r="E53" s="92">
        <v>0</v>
      </c>
    </row>
    <row r="54" spans="1:5" x14ac:dyDescent="0.25">
      <c r="A54" s="26" t="s">
        <v>838</v>
      </c>
      <c r="B54" s="26" t="s">
        <v>578</v>
      </c>
      <c r="C54" s="26" t="s">
        <v>1947</v>
      </c>
      <c r="D54" s="92">
        <v>717</v>
      </c>
      <c r="E54" s="92">
        <v>4483</v>
      </c>
    </row>
    <row r="55" spans="1:5" x14ac:dyDescent="0.25">
      <c r="A55" s="26" t="s">
        <v>546</v>
      </c>
      <c r="B55" s="26" t="s">
        <v>547</v>
      </c>
      <c r="C55" s="26" t="s">
        <v>1080</v>
      </c>
      <c r="D55" s="92">
        <v>200</v>
      </c>
      <c r="E55" s="92">
        <v>3580</v>
      </c>
    </row>
    <row r="56" spans="1:5" x14ac:dyDescent="0.25">
      <c r="A56" s="26" t="s">
        <v>405</v>
      </c>
      <c r="B56" s="26" t="s">
        <v>406</v>
      </c>
      <c r="C56" s="26" t="s">
        <v>407</v>
      </c>
      <c r="D56" s="92"/>
      <c r="E56" s="92">
        <v>4000</v>
      </c>
    </row>
    <row r="57" spans="1:5" x14ac:dyDescent="0.25">
      <c r="A57" s="26" t="s">
        <v>1937</v>
      </c>
      <c r="B57" s="26" t="s">
        <v>2166</v>
      </c>
      <c r="C57" s="26" t="s">
        <v>461</v>
      </c>
      <c r="D57" s="92"/>
      <c r="E57" s="92">
        <v>0</v>
      </c>
    </row>
    <row r="58" spans="1:5" x14ac:dyDescent="0.25">
      <c r="A58" s="26" t="s">
        <v>1724</v>
      </c>
      <c r="B58" s="26" t="s">
        <v>692</v>
      </c>
      <c r="C58" s="26" t="s">
        <v>693</v>
      </c>
      <c r="D58" s="92"/>
      <c r="E58" s="92">
        <v>150</v>
      </c>
    </row>
    <row r="59" spans="1:5" x14ac:dyDescent="0.25">
      <c r="A59" s="26" t="s">
        <v>645</v>
      </c>
      <c r="B59" s="26" t="s">
        <v>646</v>
      </c>
      <c r="C59" s="26" t="s">
        <v>651</v>
      </c>
      <c r="D59" s="92"/>
      <c r="E59" s="92">
        <v>2200</v>
      </c>
    </row>
    <row r="60" spans="1:5" x14ac:dyDescent="0.25">
      <c r="A60" s="26" t="s">
        <v>422</v>
      </c>
      <c r="B60" s="26" t="s">
        <v>423</v>
      </c>
      <c r="C60" s="26" t="s">
        <v>421</v>
      </c>
      <c r="D60" s="92"/>
      <c r="E60" s="92">
        <v>10000</v>
      </c>
    </row>
    <row r="61" spans="1:5" x14ac:dyDescent="0.25">
      <c r="A61" s="26" t="s">
        <v>629</v>
      </c>
      <c r="B61" s="26" t="s">
        <v>630</v>
      </c>
      <c r="C61" s="26" t="s">
        <v>625</v>
      </c>
      <c r="D61" s="92"/>
      <c r="E61" s="92">
        <v>1200</v>
      </c>
    </row>
    <row r="62" spans="1:5" x14ac:dyDescent="0.25">
      <c r="A62" s="26" t="s">
        <v>657</v>
      </c>
      <c r="B62" s="26" t="s">
        <v>658</v>
      </c>
      <c r="C62" s="26" t="s">
        <v>656</v>
      </c>
      <c r="D62" s="92">
        <v>2360</v>
      </c>
      <c r="E62" s="92">
        <v>8180</v>
      </c>
    </row>
    <row r="63" spans="1:5" x14ac:dyDescent="0.25">
      <c r="A63" s="26" t="s">
        <v>667</v>
      </c>
      <c r="B63" s="26" t="s">
        <v>668</v>
      </c>
      <c r="C63" s="26" t="s">
        <v>669</v>
      </c>
      <c r="D63" s="92">
        <v>200</v>
      </c>
      <c r="E63" s="92">
        <v>3800</v>
      </c>
    </row>
    <row r="64" spans="1:5" x14ac:dyDescent="0.25">
      <c r="A64" s="26" t="s">
        <v>2103</v>
      </c>
      <c r="B64" s="26" t="s">
        <v>1515</v>
      </c>
      <c r="C64" s="26" t="s">
        <v>743</v>
      </c>
      <c r="D64" s="92"/>
      <c r="E64" s="92">
        <v>5106</v>
      </c>
    </row>
    <row r="65" spans="1:5" x14ac:dyDescent="0.25">
      <c r="A65" s="26" t="s">
        <v>716</v>
      </c>
      <c r="B65" s="26" t="s">
        <v>618</v>
      </c>
      <c r="C65" s="26" t="s">
        <v>717</v>
      </c>
      <c r="D65" s="92"/>
      <c r="E65" s="92">
        <v>10117</v>
      </c>
    </row>
    <row r="66" spans="1:5" x14ac:dyDescent="0.25">
      <c r="A66" s="26" t="s">
        <v>617</v>
      </c>
      <c r="B66" s="26" t="s">
        <v>618</v>
      </c>
      <c r="C66" s="26" t="s">
        <v>616</v>
      </c>
      <c r="D66" s="92"/>
      <c r="E66" s="92">
        <v>3600</v>
      </c>
    </row>
    <row r="67" spans="1:5" x14ac:dyDescent="0.25">
      <c r="A67" s="26" t="s">
        <v>434</v>
      </c>
      <c r="B67" s="26" t="s">
        <v>435</v>
      </c>
      <c r="C67" s="26" t="s">
        <v>429</v>
      </c>
      <c r="D67" s="92"/>
      <c r="E67" s="92">
        <v>1200</v>
      </c>
    </row>
    <row r="68" spans="1:5" x14ac:dyDescent="0.25">
      <c r="A68" s="26" t="s">
        <v>916</v>
      </c>
      <c r="B68" s="26" t="s">
        <v>917</v>
      </c>
      <c r="C68" s="26" t="s">
        <v>914</v>
      </c>
      <c r="D68" s="92"/>
      <c r="E68" s="92">
        <v>24</v>
      </c>
    </row>
    <row r="69" spans="1:5" x14ac:dyDescent="0.25">
      <c r="A69" s="26" t="s">
        <v>662</v>
      </c>
      <c r="B69" s="26" t="s">
        <v>663</v>
      </c>
      <c r="C69" s="26" t="s">
        <v>661</v>
      </c>
      <c r="D69" s="92">
        <v>1700</v>
      </c>
      <c r="E69" s="92">
        <v>4550</v>
      </c>
    </row>
    <row r="70" spans="1:5" x14ac:dyDescent="0.25">
      <c r="A70" s="26" t="s">
        <v>424</v>
      </c>
      <c r="B70" s="26" t="s">
        <v>425</v>
      </c>
      <c r="C70" s="26" t="s">
        <v>421</v>
      </c>
      <c r="D70" s="92"/>
      <c r="E70" s="92">
        <v>4536</v>
      </c>
    </row>
    <row r="71" spans="1:5" x14ac:dyDescent="0.25">
      <c r="A71" s="26" t="s">
        <v>343</v>
      </c>
      <c r="B71" s="26" t="s">
        <v>229</v>
      </c>
      <c r="C71" s="26" t="s">
        <v>1981</v>
      </c>
      <c r="D71" s="92"/>
      <c r="E71" s="92">
        <v>116390</v>
      </c>
    </row>
    <row r="72" spans="1:5" x14ac:dyDescent="0.25">
      <c r="A72" s="26" t="s">
        <v>228</v>
      </c>
      <c r="B72" s="26" t="s">
        <v>229</v>
      </c>
      <c r="C72" s="26" t="s">
        <v>230</v>
      </c>
      <c r="D72" s="92">
        <v>19790</v>
      </c>
      <c r="E72" s="92">
        <v>45690</v>
      </c>
    </row>
    <row r="73" spans="1:5" x14ac:dyDescent="0.25">
      <c r="A73" s="26" t="s">
        <v>1145</v>
      </c>
      <c r="B73" s="26" t="s">
        <v>1146</v>
      </c>
      <c r="C73" s="26" t="s">
        <v>1080</v>
      </c>
      <c r="D73" s="92"/>
      <c r="E73" s="92">
        <v>20500</v>
      </c>
    </row>
    <row r="74" spans="1:5" x14ac:dyDescent="0.25">
      <c r="A74" s="26" t="s">
        <v>925</v>
      </c>
      <c r="B74" s="26" t="s">
        <v>926</v>
      </c>
      <c r="C74" s="26" t="s">
        <v>923</v>
      </c>
      <c r="D74" s="92"/>
      <c r="E74" s="92">
        <v>100</v>
      </c>
    </row>
    <row r="75" spans="1:5" x14ac:dyDescent="0.25">
      <c r="A75" s="26" t="s">
        <v>805</v>
      </c>
      <c r="B75" s="26" t="s">
        <v>806</v>
      </c>
      <c r="C75" s="26" t="s">
        <v>802</v>
      </c>
      <c r="D75" s="92"/>
      <c r="E75" s="92">
        <v>200</v>
      </c>
    </row>
    <row r="76" spans="1:5" x14ac:dyDescent="0.25">
      <c r="A76" s="26" t="s">
        <v>2044</v>
      </c>
      <c r="B76" s="26" t="s">
        <v>806</v>
      </c>
      <c r="C76" s="26" t="s">
        <v>693</v>
      </c>
      <c r="D76" s="92"/>
      <c r="E76" s="92">
        <v>1131</v>
      </c>
    </row>
    <row r="77" spans="1:5" x14ac:dyDescent="0.25">
      <c r="A77" s="26" t="s">
        <v>356</v>
      </c>
      <c r="B77" s="26" t="s">
        <v>357</v>
      </c>
      <c r="C77" s="26" t="s">
        <v>354</v>
      </c>
      <c r="D77" s="92">
        <v>1600</v>
      </c>
      <c r="E77" s="92">
        <v>7998</v>
      </c>
    </row>
    <row r="78" spans="1:5" x14ac:dyDescent="0.25">
      <c r="A78" s="26" t="s">
        <v>2050</v>
      </c>
      <c r="B78" s="26" t="s">
        <v>2051</v>
      </c>
      <c r="C78" s="26" t="s">
        <v>175</v>
      </c>
      <c r="D78" s="92"/>
      <c r="E78" s="92">
        <v>58265</v>
      </c>
    </row>
    <row r="79" spans="1:5" x14ac:dyDescent="0.25">
      <c r="A79" s="26" t="s">
        <v>194</v>
      </c>
      <c r="B79" s="26" t="s">
        <v>195</v>
      </c>
      <c r="C79" s="26" t="s">
        <v>196</v>
      </c>
      <c r="D79" s="92"/>
      <c r="E79" s="92">
        <v>7000</v>
      </c>
    </row>
    <row r="80" spans="1:5" x14ac:dyDescent="0.25">
      <c r="A80" s="26" t="s">
        <v>1882</v>
      </c>
      <c r="B80" s="26" t="s">
        <v>1930</v>
      </c>
      <c r="C80" s="26" t="s">
        <v>186</v>
      </c>
      <c r="D80" s="92"/>
      <c r="E80" s="92">
        <v>5000</v>
      </c>
    </row>
    <row r="81" spans="1:5" x14ac:dyDescent="0.25">
      <c r="A81" s="26" t="s">
        <v>128</v>
      </c>
      <c r="B81" s="26" t="s">
        <v>129</v>
      </c>
      <c r="C81" s="26" t="s">
        <v>130</v>
      </c>
      <c r="D81" s="92"/>
      <c r="E81" s="92">
        <v>2000</v>
      </c>
    </row>
    <row r="82" spans="1:5" x14ac:dyDescent="0.25">
      <c r="A82" s="26" t="s">
        <v>696</v>
      </c>
      <c r="B82" s="26" t="s">
        <v>697</v>
      </c>
      <c r="C82" s="26" t="s">
        <v>698</v>
      </c>
      <c r="D82" s="92">
        <v>35</v>
      </c>
      <c r="E82" s="92">
        <v>809</v>
      </c>
    </row>
    <row r="83" spans="1:5" x14ac:dyDescent="0.25">
      <c r="A83" s="26" t="s">
        <v>816</v>
      </c>
      <c r="B83" s="26" t="s">
        <v>817</v>
      </c>
      <c r="C83" s="26" t="s">
        <v>814</v>
      </c>
      <c r="D83" s="92"/>
      <c r="E83" s="92">
        <v>31</v>
      </c>
    </row>
    <row r="84" spans="1:5" x14ac:dyDescent="0.25">
      <c r="A84" s="26" t="s">
        <v>1888</v>
      </c>
      <c r="B84" s="26" t="s">
        <v>824</v>
      </c>
      <c r="C84" s="26" t="s">
        <v>814</v>
      </c>
      <c r="D84" s="92">
        <v>200</v>
      </c>
      <c r="E84" s="92">
        <v>30</v>
      </c>
    </row>
    <row r="85" spans="1:5" x14ac:dyDescent="0.25">
      <c r="A85" s="26" t="s">
        <v>145</v>
      </c>
      <c r="B85" s="26" t="s">
        <v>146</v>
      </c>
      <c r="C85" s="26" t="s">
        <v>144</v>
      </c>
      <c r="D85" s="92"/>
      <c r="E85" s="92">
        <v>1500</v>
      </c>
    </row>
    <row r="86" spans="1:5" x14ac:dyDescent="0.25">
      <c r="A86" s="26" t="s">
        <v>1329</v>
      </c>
      <c r="B86" s="26" t="s">
        <v>1330</v>
      </c>
      <c r="C86" s="26" t="s">
        <v>1719</v>
      </c>
      <c r="D86" s="92">
        <v>110400</v>
      </c>
      <c r="E86" s="92">
        <v>37768</v>
      </c>
    </row>
    <row r="87" spans="1:5" x14ac:dyDescent="0.25">
      <c r="A87" s="26" t="s">
        <v>2035</v>
      </c>
      <c r="B87" s="26" t="s">
        <v>1919</v>
      </c>
      <c r="C87" s="26" t="s">
        <v>1920</v>
      </c>
      <c r="D87" s="92"/>
      <c r="E87" s="92">
        <v>24695</v>
      </c>
    </row>
    <row r="88" spans="1:5" x14ac:dyDescent="0.25">
      <c r="A88" s="26" t="s">
        <v>51</v>
      </c>
      <c r="B88" s="26" t="s">
        <v>52</v>
      </c>
      <c r="C88" s="26" t="s">
        <v>87</v>
      </c>
      <c r="D88" s="92">
        <v>14000</v>
      </c>
      <c r="E88" s="92">
        <v>84000</v>
      </c>
    </row>
    <row r="89" spans="1:5" x14ac:dyDescent="0.25">
      <c r="A89" s="26" t="s">
        <v>2081</v>
      </c>
      <c r="B89" s="26" t="s">
        <v>1811</v>
      </c>
      <c r="C89" s="26" t="s">
        <v>157</v>
      </c>
      <c r="D89" s="92"/>
      <c r="E89" s="92">
        <v>12275</v>
      </c>
    </row>
    <row r="90" spans="1:5" x14ac:dyDescent="0.25">
      <c r="A90" s="26" t="s">
        <v>1968</v>
      </c>
      <c r="B90" s="26" t="s">
        <v>1836</v>
      </c>
      <c r="C90" s="26" t="s">
        <v>190</v>
      </c>
      <c r="D90" s="92"/>
      <c r="E90" s="92">
        <v>9500</v>
      </c>
    </row>
    <row r="91" spans="1:5" x14ac:dyDescent="0.25">
      <c r="A91" s="26" t="s">
        <v>2037</v>
      </c>
      <c r="B91" s="26" t="s">
        <v>13</v>
      </c>
      <c r="C91" s="26" t="s">
        <v>14</v>
      </c>
      <c r="D91" s="92">
        <v>76000</v>
      </c>
      <c r="E91" s="92">
        <v>15460</v>
      </c>
    </row>
    <row r="92" spans="1:5" x14ac:dyDescent="0.25">
      <c r="A92" s="26" t="s">
        <v>117</v>
      </c>
      <c r="B92" s="26" t="s">
        <v>118</v>
      </c>
      <c r="C92" s="26" t="s">
        <v>116</v>
      </c>
      <c r="D92" s="92">
        <v>45000</v>
      </c>
      <c r="E92" s="92">
        <v>102477</v>
      </c>
    </row>
    <row r="93" spans="1:5" x14ac:dyDescent="0.25">
      <c r="A93" s="26" t="s">
        <v>2039</v>
      </c>
      <c r="B93" s="26" t="s">
        <v>2040</v>
      </c>
      <c r="C93" s="26" t="s">
        <v>11</v>
      </c>
      <c r="D93" s="92"/>
      <c r="E93" s="92">
        <v>29480</v>
      </c>
    </row>
    <row r="94" spans="1:5" x14ac:dyDescent="0.25">
      <c r="A94" s="26" t="s">
        <v>64</v>
      </c>
      <c r="B94" s="26" t="s">
        <v>65</v>
      </c>
      <c r="C94" s="26" t="s">
        <v>59</v>
      </c>
      <c r="D94" s="92"/>
      <c r="E94" s="92">
        <v>14000</v>
      </c>
    </row>
    <row r="95" spans="1:5" x14ac:dyDescent="0.25">
      <c r="A95" s="26" t="s">
        <v>176</v>
      </c>
      <c r="B95" s="26" t="s">
        <v>177</v>
      </c>
      <c r="C95" s="26" t="s">
        <v>175</v>
      </c>
      <c r="D95" s="92"/>
      <c r="E95" s="92">
        <v>12074</v>
      </c>
    </row>
    <row r="96" spans="1:5" x14ac:dyDescent="0.25">
      <c r="A96" s="26" t="s">
        <v>54</v>
      </c>
      <c r="B96" s="26" t="s">
        <v>55</v>
      </c>
      <c r="C96" s="26" t="s">
        <v>50</v>
      </c>
      <c r="D96" s="92">
        <v>0</v>
      </c>
      <c r="E96" s="92">
        <v>10140</v>
      </c>
    </row>
    <row r="97" spans="1:5" x14ac:dyDescent="0.25">
      <c r="A97" s="26" t="s">
        <v>43</v>
      </c>
      <c r="B97" s="26" t="s">
        <v>44</v>
      </c>
      <c r="C97" s="26" t="s">
        <v>41</v>
      </c>
      <c r="D97" s="92">
        <v>0</v>
      </c>
      <c r="E97" s="92">
        <v>147792</v>
      </c>
    </row>
    <row r="98" spans="1:5" x14ac:dyDescent="0.25">
      <c r="A98" s="26" t="s">
        <v>1828</v>
      </c>
      <c r="B98" s="26" t="s">
        <v>1812</v>
      </c>
      <c r="C98" s="26" t="s">
        <v>1829</v>
      </c>
      <c r="D98" s="92"/>
      <c r="E98" s="92">
        <v>2120</v>
      </c>
    </row>
    <row r="99" spans="1:5" x14ac:dyDescent="0.25">
      <c r="A99" s="26" t="s">
        <v>61</v>
      </c>
      <c r="B99" s="26" t="s">
        <v>62</v>
      </c>
      <c r="C99" s="26" t="s">
        <v>63</v>
      </c>
      <c r="D99" s="92">
        <v>12000</v>
      </c>
      <c r="E99" s="92">
        <v>8000</v>
      </c>
    </row>
    <row r="100" spans="1:5" x14ac:dyDescent="0.25">
      <c r="A100" s="26" t="s">
        <v>21</v>
      </c>
      <c r="B100" s="26" t="s">
        <v>22</v>
      </c>
      <c r="C100" s="26" t="s">
        <v>23</v>
      </c>
      <c r="D100" s="92">
        <v>15000</v>
      </c>
      <c r="E100" s="92">
        <v>1025</v>
      </c>
    </row>
    <row r="101" spans="1:5" x14ac:dyDescent="0.25">
      <c r="A101" s="26" t="s">
        <v>224</v>
      </c>
      <c r="B101" s="26" t="s">
        <v>225</v>
      </c>
      <c r="C101" s="26" t="s">
        <v>222</v>
      </c>
      <c r="D101" s="92">
        <v>16000</v>
      </c>
      <c r="E101" s="92">
        <v>32000</v>
      </c>
    </row>
    <row r="102" spans="1:5" x14ac:dyDescent="0.25">
      <c r="A102" s="26" t="s">
        <v>1913</v>
      </c>
      <c r="B102" s="26" t="s">
        <v>1768</v>
      </c>
      <c r="C102" s="26" t="s">
        <v>968</v>
      </c>
      <c r="D102" s="92">
        <v>1400</v>
      </c>
      <c r="E102" s="92">
        <v>700</v>
      </c>
    </row>
    <row r="103" spans="1:5" x14ac:dyDescent="0.25">
      <c r="A103" s="26" t="s">
        <v>1073</v>
      </c>
      <c r="B103" s="26" t="s">
        <v>1074</v>
      </c>
      <c r="C103" s="26" t="s">
        <v>1070</v>
      </c>
      <c r="D103" s="92">
        <v>800</v>
      </c>
      <c r="E103" s="92">
        <v>600</v>
      </c>
    </row>
    <row r="104" spans="1:5" x14ac:dyDescent="0.25">
      <c r="A104" s="26" t="s">
        <v>66</v>
      </c>
      <c r="B104" s="26" t="s">
        <v>67</v>
      </c>
      <c r="C104" s="26" t="s">
        <v>59</v>
      </c>
      <c r="D104" s="92">
        <v>5500</v>
      </c>
      <c r="E104" s="92">
        <v>5500</v>
      </c>
    </row>
    <row r="105" spans="1:5" x14ac:dyDescent="0.25">
      <c r="A105" s="26" t="s">
        <v>1066</v>
      </c>
      <c r="B105" s="26" t="s">
        <v>1067</v>
      </c>
      <c r="C105" s="26" t="s">
        <v>1065</v>
      </c>
      <c r="D105" s="92"/>
      <c r="E105" s="92">
        <v>5060</v>
      </c>
    </row>
    <row r="106" spans="1:5" x14ac:dyDescent="0.25">
      <c r="A106" s="26" t="s">
        <v>1068</v>
      </c>
      <c r="B106" s="26" t="s">
        <v>1069</v>
      </c>
      <c r="C106" s="26" t="s">
        <v>1070</v>
      </c>
      <c r="D106" s="92"/>
      <c r="E106" s="92">
        <v>6542</v>
      </c>
    </row>
    <row r="107" spans="1:5" x14ac:dyDescent="0.25">
      <c r="A107" s="26" t="s">
        <v>1484</v>
      </c>
      <c r="B107" s="26" t="s">
        <v>1485</v>
      </c>
      <c r="C107" s="26" t="s">
        <v>350</v>
      </c>
      <c r="D107" s="92"/>
      <c r="E107" s="92">
        <v>1000</v>
      </c>
    </row>
    <row r="108" spans="1:5" x14ac:dyDescent="0.25">
      <c r="A108" s="26" t="s">
        <v>1733</v>
      </c>
      <c r="B108" s="26" t="s">
        <v>35</v>
      </c>
      <c r="C108" s="26" t="s">
        <v>34</v>
      </c>
      <c r="D108" s="92">
        <v>4000</v>
      </c>
      <c r="E108" s="92">
        <v>0</v>
      </c>
    </row>
    <row r="109" spans="1:5" x14ac:dyDescent="0.25">
      <c r="A109" s="26" t="s">
        <v>2032</v>
      </c>
      <c r="B109" s="26" t="s">
        <v>1814</v>
      </c>
      <c r="C109" s="26" t="s">
        <v>87</v>
      </c>
      <c r="D109" s="92"/>
      <c r="E109" s="92">
        <v>36000</v>
      </c>
    </row>
    <row r="110" spans="1:5" x14ac:dyDescent="0.25">
      <c r="A110" s="26" t="s">
        <v>2079</v>
      </c>
      <c r="B110" s="26" t="s">
        <v>1812</v>
      </c>
      <c r="C110" s="26" t="s">
        <v>1829</v>
      </c>
      <c r="D110" s="92"/>
      <c r="E110" s="92">
        <v>7225</v>
      </c>
    </row>
    <row r="111" spans="1:5" x14ac:dyDescent="0.25">
      <c r="A111" s="26" t="s">
        <v>74</v>
      </c>
      <c r="B111" s="26" t="s">
        <v>75</v>
      </c>
      <c r="C111" s="26" t="s">
        <v>73</v>
      </c>
      <c r="D111" s="92"/>
      <c r="E111" s="92">
        <v>18000</v>
      </c>
    </row>
    <row r="112" spans="1:5" x14ac:dyDescent="0.25">
      <c r="A112" s="26" t="s">
        <v>498</v>
      </c>
      <c r="B112" s="26" t="s">
        <v>499</v>
      </c>
      <c r="C112" s="26" t="s">
        <v>491</v>
      </c>
      <c r="D112" s="92">
        <v>25</v>
      </c>
      <c r="E112" s="92">
        <v>91</v>
      </c>
    </row>
    <row r="113" spans="1:5" x14ac:dyDescent="0.25">
      <c r="A113" s="26" t="s">
        <v>518</v>
      </c>
      <c r="B113" s="26" t="s">
        <v>519</v>
      </c>
      <c r="C113" s="26" t="s">
        <v>515</v>
      </c>
      <c r="D113" s="92"/>
      <c r="E113" s="92">
        <v>222</v>
      </c>
    </row>
    <row r="114" spans="1:5" x14ac:dyDescent="0.25">
      <c r="A114" s="26" t="s">
        <v>520</v>
      </c>
      <c r="B114" s="26" t="s">
        <v>521</v>
      </c>
      <c r="C114" s="26" t="s">
        <v>515</v>
      </c>
      <c r="D114" s="92">
        <v>48</v>
      </c>
      <c r="E114" s="92">
        <v>27</v>
      </c>
    </row>
    <row r="115" spans="1:5" x14ac:dyDescent="0.25">
      <c r="A115" s="26" t="s">
        <v>445</v>
      </c>
      <c r="B115" s="26" t="s">
        <v>446</v>
      </c>
      <c r="C115" s="26" t="s">
        <v>438</v>
      </c>
      <c r="D115" s="92"/>
      <c r="E115" s="92">
        <v>1500</v>
      </c>
    </row>
    <row r="116" spans="1:5" x14ac:dyDescent="0.25">
      <c r="A116" s="26" t="s">
        <v>673</v>
      </c>
      <c r="B116" s="26" t="s">
        <v>674</v>
      </c>
      <c r="C116" s="26" t="s">
        <v>675</v>
      </c>
      <c r="D116" s="92"/>
      <c r="E116" s="92">
        <v>126</v>
      </c>
    </row>
    <row r="117" spans="1:5" x14ac:dyDescent="0.25">
      <c r="A117" s="26" t="s">
        <v>798</v>
      </c>
      <c r="B117" s="26" t="s">
        <v>799</v>
      </c>
      <c r="C117" s="26" t="s">
        <v>795</v>
      </c>
      <c r="D117" s="92"/>
      <c r="E117" s="92">
        <v>350</v>
      </c>
    </row>
    <row r="118" spans="1:5" x14ac:dyDescent="0.25">
      <c r="A118" s="26" t="s">
        <v>803</v>
      </c>
      <c r="B118" s="26" t="s">
        <v>804</v>
      </c>
      <c r="C118" s="26" t="s">
        <v>802</v>
      </c>
      <c r="D118" s="92"/>
      <c r="E118" s="92">
        <v>114</v>
      </c>
    </row>
    <row r="119" spans="1:5" x14ac:dyDescent="0.25">
      <c r="A119" s="26" t="s">
        <v>1526</v>
      </c>
      <c r="B119" s="26" t="s">
        <v>1527</v>
      </c>
      <c r="C119" s="26" t="s">
        <v>923</v>
      </c>
      <c r="D119" s="92"/>
      <c r="E119" s="92">
        <v>15</v>
      </c>
    </row>
    <row r="120" spans="1:5" x14ac:dyDescent="0.25">
      <c r="A120" s="26" t="s">
        <v>1107</v>
      </c>
      <c r="B120" s="26" t="s">
        <v>1108</v>
      </c>
      <c r="C120" s="26" t="s">
        <v>1080</v>
      </c>
      <c r="D120" s="92"/>
      <c r="E120" s="92">
        <v>0</v>
      </c>
    </row>
    <row r="121" spans="1:5" x14ac:dyDescent="0.25">
      <c r="A121" s="26" t="s">
        <v>1402</v>
      </c>
      <c r="B121" s="26" t="s">
        <v>726</v>
      </c>
      <c r="C121" s="26" t="s">
        <v>592</v>
      </c>
      <c r="D121" s="92">
        <v>26250</v>
      </c>
      <c r="E121" s="92">
        <v>131250</v>
      </c>
    </row>
    <row r="122" spans="1:5" x14ac:dyDescent="0.25">
      <c r="A122" s="26" t="s">
        <v>851</v>
      </c>
      <c r="B122" s="26" t="s">
        <v>852</v>
      </c>
      <c r="C122" s="26" t="s">
        <v>853</v>
      </c>
      <c r="D122" s="92"/>
      <c r="E122" s="92">
        <v>469</v>
      </c>
    </row>
    <row r="123" spans="1:5" x14ac:dyDescent="0.25">
      <c r="A123" s="26" t="s">
        <v>575</v>
      </c>
      <c r="B123" s="26" t="s">
        <v>576</v>
      </c>
      <c r="C123" s="26" t="s">
        <v>1835</v>
      </c>
      <c r="D123" s="92"/>
      <c r="E123" s="92">
        <v>246</v>
      </c>
    </row>
    <row r="124" spans="1:5" x14ac:dyDescent="0.25">
      <c r="A124" s="26" t="s">
        <v>744</v>
      </c>
      <c r="B124" s="26" t="s">
        <v>745</v>
      </c>
      <c r="C124" s="26" t="s">
        <v>746</v>
      </c>
      <c r="D124" s="92"/>
      <c r="E124" s="92">
        <v>200</v>
      </c>
    </row>
    <row r="125" spans="1:5" x14ac:dyDescent="0.25">
      <c r="A125" s="26" t="s">
        <v>567</v>
      </c>
      <c r="B125" s="26" t="s">
        <v>568</v>
      </c>
      <c r="C125" s="26" t="s">
        <v>569</v>
      </c>
      <c r="D125" s="92">
        <v>70</v>
      </c>
      <c r="E125" s="92">
        <v>668</v>
      </c>
    </row>
    <row r="126" spans="1:5" x14ac:dyDescent="0.25">
      <c r="A126" s="26" t="s">
        <v>741</v>
      </c>
      <c r="B126" s="26" t="s">
        <v>742</v>
      </c>
      <c r="C126" s="26" t="s">
        <v>743</v>
      </c>
      <c r="D126" s="92"/>
      <c r="E126" s="92">
        <v>100</v>
      </c>
    </row>
    <row r="127" spans="1:5" x14ac:dyDescent="0.25">
      <c r="A127" s="26" t="s">
        <v>1732</v>
      </c>
      <c r="B127" s="26" t="s">
        <v>721</v>
      </c>
      <c r="C127" s="26" t="s">
        <v>722</v>
      </c>
      <c r="D127" s="92"/>
      <c r="E127" s="92">
        <v>117</v>
      </c>
    </row>
    <row r="128" spans="1:5" x14ac:dyDescent="0.25">
      <c r="A128" s="26" t="s">
        <v>2130</v>
      </c>
      <c r="B128" s="26" t="s">
        <v>745</v>
      </c>
      <c r="C128" s="26" t="s">
        <v>2131</v>
      </c>
      <c r="D128" s="92"/>
      <c r="E128" s="92">
        <v>100</v>
      </c>
    </row>
    <row r="129" spans="1:5" x14ac:dyDescent="0.25">
      <c r="A129" s="26" t="s">
        <v>752</v>
      </c>
      <c r="B129" s="26" t="s">
        <v>753</v>
      </c>
      <c r="C129" s="26" t="s">
        <v>751</v>
      </c>
      <c r="D129" s="92"/>
      <c r="E129" s="92">
        <v>19</v>
      </c>
    </row>
    <row r="130" spans="1:5" x14ac:dyDescent="0.25">
      <c r="A130" s="26" t="s">
        <v>363</v>
      </c>
      <c r="B130" s="26" t="s">
        <v>364</v>
      </c>
      <c r="C130" s="26" t="s">
        <v>362</v>
      </c>
      <c r="D130" s="92">
        <v>2965</v>
      </c>
      <c r="E130" s="92">
        <v>550</v>
      </c>
    </row>
    <row r="131" spans="1:5" x14ac:dyDescent="0.25">
      <c r="A131" s="26" t="s">
        <v>507</v>
      </c>
      <c r="B131" s="26" t="s">
        <v>508</v>
      </c>
      <c r="C131" s="26" t="s">
        <v>506</v>
      </c>
      <c r="D131" s="92">
        <v>400</v>
      </c>
      <c r="E131" s="92">
        <v>23</v>
      </c>
    </row>
    <row r="132" spans="1:5" x14ac:dyDescent="0.25">
      <c r="A132" s="26" t="s">
        <v>534</v>
      </c>
      <c r="B132" s="26" t="s">
        <v>535</v>
      </c>
      <c r="C132" s="26" t="s">
        <v>536</v>
      </c>
      <c r="D132" s="92">
        <v>50</v>
      </c>
      <c r="E132" s="92">
        <v>6450</v>
      </c>
    </row>
    <row r="133" spans="1:5" x14ac:dyDescent="0.25">
      <c r="A133" s="26" t="s">
        <v>713</v>
      </c>
      <c r="B133" s="26" t="s">
        <v>714</v>
      </c>
      <c r="C133" s="26" t="s">
        <v>1122</v>
      </c>
      <c r="D133" s="92">
        <v>250</v>
      </c>
      <c r="E133" s="92">
        <v>750</v>
      </c>
    </row>
    <row r="134" spans="1:5" x14ac:dyDescent="0.25">
      <c r="A134" s="26" t="s">
        <v>713</v>
      </c>
      <c r="B134" s="26"/>
      <c r="C134" s="26" t="s">
        <v>712</v>
      </c>
      <c r="D134" s="92"/>
      <c r="E134" s="92">
        <v>45</v>
      </c>
    </row>
    <row r="135" spans="1:5" x14ac:dyDescent="0.25">
      <c r="A135" s="26" t="s">
        <v>933</v>
      </c>
      <c r="B135" s="26" t="s">
        <v>934</v>
      </c>
      <c r="C135" s="26" t="s">
        <v>935</v>
      </c>
      <c r="D135" s="92">
        <v>150</v>
      </c>
      <c r="E135" s="92">
        <v>225</v>
      </c>
    </row>
    <row r="136" spans="1:5" x14ac:dyDescent="0.25">
      <c r="A136" s="26" t="s">
        <v>1158</v>
      </c>
      <c r="B136" s="26" t="s">
        <v>1159</v>
      </c>
      <c r="C136" s="26" t="s">
        <v>1080</v>
      </c>
      <c r="D136" s="92"/>
      <c r="E136" s="92">
        <v>328</v>
      </c>
    </row>
    <row r="137" spans="1:5" x14ac:dyDescent="0.25">
      <c r="A137" s="26" t="s">
        <v>1158</v>
      </c>
      <c r="B137" s="26" t="s">
        <v>1950</v>
      </c>
      <c r="C137" s="26" t="s">
        <v>472</v>
      </c>
      <c r="D137" s="92"/>
      <c r="E137" s="92">
        <v>328</v>
      </c>
    </row>
    <row r="138" spans="1:5" x14ac:dyDescent="0.25">
      <c r="A138" s="26" t="s">
        <v>626</v>
      </c>
      <c r="B138" s="26" t="s">
        <v>627</v>
      </c>
      <c r="C138" s="26" t="s">
        <v>625</v>
      </c>
      <c r="D138" s="92">
        <v>250</v>
      </c>
      <c r="E138" s="92">
        <v>2375</v>
      </c>
    </row>
    <row r="139" spans="1:5" x14ac:dyDescent="0.25">
      <c r="A139" s="26" t="s">
        <v>619</v>
      </c>
      <c r="B139" s="26" t="s">
        <v>620</v>
      </c>
      <c r="C139" s="26" t="s">
        <v>616</v>
      </c>
      <c r="D139" s="92">
        <v>25</v>
      </c>
      <c r="E139" s="92">
        <v>275</v>
      </c>
    </row>
    <row r="140" spans="1:5" x14ac:dyDescent="0.25">
      <c r="A140" s="26" t="s">
        <v>408</v>
      </c>
      <c r="B140" s="26" t="s">
        <v>409</v>
      </c>
      <c r="C140" s="26" t="s">
        <v>407</v>
      </c>
      <c r="D140" s="92">
        <v>65595</v>
      </c>
      <c r="E140" s="92">
        <v>18405</v>
      </c>
    </row>
    <row r="141" spans="1:5" x14ac:dyDescent="0.25">
      <c r="A141" s="26" t="s">
        <v>388</v>
      </c>
      <c r="B141" s="26" t="s">
        <v>389</v>
      </c>
      <c r="C141" s="26" t="s">
        <v>385</v>
      </c>
      <c r="D141" s="92"/>
      <c r="E141" s="92">
        <v>600</v>
      </c>
    </row>
    <row r="142" spans="1:5" x14ac:dyDescent="0.25">
      <c r="A142" s="26" t="s">
        <v>710</v>
      </c>
      <c r="B142" s="26" t="s">
        <v>711</v>
      </c>
      <c r="C142" s="26" t="s">
        <v>712</v>
      </c>
      <c r="D142" s="92"/>
      <c r="E142" s="92">
        <v>302</v>
      </c>
    </row>
    <row r="143" spans="1:5" x14ac:dyDescent="0.25">
      <c r="A143" s="26" t="s">
        <v>1863</v>
      </c>
      <c r="B143" s="26" t="s">
        <v>1977</v>
      </c>
      <c r="C143" s="26" t="s">
        <v>1829</v>
      </c>
      <c r="D143" s="92">
        <v>24680</v>
      </c>
      <c r="E143" s="92">
        <v>29000</v>
      </c>
    </row>
    <row r="144" spans="1:5" x14ac:dyDescent="0.25">
      <c r="A144" s="26" t="s">
        <v>1019</v>
      </c>
      <c r="B144" s="26" t="s">
        <v>1020</v>
      </c>
      <c r="C144" s="26" t="s">
        <v>1021</v>
      </c>
      <c r="D144" s="92">
        <v>352</v>
      </c>
      <c r="E144" s="92">
        <v>0</v>
      </c>
    </row>
    <row r="145" spans="1:5" x14ac:dyDescent="0.25">
      <c r="A145" s="26" t="s">
        <v>2141</v>
      </c>
      <c r="B145" s="26" t="s">
        <v>2142</v>
      </c>
      <c r="C145" s="26" t="s">
        <v>903</v>
      </c>
      <c r="D145" s="92"/>
      <c r="E145" s="92">
        <v>120</v>
      </c>
    </row>
    <row r="146" spans="1:5" x14ac:dyDescent="0.25">
      <c r="A146" s="26" t="s">
        <v>686</v>
      </c>
      <c r="B146" s="26" t="s">
        <v>687</v>
      </c>
      <c r="C146" s="26" t="s">
        <v>688</v>
      </c>
      <c r="D146" s="92">
        <v>2000</v>
      </c>
      <c r="E146" s="92">
        <v>18500</v>
      </c>
    </row>
    <row r="147" spans="1:5" x14ac:dyDescent="0.25">
      <c r="A147" s="26" t="s">
        <v>226</v>
      </c>
      <c r="B147" s="26" t="s">
        <v>227</v>
      </c>
      <c r="C147" s="26" t="s">
        <v>222</v>
      </c>
      <c r="D147" s="92">
        <v>48000</v>
      </c>
      <c r="E147" s="92">
        <v>16000</v>
      </c>
    </row>
    <row r="148" spans="1:5" x14ac:dyDescent="0.25">
      <c r="A148" s="26" t="s">
        <v>643</v>
      </c>
      <c r="B148" s="26" t="s">
        <v>644</v>
      </c>
      <c r="C148" s="26" t="s">
        <v>642</v>
      </c>
      <c r="D148" s="92"/>
      <c r="E148" s="92">
        <v>1700</v>
      </c>
    </row>
    <row r="149" spans="1:5" x14ac:dyDescent="0.25">
      <c r="A149" s="26" t="s">
        <v>1154</v>
      </c>
      <c r="B149" s="26" t="s">
        <v>1155</v>
      </c>
      <c r="C149" s="26" t="s">
        <v>1080</v>
      </c>
      <c r="D149" s="92"/>
      <c r="E149" s="92">
        <v>650</v>
      </c>
    </row>
    <row r="150" spans="1:5" x14ac:dyDescent="0.25">
      <c r="A150" s="26" t="s">
        <v>1893</v>
      </c>
      <c r="B150" s="26" t="s">
        <v>1475</v>
      </c>
      <c r="C150" s="26" t="s">
        <v>828</v>
      </c>
      <c r="D150" s="92"/>
      <c r="E150" s="92">
        <v>108</v>
      </c>
    </row>
    <row r="151" spans="1:5" x14ac:dyDescent="0.25">
      <c r="A151" s="26" t="s">
        <v>875</v>
      </c>
      <c r="B151" s="26" t="s">
        <v>876</v>
      </c>
      <c r="C151" s="26" t="s">
        <v>877</v>
      </c>
      <c r="D151" s="92">
        <v>400</v>
      </c>
      <c r="E151" s="92">
        <v>10600</v>
      </c>
    </row>
    <row r="152" spans="1:5" x14ac:dyDescent="0.25">
      <c r="A152" s="26" t="s">
        <v>197</v>
      </c>
      <c r="B152" s="26" t="s">
        <v>103</v>
      </c>
      <c r="C152" s="26" t="s">
        <v>196</v>
      </c>
      <c r="D152" s="92"/>
      <c r="E152" s="92">
        <v>4000</v>
      </c>
    </row>
    <row r="153" spans="1:5" x14ac:dyDescent="0.25">
      <c r="A153" s="26" t="s">
        <v>1476</v>
      </c>
      <c r="B153" s="26" t="s">
        <v>1126</v>
      </c>
      <c r="C153" s="26" t="s">
        <v>825</v>
      </c>
      <c r="D153" s="92"/>
      <c r="E153" s="92">
        <v>321</v>
      </c>
    </row>
    <row r="154" spans="1:5" x14ac:dyDescent="0.25">
      <c r="A154" s="26" t="s">
        <v>2000</v>
      </c>
      <c r="B154" s="26" t="s">
        <v>1970</v>
      </c>
      <c r="C154" s="26" t="s">
        <v>1881</v>
      </c>
      <c r="D154" s="92"/>
      <c r="E154" s="92">
        <v>1000</v>
      </c>
    </row>
    <row r="155" spans="1:5" x14ac:dyDescent="0.25">
      <c r="A155" s="26" t="s">
        <v>280</v>
      </c>
      <c r="B155" s="26" t="s">
        <v>1490</v>
      </c>
      <c r="C155" s="26" t="s">
        <v>279</v>
      </c>
      <c r="D155" s="92">
        <v>450</v>
      </c>
      <c r="E155" s="92">
        <v>2331</v>
      </c>
    </row>
    <row r="156" spans="1:5" x14ac:dyDescent="0.25">
      <c r="A156" s="26" t="s">
        <v>1060</v>
      </c>
      <c r="B156" s="26" t="s">
        <v>1061</v>
      </c>
      <c r="C156" s="26" t="s">
        <v>1059</v>
      </c>
      <c r="D156" s="92"/>
      <c r="E156" s="92">
        <v>6300</v>
      </c>
    </row>
    <row r="157" spans="1:5" x14ac:dyDescent="0.25">
      <c r="A157" s="26" t="s">
        <v>366</v>
      </c>
      <c r="B157" s="26" t="s">
        <v>367</v>
      </c>
      <c r="C157" s="26" t="s">
        <v>368</v>
      </c>
      <c r="D157" s="92">
        <v>22525</v>
      </c>
      <c r="E157" s="92">
        <v>28425</v>
      </c>
    </row>
    <row r="158" spans="1:5" x14ac:dyDescent="0.25">
      <c r="A158" s="26" t="s">
        <v>812</v>
      </c>
      <c r="B158" s="26" t="s">
        <v>813</v>
      </c>
      <c r="C158" s="26" t="s">
        <v>814</v>
      </c>
      <c r="D158" s="92"/>
      <c r="E158" s="92">
        <v>187</v>
      </c>
    </row>
    <row r="159" spans="1:5" x14ac:dyDescent="0.25">
      <c r="A159" s="26" t="s">
        <v>48</v>
      </c>
      <c r="B159" s="26" t="s">
        <v>49</v>
      </c>
      <c r="C159" s="26" t="s">
        <v>50</v>
      </c>
      <c r="D159" s="92">
        <v>0</v>
      </c>
      <c r="E159" s="92">
        <v>6832</v>
      </c>
    </row>
    <row r="160" spans="1:5" x14ac:dyDescent="0.25">
      <c r="A160" s="26" t="s">
        <v>94</v>
      </c>
      <c r="B160" s="26" t="s">
        <v>95</v>
      </c>
      <c r="C160" s="26" t="s">
        <v>93</v>
      </c>
      <c r="D160" s="92"/>
      <c r="E160" s="92">
        <v>59945</v>
      </c>
    </row>
    <row r="161" spans="1:5" x14ac:dyDescent="0.25">
      <c r="A161" s="26" t="s">
        <v>57</v>
      </c>
      <c r="B161" s="26" t="s">
        <v>58</v>
      </c>
      <c r="C161" s="26" t="s">
        <v>59</v>
      </c>
      <c r="D161" s="92">
        <v>45000</v>
      </c>
      <c r="E161" s="92">
        <v>61709</v>
      </c>
    </row>
    <row r="162" spans="1:5" x14ac:dyDescent="0.25">
      <c r="A162" s="26" t="s">
        <v>160</v>
      </c>
      <c r="B162" s="26" t="s">
        <v>161</v>
      </c>
      <c r="C162" s="26" t="s">
        <v>162</v>
      </c>
      <c r="D162" s="92"/>
      <c r="E162" s="92">
        <v>10000</v>
      </c>
    </row>
    <row r="163" spans="1:5" x14ac:dyDescent="0.25">
      <c r="A163" s="26" t="s">
        <v>160</v>
      </c>
      <c r="B163" s="26"/>
      <c r="C163" s="26" t="s">
        <v>164</v>
      </c>
      <c r="D163" s="92"/>
      <c r="E163" s="92">
        <v>20000</v>
      </c>
    </row>
    <row r="164" spans="1:5" x14ac:dyDescent="0.25">
      <c r="A164" s="26" t="s">
        <v>39</v>
      </c>
      <c r="B164" s="26" t="s">
        <v>40</v>
      </c>
      <c r="C164" s="26" t="s">
        <v>99</v>
      </c>
      <c r="D164" s="92"/>
      <c r="E164" s="92">
        <v>66039</v>
      </c>
    </row>
    <row r="165" spans="1:5" x14ac:dyDescent="0.25">
      <c r="A165" s="26" t="s">
        <v>158</v>
      </c>
      <c r="B165" s="26" t="s">
        <v>159</v>
      </c>
      <c r="C165" s="26" t="s">
        <v>144</v>
      </c>
      <c r="D165" s="92"/>
      <c r="E165" s="92">
        <v>200</v>
      </c>
    </row>
    <row r="166" spans="1:5" x14ac:dyDescent="0.25">
      <c r="A166" s="26" t="s">
        <v>126</v>
      </c>
      <c r="B166" s="26" t="s">
        <v>89</v>
      </c>
      <c r="C166" s="26" t="s">
        <v>127</v>
      </c>
      <c r="D166" s="92">
        <v>63300</v>
      </c>
      <c r="E166" s="92">
        <v>92500</v>
      </c>
    </row>
    <row r="167" spans="1:5" x14ac:dyDescent="0.25">
      <c r="A167" s="26" t="s">
        <v>132</v>
      </c>
      <c r="B167" s="26" t="s">
        <v>133</v>
      </c>
      <c r="C167" s="26" t="s">
        <v>130</v>
      </c>
      <c r="D167" s="92">
        <v>30000</v>
      </c>
      <c r="E167" s="92">
        <v>43208</v>
      </c>
    </row>
    <row r="168" spans="1:5" x14ac:dyDescent="0.25">
      <c r="A168" s="26" t="s">
        <v>2038</v>
      </c>
      <c r="B168" s="26" t="s">
        <v>10</v>
      </c>
      <c r="C168" s="26" t="s">
        <v>87</v>
      </c>
      <c r="D168" s="92"/>
      <c r="E168" s="92">
        <v>61239</v>
      </c>
    </row>
    <row r="169" spans="1:5" x14ac:dyDescent="0.25">
      <c r="A169" s="26" t="s">
        <v>109</v>
      </c>
      <c r="B169" s="26" t="s">
        <v>110</v>
      </c>
      <c r="C169" s="26" t="s">
        <v>99</v>
      </c>
      <c r="D169" s="92">
        <v>81000</v>
      </c>
      <c r="E169" s="92">
        <v>27000</v>
      </c>
    </row>
    <row r="170" spans="1:5" x14ac:dyDescent="0.25">
      <c r="A170" s="26" t="s">
        <v>1785</v>
      </c>
      <c r="B170" s="26" t="s">
        <v>5</v>
      </c>
      <c r="C170" s="26" t="s">
        <v>1929</v>
      </c>
      <c r="D170" s="92">
        <v>24750</v>
      </c>
      <c r="E170" s="92">
        <v>74886</v>
      </c>
    </row>
    <row r="171" spans="1:5" x14ac:dyDescent="0.25">
      <c r="A171" s="26" t="s">
        <v>1785</v>
      </c>
      <c r="B171" s="26"/>
      <c r="C171" s="26" t="s">
        <v>2026</v>
      </c>
      <c r="D171" s="92">
        <v>8250</v>
      </c>
      <c r="E171" s="92">
        <v>156710</v>
      </c>
    </row>
    <row r="172" spans="1:5" x14ac:dyDescent="0.25">
      <c r="A172" s="26" t="s">
        <v>114</v>
      </c>
      <c r="B172" s="26" t="s">
        <v>115</v>
      </c>
      <c r="C172" s="26" t="s">
        <v>116</v>
      </c>
      <c r="D172" s="92">
        <v>15000</v>
      </c>
      <c r="E172" s="92">
        <v>120475</v>
      </c>
    </row>
    <row r="173" spans="1:5" x14ac:dyDescent="0.25">
      <c r="A173" s="26" t="s">
        <v>1839</v>
      </c>
      <c r="B173" s="26" t="s">
        <v>1838</v>
      </c>
      <c r="C173" s="26" t="s">
        <v>50</v>
      </c>
      <c r="D173" s="92"/>
      <c r="E173" s="92">
        <v>16000</v>
      </c>
    </row>
    <row r="174" spans="1:5" x14ac:dyDescent="0.25">
      <c r="A174" s="26" t="s">
        <v>1446</v>
      </c>
      <c r="B174" s="26" t="s">
        <v>1447</v>
      </c>
      <c r="C174" s="26" t="s">
        <v>80</v>
      </c>
      <c r="D174" s="92">
        <v>12600</v>
      </c>
      <c r="E174" s="92">
        <v>4956</v>
      </c>
    </row>
    <row r="175" spans="1:5" x14ac:dyDescent="0.25">
      <c r="A175" s="26" t="s">
        <v>1837</v>
      </c>
      <c r="B175" s="26" t="s">
        <v>1805</v>
      </c>
      <c r="C175" s="26" t="s">
        <v>1829</v>
      </c>
      <c r="D175" s="92">
        <v>2000</v>
      </c>
      <c r="E175" s="92">
        <v>0</v>
      </c>
    </row>
    <row r="176" spans="1:5" x14ac:dyDescent="0.25">
      <c r="A176" s="26" t="s">
        <v>2030</v>
      </c>
      <c r="B176" s="26" t="s">
        <v>125</v>
      </c>
      <c r="C176" s="26" t="s">
        <v>124</v>
      </c>
      <c r="D176" s="92">
        <v>27000</v>
      </c>
      <c r="E176" s="92">
        <v>127408</v>
      </c>
    </row>
    <row r="177" spans="1:5" x14ac:dyDescent="0.25">
      <c r="A177" s="26" t="s">
        <v>147</v>
      </c>
      <c r="B177" s="26" t="s">
        <v>148</v>
      </c>
      <c r="C177" s="26" t="s">
        <v>144</v>
      </c>
      <c r="D177" s="92"/>
      <c r="E177" s="92">
        <v>200</v>
      </c>
    </row>
    <row r="178" spans="1:5" x14ac:dyDescent="0.25">
      <c r="A178" s="26" t="s">
        <v>102</v>
      </c>
      <c r="B178" s="26" t="s">
        <v>103</v>
      </c>
      <c r="C178" s="26" t="s">
        <v>2026</v>
      </c>
      <c r="D178" s="92"/>
      <c r="E178" s="92">
        <v>77000</v>
      </c>
    </row>
    <row r="179" spans="1:5" x14ac:dyDescent="0.25">
      <c r="A179" s="26" t="s">
        <v>142</v>
      </c>
      <c r="B179" s="26" t="s">
        <v>143</v>
      </c>
      <c r="C179" s="26" t="s">
        <v>144</v>
      </c>
      <c r="D179" s="92"/>
      <c r="E179" s="92">
        <v>60</v>
      </c>
    </row>
    <row r="180" spans="1:5" x14ac:dyDescent="0.25">
      <c r="A180" s="26" t="s">
        <v>26</v>
      </c>
      <c r="B180" s="26" t="s">
        <v>27</v>
      </c>
      <c r="C180" s="26" t="s">
        <v>28</v>
      </c>
      <c r="D180" s="92">
        <v>0</v>
      </c>
      <c r="E180" s="92">
        <v>1000</v>
      </c>
    </row>
    <row r="181" spans="1:5" x14ac:dyDescent="0.25">
      <c r="A181" s="26" t="s">
        <v>1105</v>
      </c>
      <c r="B181" s="26" t="s">
        <v>1106</v>
      </c>
      <c r="C181" s="26" t="s">
        <v>1080</v>
      </c>
      <c r="D181" s="92"/>
      <c r="E181" s="92">
        <v>0</v>
      </c>
    </row>
    <row r="182" spans="1:5" x14ac:dyDescent="0.25">
      <c r="A182" s="26" t="s">
        <v>477</v>
      </c>
      <c r="B182" s="26" t="s">
        <v>478</v>
      </c>
      <c r="C182" s="26" t="s">
        <v>472</v>
      </c>
      <c r="D182" s="92"/>
      <c r="E182" s="92">
        <v>19</v>
      </c>
    </row>
    <row r="183" spans="1:5" x14ac:dyDescent="0.25">
      <c r="A183" s="26" t="s">
        <v>489</v>
      </c>
      <c r="B183" s="26" t="s">
        <v>490</v>
      </c>
      <c r="C183" s="26" t="s">
        <v>491</v>
      </c>
      <c r="D183" s="92"/>
      <c r="E183" s="92">
        <v>350</v>
      </c>
    </row>
    <row r="184" spans="1:5" x14ac:dyDescent="0.25">
      <c r="A184" s="26" t="s">
        <v>390</v>
      </c>
      <c r="B184" s="26" t="s">
        <v>391</v>
      </c>
      <c r="C184" s="26" t="s">
        <v>385</v>
      </c>
      <c r="D184" s="92">
        <v>76</v>
      </c>
      <c r="E184" s="92">
        <v>5</v>
      </c>
    </row>
    <row r="185" spans="1:5" x14ac:dyDescent="0.25">
      <c r="A185" s="26" t="s">
        <v>522</v>
      </c>
      <c r="B185" s="26" t="s">
        <v>523</v>
      </c>
      <c r="C185" s="26" t="s">
        <v>515</v>
      </c>
      <c r="D185" s="92"/>
      <c r="E185" s="92">
        <v>100</v>
      </c>
    </row>
    <row r="186" spans="1:5" x14ac:dyDescent="0.25">
      <c r="A186" s="26" t="s">
        <v>392</v>
      </c>
      <c r="B186" s="26" t="s">
        <v>393</v>
      </c>
      <c r="C186" s="26" t="s">
        <v>385</v>
      </c>
      <c r="D186" s="92">
        <v>75</v>
      </c>
      <c r="E186" s="92">
        <v>6</v>
      </c>
    </row>
    <row r="187" spans="1:5" x14ac:dyDescent="0.25">
      <c r="A187" s="26" t="s">
        <v>847</v>
      </c>
      <c r="B187" s="26" t="s">
        <v>848</v>
      </c>
      <c r="C187" s="26" t="s">
        <v>849</v>
      </c>
      <c r="D187" s="92"/>
      <c r="E187" s="92">
        <v>198</v>
      </c>
    </row>
    <row r="188" spans="1:5" x14ac:dyDescent="0.25">
      <c r="A188" s="26" t="s">
        <v>2144</v>
      </c>
      <c r="B188" s="26" t="s">
        <v>1707</v>
      </c>
      <c r="C188" s="26" t="s">
        <v>2145</v>
      </c>
      <c r="D188" s="92"/>
      <c r="E188" s="92">
        <v>100</v>
      </c>
    </row>
    <row r="189" spans="1:5" x14ac:dyDescent="0.25">
      <c r="A189" s="26" t="s">
        <v>863</v>
      </c>
      <c r="B189" s="26" t="s">
        <v>864</v>
      </c>
      <c r="C189" s="26" t="s">
        <v>865</v>
      </c>
      <c r="D189" s="92"/>
      <c r="E189" s="92">
        <v>430</v>
      </c>
    </row>
    <row r="190" spans="1:5" x14ac:dyDescent="0.25">
      <c r="A190" s="26" t="s">
        <v>867</v>
      </c>
      <c r="B190" s="26" t="s">
        <v>864</v>
      </c>
      <c r="C190" s="26" t="s">
        <v>868</v>
      </c>
      <c r="D190" s="92"/>
      <c r="E190" s="92">
        <v>39</v>
      </c>
    </row>
    <row r="191" spans="1:5" x14ac:dyDescent="0.25">
      <c r="A191" s="26" t="s">
        <v>564</v>
      </c>
      <c r="B191" s="26" t="s">
        <v>565</v>
      </c>
      <c r="C191" s="26" t="s">
        <v>566</v>
      </c>
      <c r="D191" s="92">
        <v>74</v>
      </c>
      <c r="E191" s="92">
        <v>34</v>
      </c>
    </row>
    <row r="192" spans="1:5" x14ac:dyDescent="0.25">
      <c r="A192" s="26" t="s">
        <v>2083</v>
      </c>
      <c r="B192" s="26" t="s">
        <v>2084</v>
      </c>
      <c r="C192" s="26" t="s">
        <v>2002</v>
      </c>
      <c r="D192" s="92"/>
      <c r="E192" s="92">
        <v>723</v>
      </c>
    </row>
    <row r="193" spans="1:5" x14ac:dyDescent="0.25">
      <c r="A193" s="26" t="s">
        <v>1156</v>
      </c>
      <c r="B193" s="26" t="s">
        <v>1157</v>
      </c>
      <c r="C193" s="26" t="s">
        <v>1080</v>
      </c>
      <c r="D193" s="92"/>
      <c r="E193" s="92">
        <v>101</v>
      </c>
    </row>
    <row r="194" spans="1:5" x14ac:dyDescent="0.25">
      <c r="A194" s="26" t="s">
        <v>1152</v>
      </c>
      <c r="B194" s="26" t="s">
        <v>1153</v>
      </c>
      <c r="C194" s="26" t="s">
        <v>1080</v>
      </c>
      <c r="D194" s="92"/>
      <c r="E194" s="92">
        <v>200</v>
      </c>
    </row>
    <row r="195" spans="1:5" x14ac:dyDescent="0.25">
      <c r="A195" s="26" t="s">
        <v>1037</v>
      </c>
      <c r="B195" s="26" t="s">
        <v>1038</v>
      </c>
      <c r="C195" s="26" t="s">
        <v>1021</v>
      </c>
      <c r="D195" s="92">
        <v>6000</v>
      </c>
      <c r="E195" s="92">
        <v>2000</v>
      </c>
    </row>
    <row r="196" spans="1:5" x14ac:dyDescent="0.25">
      <c r="A196" s="26" t="s">
        <v>755</v>
      </c>
      <c r="B196" s="26" t="s">
        <v>756</v>
      </c>
      <c r="C196" s="26" t="s">
        <v>751</v>
      </c>
      <c r="D196" s="92"/>
      <c r="E196" s="92">
        <v>13</v>
      </c>
    </row>
    <row r="197" spans="1:5" x14ac:dyDescent="0.25">
      <c r="A197" s="26" t="s">
        <v>112</v>
      </c>
      <c r="B197" s="26" t="s">
        <v>113</v>
      </c>
      <c r="C197" s="26" t="s">
        <v>99</v>
      </c>
      <c r="D197" s="92"/>
      <c r="E197" s="92">
        <v>12250</v>
      </c>
    </row>
    <row r="198" spans="1:5" x14ac:dyDescent="0.25">
      <c r="A198" s="26" t="s">
        <v>1755</v>
      </c>
      <c r="B198" s="26" t="s">
        <v>463</v>
      </c>
      <c r="C198" s="26" t="s">
        <v>603</v>
      </c>
      <c r="D198" s="92">
        <v>11000</v>
      </c>
      <c r="E198" s="92">
        <v>84800</v>
      </c>
    </row>
    <row r="199" spans="1:5" x14ac:dyDescent="0.25">
      <c r="A199" s="26" t="s">
        <v>1520</v>
      </c>
      <c r="B199" s="26" t="s">
        <v>1521</v>
      </c>
      <c r="C199" s="26" t="s">
        <v>768</v>
      </c>
      <c r="D199" s="92"/>
      <c r="E199" s="92">
        <v>0</v>
      </c>
    </row>
    <row r="200" spans="1:5" x14ac:dyDescent="0.25">
      <c r="A200" s="26" t="s">
        <v>1991</v>
      </c>
      <c r="B200" s="26" t="s">
        <v>1972</v>
      </c>
      <c r="C200" s="26" t="s">
        <v>959</v>
      </c>
      <c r="D200" s="92">
        <v>617</v>
      </c>
      <c r="E200" s="92">
        <v>0</v>
      </c>
    </row>
    <row r="201" spans="1:5" x14ac:dyDescent="0.25">
      <c r="A201" s="26" t="s">
        <v>1055</v>
      </c>
      <c r="B201" s="26" t="s">
        <v>1056</v>
      </c>
      <c r="C201" s="26" t="s">
        <v>1054</v>
      </c>
      <c r="D201" s="92">
        <v>4600</v>
      </c>
      <c r="E201" s="92">
        <v>2075</v>
      </c>
    </row>
    <row r="202" spans="1:5" x14ac:dyDescent="0.25">
      <c r="A202" s="26" t="s">
        <v>1739</v>
      </c>
      <c r="B202" s="26" t="s">
        <v>1738</v>
      </c>
      <c r="C202" s="26" t="s">
        <v>268</v>
      </c>
      <c r="D202" s="92">
        <v>1500</v>
      </c>
      <c r="E202" s="92">
        <v>17400</v>
      </c>
    </row>
    <row r="203" spans="1:5" x14ac:dyDescent="0.25">
      <c r="A203" s="26" t="s">
        <v>261</v>
      </c>
      <c r="B203" s="26" t="s">
        <v>262</v>
      </c>
      <c r="C203" s="26" t="s">
        <v>259</v>
      </c>
      <c r="D203" s="92">
        <v>2650</v>
      </c>
      <c r="E203" s="92">
        <v>15350</v>
      </c>
    </row>
    <row r="204" spans="1:5" x14ac:dyDescent="0.25">
      <c r="A204" s="26" t="s">
        <v>954</v>
      </c>
      <c r="B204" s="26" t="s">
        <v>955</v>
      </c>
      <c r="C204" s="26" t="s">
        <v>956</v>
      </c>
      <c r="D204" s="92"/>
      <c r="E204" s="92">
        <v>3100</v>
      </c>
    </row>
    <row r="205" spans="1:5" x14ac:dyDescent="0.25">
      <c r="A205" s="26" t="s">
        <v>272</v>
      </c>
      <c r="B205" s="26" t="s">
        <v>273</v>
      </c>
      <c r="C205" s="26" t="s">
        <v>268</v>
      </c>
      <c r="D205" s="92">
        <v>26250</v>
      </c>
      <c r="E205" s="92">
        <v>56250</v>
      </c>
    </row>
    <row r="206" spans="1:5" x14ac:dyDescent="0.25">
      <c r="A206" s="26" t="s">
        <v>153</v>
      </c>
      <c r="B206" s="26" t="s">
        <v>154</v>
      </c>
      <c r="C206" s="26" t="s">
        <v>144</v>
      </c>
      <c r="D206" s="92"/>
      <c r="E206" s="92">
        <v>150</v>
      </c>
    </row>
    <row r="207" spans="1:5" x14ac:dyDescent="0.25">
      <c r="A207" s="26" t="s">
        <v>136</v>
      </c>
      <c r="B207" s="26" t="s">
        <v>137</v>
      </c>
      <c r="C207" s="26" t="s">
        <v>138</v>
      </c>
      <c r="D207" s="92">
        <v>62000</v>
      </c>
      <c r="E207" s="92">
        <v>102000</v>
      </c>
    </row>
    <row r="208" spans="1:5" x14ac:dyDescent="0.25">
      <c r="A208" s="26" t="s">
        <v>2028</v>
      </c>
      <c r="B208" s="26" t="s">
        <v>92</v>
      </c>
      <c r="C208" s="26" t="s">
        <v>93</v>
      </c>
      <c r="D208" s="92">
        <v>16500</v>
      </c>
      <c r="E208" s="92">
        <v>65239</v>
      </c>
    </row>
    <row r="209" spans="1:5" x14ac:dyDescent="0.25">
      <c r="A209" s="26" t="s">
        <v>96</v>
      </c>
      <c r="B209" s="26" t="s">
        <v>97</v>
      </c>
      <c r="C209" s="26" t="s">
        <v>2042</v>
      </c>
      <c r="D209" s="92"/>
      <c r="E209" s="92">
        <v>65281</v>
      </c>
    </row>
    <row r="210" spans="1:5" x14ac:dyDescent="0.25">
      <c r="A210" s="26" t="s">
        <v>2027</v>
      </c>
      <c r="B210" s="26" t="s">
        <v>1337</v>
      </c>
      <c r="C210" s="26" t="s">
        <v>101</v>
      </c>
      <c r="D210" s="92">
        <v>28350</v>
      </c>
      <c r="E210" s="92">
        <v>170600</v>
      </c>
    </row>
    <row r="211" spans="1:5" x14ac:dyDescent="0.25">
      <c r="A211" s="26" t="s">
        <v>81</v>
      </c>
      <c r="B211" s="26" t="s">
        <v>82</v>
      </c>
      <c r="C211" s="26" t="s">
        <v>80</v>
      </c>
      <c r="D211" s="92">
        <v>5322</v>
      </c>
      <c r="E211" s="92">
        <v>24700</v>
      </c>
    </row>
    <row r="212" spans="1:5" x14ac:dyDescent="0.25">
      <c r="A212" s="26" t="s">
        <v>85</v>
      </c>
      <c r="B212" s="26" t="s">
        <v>86</v>
      </c>
      <c r="C212" s="26" t="s">
        <v>87</v>
      </c>
      <c r="D212" s="92"/>
      <c r="E212" s="92">
        <v>42000</v>
      </c>
    </row>
    <row r="213" spans="1:5" x14ac:dyDescent="0.25">
      <c r="A213" s="26" t="s">
        <v>119</v>
      </c>
      <c r="B213" s="26" t="s">
        <v>120</v>
      </c>
      <c r="C213" s="26" t="s">
        <v>121</v>
      </c>
      <c r="D213" s="92">
        <v>20500</v>
      </c>
      <c r="E213" s="92">
        <v>102000</v>
      </c>
    </row>
    <row r="214" spans="1:5" x14ac:dyDescent="0.25">
      <c r="A214" s="26" t="s">
        <v>105</v>
      </c>
      <c r="B214" s="26" t="s">
        <v>106</v>
      </c>
      <c r="C214" s="26" t="s">
        <v>107</v>
      </c>
      <c r="D214" s="92">
        <v>9000</v>
      </c>
      <c r="E214" s="92">
        <v>109500</v>
      </c>
    </row>
    <row r="215" spans="1:5" x14ac:dyDescent="0.25">
      <c r="A215" s="26" t="s">
        <v>2029</v>
      </c>
      <c r="B215" s="26" t="s">
        <v>123</v>
      </c>
      <c r="C215" s="26" t="s">
        <v>124</v>
      </c>
      <c r="D215" s="92">
        <v>24405</v>
      </c>
      <c r="E215" s="92">
        <v>3750</v>
      </c>
    </row>
    <row r="216" spans="1:5" x14ac:dyDescent="0.25">
      <c r="A216" s="26" t="s">
        <v>2052</v>
      </c>
      <c r="B216" s="26" t="s">
        <v>221</v>
      </c>
      <c r="C216" s="26" t="s">
        <v>207</v>
      </c>
      <c r="D216" s="92">
        <v>15000</v>
      </c>
      <c r="E216" s="92">
        <v>22500</v>
      </c>
    </row>
    <row r="217" spans="1:5" x14ac:dyDescent="0.25">
      <c r="A217" s="26" t="s">
        <v>883</v>
      </c>
      <c r="B217" s="26" t="s">
        <v>1749</v>
      </c>
      <c r="C217" s="26" t="s">
        <v>882</v>
      </c>
      <c r="D217" s="92">
        <v>640</v>
      </c>
      <c r="E217" s="92">
        <v>130</v>
      </c>
    </row>
    <row r="218" spans="1:5" x14ac:dyDescent="0.25">
      <c r="A218" s="26" t="s">
        <v>71</v>
      </c>
      <c r="B218" s="26" t="s">
        <v>72</v>
      </c>
      <c r="C218" s="26" t="s">
        <v>73</v>
      </c>
      <c r="D218" s="92"/>
      <c r="E218" s="92">
        <v>2000</v>
      </c>
    </row>
    <row r="219" spans="1:5" x14ac:dyDescent="0.25">
      <c r="A219" s="26" t="s">
        <v>269</v>
      </c>
      <c r="B219" s="26" t="s">
        <v>270</v>
      </c>
      <c r="C219" s="26" t="s">
        <v>268</v>
      </c>
      <c r="D219" s="92">
        <v>8400</v>
      </c>
      <c r="E219" s="92">
        <v>17400</v>
      </c>
    </row>
    <row r="220" spans="1:5" x14ac:dyDescent="0.25">
      <c r="A220" s="26" t="s">
        <v>2132</v>
      </c>
      <c r="B220" s="26" t="s">
        <v>2133</v>
      </c>
      <c r="C220" s="26" t="s">
        <v>373</v>
      </c>
      <c r="D220" s="92"/>
      <c r="E220" s="92">
        <v>22600</v>
      </c>
    </row>
    <row r="221" spans="1:5" x14ac:dyDescent="0.25">
      <c r="A221" s="26" t="s">
        <v>502</v>
      </c>
      <c r="B221" s="26" t="s">
        <v>503</v>
      </c>
      <c r="C221" s="26" t="s">
        <v>491</v>
      </c>
      <c r="D221" s="92">
        <v>35000</v>
      </c>
      <c r="E221" s="92">
        <v>10032</v>
      </c>
    </row>
    <row r="222" spans="1:5" x14ac:dyDescent="0.25">
      <c r="A222" s="26" t="s">
        <v>1528</v>
      </c>
      <c r="B222" s="26" t="s">
        <v>1529</v>
      </c>
      <c r="C222" s="26" t="s">
        <v>1010</v>
      </c>
      <c r="D222" s="92"/>
      <c r="E222" s="92">
        <v>107</v>
      </c>
    </row>
    <row r="223" spans="1:5" x14ac:dyDescent="0.25">
      <c r="A223" s="26" t="s">
        <v>966</v>
      </c>
      <c r="B223" s="26" t="s">
        <v>967</v>
      </c>
      <c r="C223" s="26" t="s">
        <v>892</v>
      </c>
      <c r="D223" s="92"/>
      <c r="E223" s="92">
        <v>100</v>
      </c>
    </row>
    <row r="224" spans="1:5" x14ac:dyDescent="0.25">
      <c r="A224" s="26" t="s">
        <v>201</v>
      </c>
      <c r="B224" s="26" t="s">
        <v>202</v>
      </c>
      <c r="C224" s="26" t="s">
        <v>200</v>
      </c>
      <c r="D224" s="92"/>
      <c r="E224" s="92">
        <v>6000</v>
      </c>
    </row>
    <row r="225" spans="1:5" x14ac:dyDescent="0.25">
      <c r="A225" s="26" t="s">
        <v>1857</v>
      </c>
      <c r="B225" s="26" t="s">
        <v>77</v>
      </c>
      <c r="C225" s="26" t="s">
        <v>190</v>
      </c>
      <c r="D225" s="92"/>
      <c r="E225" s="92">
        <v>10320</v>
      </c>
    </row>
    <row r="226" spans="1:5" x14ac:dyDescent="0.25">
      <c r="A226" s="26" t="s">
        <v>1904</v>
      </c>
      <c r="B226" s="26" t="s">
        <v>139</v>
      </c>
      <c r="C226" s="26" t="s">
        <v>1905</v>
      </c>
      <c r="D226" s="92"/>
      <c r="E226" s="92">
        <v>53100</v>
      </c>
    </row>
    <row r="227" spans="1:5" x14ac:dyDescent="0.25">
      <c r="A227" s="26" t="s">
        <v>1856</v>
      </c>
      <c r="B227" s="26" t="s">
        <v>77</v>
      </c>
      <c r="C227" s="26" t="s">
        <v>73</v>
      </c>
      <c r="D227" s="92"/>
      <c r="E227" s="92">
        <v>13000</v>
      </c>
    </row>
    <row r="228" spans="1:5" x14ac:dyDescent="0.25">
      <c r="A228" s="26" t="s">
        <v>16</v>
      </c>
      <c r="B228" s="26" t="s">
        <v>17</v>
      </c>
      <c r="C228" s="26" t="s">
        <v>18</v>
      </c>
      <c r="D228" s="92">
        <v>5900</v>
      </c>
      <c r="E228" s="92">
        <v>5000</v>
      </c>
    </row>
    <row r="229" spans="1:5" x14ac:dyDescent="0.25">
      <c r="A229" s="26" t="s">
        <v>2031</v>
      </c>
      <c r="B229" s="26" t="s">
        <v>139</v>
      </c>
      <c r="C229" s="26" t="s">
        <v>140</v>
      </c>
      <c r="D229" s="92">
        <v>33861</v>
      </c>
      <c r="E229" s="92">
        <v>23800</v>
      </c>
    </row>
    <row r="230" spans="1:5" x14ac:dyDescent="0.25">
      <c r="A230" s="26" t="s">
        <v>2031</v>
      </c>
      <c r="B230" s="26" t="s">
        <v>1907</v>
      </c>
      <c r="C230" s="26" t="s">
        <v>1908</v>
      </c>
      <c r="D230" s="92"/>
      <c r="E230" s="92">
        <v>149400</v>
      </c>
    </row>
    <row r="231" spans="1:5" x14ac:dyDescent="0.25">
      <c r="A231" s="26" t="s">
        <v>2059</v>
      </c>
      <c r="B231" s="26" t="s">
        <v>2060</v>
      </c>
      <c r="C231" s="26" t="s">
        <v>124</v>
      </c>
      <c r="D231" s="92"/>
      <c r="E231" s="92">
        <v>1500</v>
      </c>
    </row>
    <row r="232" spans="1:5" x14ac:dyDescent="0.25">
      <c r="A232" s="26" t="s">
        <v>68</v>
      </c>
      <c r="B232" s="26" t="s">
        <v>69</v>
      </c>
      <c r="C232" s="26" t="s">
        <v>59</v>
      </c>
      <c r="D232" s="92"/>
      <c r="E232" s="92">
        <v>12000</v>
      </c>
    </row>
    <row r="233" spans="1:5" x14ac:dyDescent="0.25">
      <c r="A233" s="26" t="s">
        <v>2098</v>
      </c>
      <c r="B233" s="26" t="s">
        <v>2099</v>
      </c>
      <c r="C233" s="26" t="s">
        <v>1860</v>
      </c>
      <c r="D233" s="92"/>
      <c r="E233" s="92">
        <v>111182</v>
      </c>
    </row>
    <row r="234" spans="1:5" x14ac:dyDescent="0.25">
      <c r="A234" s="26" t="s">
        <v>2067</v>
      </c>
      <c r="B234" s="26" t="s">
        <v>90</v>
      </c>
      <c r="C234" s="26" t="s">
        <v>91</v>
      </c>
      <c r="D234" s="92">
        <v>31200</v>
      </c>
      <c r="E234" s="92">
        <v>12800</v>
      </c>
    </row>
    <row r="235" spans="1:5" x14ac:dyDescent="0.25">
      <c r="A235" s="26" t="s">
        <v>78</v>
      </c>
      <c r="B235" s="26" t="s">
        <v>79</v>
      </c>
      <c r="C235" s="26" t="s">
        <v>80</v>
      </c>
      <c r="D235" s="92">
        <v>15855</v>
      </c>
      <c r="E235" s="92">
        <v>7200</v>
      </c>
    </row>
    <row r="236" spans="1:5" x14ac:dyDescent="0.25">
      <c r="A236" s="26" t="s">
        <v>1848</v>
      </c>
      <c r="B236" s="26" t="s">
        <v>1350</v>
      </c>
      <c r="C236" s="26" t="s">
        <v>1040</v>
      </c>
      <c r="D236" s="92">
        <v>2800</v>
      </c>
      <c r="E236" s="92">
        <v>3650</v>
      </c>
    </row>
    <row r="237" spans="1:5" x14ac:dyDescent="0.25">
      <c r="A237" s="26" t="s">
        <v>359</v>
      </c>
      <c r="B237" s="26" t="s">
        <v>254</v>
      </c>
      <c r="C237" s="26" t="s">
        <v>354</v>
      </c>
      <c r="D237" s="92">
        <v>3125</v>
      </c>
      <c r="E237" s="92">
        <v>159875</v>
      </c>
    </row>
    <row r="238" spans="1:5" x14ac:dyDescent="0.25">
      <c r="A238" s="26" t="s">
        <v>1347</v>
      </c>
      <c r="B238" s="26" t="s">
        <v>1348</v>
      </c>
      <c r="C238" s="26" t="s">
        <v>1039</v>
      </c>
      <c r="D238" s="92"/>
      <c r="E238" s="92">
        <v>120</v>
      </c>
    </row>
    <row r="239" spans="1:5" x14ac:dyDescent="0.25">
      <c r="A239" s="26" t="s">
        <v>369</v>
      </c>
      <c r="B239" s="26" t="s">
        <v>370</v>
      </c>
      <c r="C239" s="26" t="s">
        <v>368</v>
      </c>
      <c r="D239" s="92">
        <v>7100</v>
      </c>
      <c r="E239" s="92">
        <v>75250</v>
      </c>
    </row>
    <row r="240" spans="1:5" x14ac:dyDescent="0.25">
      <c r="A240" s="26" t="s">
        <v>236</v>
      </c>
      <c r="B240" s="26" t="s">
        <v>237</v>
      </c>
      <c r="C240" s="26" t="s">
        <v>234</v>
      </c>
      <c r="D240" s="92"/>
      <c r="E240" s="92">
        <v>14500</v>
      </c>
    </row>
    <row r="241" spans="1:5" x14ac:dyDescent="0.25">
      <c r="A241" s="26" t="s">
        <v>1046</v>
      </c>
      <c r="B241" s="26" t="s">
        <v>1047</v>
      </c>
      <c r="C241" s="26" t="s">
        <v>1048</v>
      </c>
      <c r="D241" s="92"/>
      <c r="E241" s="92">
        <v>10500</v>
      </c>
    </row>
    <row r="242" spans="1:5" x14ac:dyDescent="0.25">
      <c r="A242" s="26" t="s">
        <v>257</v>
      </c>
      <c r="B242" s="26" t="s">
        <v>258</v>
      </c>
      <c r="C242" s="26" t="s">
        <v>259</v>
      </c>
      <c r="D242" s="92">
        <v>2500</v>
      </c>
      <c r="E242" s="92">
        <v>14100</v>
      </c>
    </row>
    <row r="243" spans="1:5" x14ac:dyDescent="0.25">
      <c r="A243" s="26" t="s">
        <v>184</v>
      </c>
      <c r="B243" s="26" t="s">
        <v>185</v>
      </c>
      <c r="C243" s="26" t="s">
        <v>186</v>
      </c>
      <c r="D243" s="92">
        <v>3140</v>
      </c>
      <c r="E243" s="92">
        <v>660</v>
      </c>
    </row>
    <row r="244" spans="1:5" x14ac:dyDescent="0.25">
      <c r="A244" s="26" t="s">
        <v>1858</v>
      </c>
      <c r="B244" s="26" t="s">
        <v>1859</v>
      </c>
      <c r="C244" s="26" t="s">
        <v>190</v>
      </c>
      <c r="D244" s="92"/>
      <c r="E244" s="92">
        <v>10230</v>
      </c>
    </row>
    <row r="245" spans="1:5" x14ac:dyDescent="0.25">
      <c r="A245" s="26" t="s">
        <v>979</v>
      </c>
      <c r="B245" s="26" t="s">
        <v>980</v>
      </c>
      <c r="C245" s="26" t="s">
        <v>981</v>
      </c>
      <c r="D245" s="92">
        <v>4700</v>
      </c>
      <c r="E245" s="92">
        <v>4300</v>
      </c>
    </row>
    <row r="246" spans="1:5" x14ac:dyDescent="0.25">
      <c r="A246" s="26" t="s">
        <v>298</v>
      </c>
      <c r="B246" s="26" t="s">
        <v>299</v>
      </c>
      <c r="C246" s="26" t="s">
        <v>300</v>
      </c>
      <c r="D246" s="92">
        <v>23125</v>
      </c>
      <c r="E246" s="92">
        <v>100275</v>
      </c>
    </row>
    <row r="247" spans="1:5" x14ac:dyDescent="0.25">
      <c r="A247" s="26" t="s">
        <v>2109</v>
      </c>
      <c r="B247" s="26" t="s">
        <v>331</v>
      </c>
      <c r="C247" s="26" t="s">
        <v>277</v>
      </c>
      <c r="D247" s="92">
        <v>2130</v>
      </c>
      <c r="E247" s="92">
        <v>4210</v>
      </c>
    </row>
    <row r="248" spans="1:5" x14ac:dyDescent="0.25">
      <c r="A248" s="26" t="s">
        <v>1003</v>
      </c>
      <c r="B248" s="26" t="s">
        <v>1004</v>
      </c>
      <c r="C248" s="26" t="s">
        <v>1005</v>
      </c>
      <c r="D248" s="92"/>
      <c r="E248" s="92">
        <v>1200</v>
      </c>
    </row>
    <row r="249" spans="1:5" x14ac:dyDescent="0.25">
      <c r="A249" s="26" t="s">
        <v>155</v>
      </c>
      <c r="B249" s="26" t="s">
        <v>156</v>
      </c>
      <c r="C249" s="26" t="s">
        <v>144</v>
      </c>
      <c r="D249" s="92"/>
      <c r="E249" s="92">
        <v>100</v>
      </c>
    </row>
    <row r="250" spans="1:5" x14ac:dyDescent="0.25">
      <c r="A250" s="26" t="s">
        <v>151</v>
      </c>
      <c r="B250" s="26" t="s">
        <v>152</v>
      </c>
      <c r="C250" s="26" t="s">
        <v>144</v>
      </c>
      <c r="D250" s="92"/>
      <c r="E250" s="92">
        <v>200</v>
      </c>
    </row>
    <row r="251" spans="1:5" x14ac:dyDescent="0.25">
      <c r="A251" s="26" t="s">
        <v>149</v>
      </c>
      <c r="B251" s="26" t="s">
        <v>150</v>
      </c>
      <c r="C251" s="26" t="s">
        <v>144</v>
      </c>
      <c r="D251" s="92"/>
      <c r="E251" s="92">
        <v>200</v>
      </c>
    </row>
    <row r="252" spans="1:5" x14ac:dyDescent="0.25">
      <c r="A252" s="26" t="s">
        <v>1057</v>
      </c>
      <c r="B252" s="26" t="s">
        <v>1058</v>
      </c>
      <c r="C252" s="26" t="s">
        <v>1059</v>
      </c>
      <c r="D252" s="92">
        <v>750</v>
      </c>
      <c r="E252" s="92">
        <v>1250</v>
      </c>
    </row>
    <row r="253" spans="1:5" x14ac:dyDescent="0.25">
      <c r="A253" s="26" t="s">
        <v>1762</v>
      </c>
      <c r="B253" s="26" t="s">
        <v>1058</v>
      </c>
      <c r="C253" s="26" t="s">
        <v>1070</v>
      </c>
      <c r="D253" s="92"/>
      <c r="E253" s="92">
        <v>1000</v>
      </c>
    </row>
    <row r="254" spans="1:5" x14ac:dyDescent="0.25">
      <c r="A254" s="26" t="s">
        <v>2018</v>
      </c>
      <c r="B254" s="26" t="s">
        <v>2019</v>
      </c>
      <c r="C254" s="26" t="s">
        <v>1870</v>
      </c>
      <c r="D254" s="92"/>
      <c r="E254" s="92">
        <v>22500</v>
      </c>
    </row>
    <row r="255" spans="1:5" x14ac:dyDescent="0.25">
      <c r="A255" s="26" t="s">
        <v>776</v>
      </c>
      <c r="B255" s="26" t="s">
        <v>777</v>
      </c>
      <c r="C255" s="26" t="s">
        <v>778</v>
      </c>
      <c r="D255" s="92">
        <v>350</v>
      </c>
      <c r="E255" s="92">
        <v>2650</v>
      </c>
    </row>
    <row r="256" spans="1:5" x14ac:dyDescent="0.25">
      <c r="A256" s="26" t="s">
        <v>1734</v>
      </c>
      <c r="B256" s="26" t="s">
        <v>1735</v>
      </c>
      <c r="C256" s="26" t="s">
        <v>472</v>
      </c>
      <c r="D256" s="92"/>
      <c r="E256" s="92">
        <v>300</v>
      </c>
    </row>
    <row r="257" spans="1:5" x14ac:dyDescent="0.25">
      <c r="A257" s="26" t="s">
        <v>1877</v>
      </c>
      <c r="B257" s="26" t="s">
        <v>1878</v>
      </c>
      <c r="C257" s="26" t="s">
        <v>995</v>
      </c>
      <c r="D257" s="92">
        <v>800</v>
      </c>
      <c r="E257" s="92">
        <v>250</v>
      </c>
    </row>
    <row r="258" spans="1:5" x14ac:dyDescent="0.25">
      <c r="A258" s="26" t="s">
        <v>263</v>
      </c>
      <c r="B258" s="26" t="s">
        <v>264</v>
      </c>
      <c r="C258" s="26" t="s">
        <v>259</v>
      </c>
      <c r="D258" s="92">
        <v>200</v>
      </c>
      <c r="E258" s="92">
        <v>3700</v>
      </c>
    </row>
    <row r="259" spans="1:5" x14ac:dyDescent="0.25">
      <c r="A259" s="26" t="s">
        <v>487</v>
      </c>
      <c r="B259" s="26" t="s">
        <v>488</v>
      </c>
      <c r="C259" s="26" t="s">
        <v>472</v>
      </c>
      <c r="D259" s="92">
        <v>2000</v>
      </c>
      <c r="E259" s="92">
        <v>1000</v>
      </c>
    </row>
    <row r="260" spans="1:5" x14ac:dyDescent="0.25">
      <c r="A260" s="26" t="s">
        <v>315</v>
      </c>
      <c r="B260" s="26" t="s">
        <v>316</v>
      </c>
      <c r="C260" s="26" t="s">
        <v>311</v>
      </c>
      <c r="D260" s="92">
        <v>11250</v>
      </c>
      <c r="E260" s="92">
        <v>35750</v>
      </c>
    </row>
    <row r="261" spans="1:5" x14ac:dyDescent="0.25">
      <c r="A261" s="26" t="s">
        <v>1113</v>
      </c>
      <c r="B261" s="26" t="s">
        <v>1114</v>
      </c>
      <c r="C261" s="26" t="s">
        <v>1080</v>
      </c>
      <c r="D261" s="92"/>
      <c r="E261" s="92">
        <v>0</v>
      </c>
    </row>
    <row r="262" spans="1:5" x14ac:dyDescent="0.25">
      <c r="A262" s="26" t="s">
        <v>2156</v>
      </c>
      <c r="B262" s="26" t="s">
        <v>2157</v>
      </c>
      <c r="C262" s="26" t="s">
        <v>837</v>
      </c>
      <c r="D262" s="92"/>
      <c r="E262" s="92">
        <v>75</v>
      </c>
    </row>
    <row r="263" spans="1:5" x14ac:dyDescent="0.25">
      <c r="A263" s="26" t="s">
        <v>481</v>
      </c>
      <c r="B263" s="26" t="s">
        <v>482</v>
      </c>
      <c r="C263" s="26" t="s">
        <v>472</v>
      </c>
      <c r="D263" s="92"/>
      <c r="E263" s="92">
        <v>2308</v>
      </c>
    </row>
    <row r="264" spans="1:5" x14ac:dyDescent="0.25">
      <c r="A264" s="26" t="s">
        <v>305</v>
      </c>
      <c r="B264" s="26" t="s">
        <v>306</v>
      </c>
      <c r="C264" s="26" t="s">
        <v>304</v>
      </c>
      <c r="D264" s="92"/>
      <c r="E264" s="92">
        <v>500</v>
      </c>
    </row>
    <row r="265" spans="1:5" x14ac:dyDescent="0.25">
      <c r="A265" s="26" t="s">
        <v>1024</v>
      </c>
      <c r="B265" s="26" t="s">
        <v>1025</v>
      </c>
      <c r="C265" s="26" t="s">
        <v>1026</v>
      </c>
      <c r="D265" s="92"/>
      <c r="E265" s="92">
        <v>1200</v>
      </c>
    </row>
    <row r="266" spans="1:5" x14ac:dyDescent="0.25">
      <c r="A266" s="26" t="s">
        <v>332</v>
      </c>
      <c r="B266" s="26" t="s">
        <v>333</v>
      </c>
      <c r="C266" s="26" t="s">
        <v>334</v>
      </c>
      <c r="D266" s="92"/>
      <c r="E266" s="92">
        <v>53795</v>
      </c>
    </row>
    <row r="267" spans="1:5" x14ac:dyDescent="0.25">
      <c r="A267" s="26" t="s">
        <v>1052</v>
      </c>
      <c r="B267" s="26" t="s">
        <v>1053</v>
      </c>
      <c r="C267" s="26" t="s">
        <v>1054</v>
      </c>
      <c r="D267" s="92">
        <v>200</v>
      </c>
      <c r="E267" s="92">
        <v>100</v>
      </c>
    </row>
    <row r="268" spans="1:5" x14ac:dyDescent="0.25">
      <c r="A268" s="26" t="s">
        <v>371</v>
      </c>
      <c r="B268" s="26" t="s">
        <v>372</v>
      </c>
      <c r="C268" s="26" t="s">
        <v>373</v>
      </c>
      <c r="D268" s="92">
        <v>13500</v>
      </c>
      <c r="E268" s="92">
        <v>17550</v>
      </c>
    </row>
    <row r="269" spans="1:5" x14ac:dyDescent="0.25">
      <c r="A269" s="26" t="s">
        <v>1992</v>
      </c>
      <c r="B269" s="26" t="s">
        <v>1043</v>
      </c>
      <c r="C269" s="26" t="s">
        <v>964</v>
      </c>
      <c r="D269" s="92"/>
      <c r="E269" s="92">
        <v>1052</v>
      </c>
    </row>
    <row r="270" spans="1:5" x14ac:dyDescent="0.25">
      <c r="A270" s="26" t="s">
        <v>1042</v>
      </c>
      <c r="B270" s="26" t="s">
        <v>1043</v>
      </c>
      <c r="C270" s="26" t="s">
        <v>1041</v>
      </c>
      <c r="D270" s="92">
        <v>600</v>
      </c>
      <c r="E270" s="92">
        <v>200</v>
      </c>
    </row>
    <row r="271" spans="1:5" x14ac:dyDescent="0.25">
      <c r="A271" s="26" t="s">
        <v>313</v>
      </c>
      <c r="B271" s="26" t="s">
        <v>314</v>
      </c>
      <c r="C271" s="26" t="s">
        <v>311</v>
      </c>
      <c r="D271" s="92"/>
      <c r="E271" s="92">
        <v>22100</v>
      </c>
    </row>
    <row r="272" spans="1:5" x14ac:dyDescent="0.25">
      <c r="A272" s="26" t="s">
        <v>374</v>
      </c>
      <c r="B272" s="26" t="s">
        <v>375</v>
      </c>
      <c r="C272" s="26" t="s">
        <v>279</v>
      </c>
      <c r="D272" s="92">
        <v>700</v>
      </c>
      <c r="E272" s="92">
        <v>12000</v>
      </c>
    </row>
    <row r="273" spans="1:5" x14ac:dyDescent="0.25">
      <c r="A273" s="26" t="s">
        <v>1027</v>
      </c>
      <c r="B273" s="26" t="s">
        <v>1028</v>
      </c>
      <c r="C273" s="26" t="s">
        <v>1026</v>
      </c>
      <c r="D273" s="92"/>
      <c r="E273" s="92">
        <v>500</v>
      </c>
    </row>
    <row r="274" spans="1:5" x14ac:dyDescent="0.25">
      <c r="A274" s="26" t="s">
        <v>2111</v>
      </c>
      <c r="B274" s="26" t="s">
        <v>2112</v>
      </c>
      <c r="C274" s="26" t="s">
        <v>1766</v>
      </c>
      <c r="D274" s="92"/>
      <c r="E274" s="92">
        <v>12300</v>
      </c>
    </row>
    <row r="275" spans="1:5" x14ac:dyDescent="0.25">
      <c r="A275" s="26" t="s">
        <v>232</v>
      </c>
      <c r="B275" s="26" t="s">
        <v>233</v>
      </c>
      <c r="C275" s="26" t="s">
        <v>234</v>
      </c>
      <c r="D275" s="92">
        <v>1250</v>
      </c>
      <c r="E275" s="92">
        <v>13750</v>
      </c>
    </row>
    <row r="276" spans="1:5" x14ac:dyDescent="0.25">
      <c r="A276" s="26" t="s">
        <v>352</v>
      </c>
      <c r="B276" s="26" t="s">
        <v>353</v>
      </c>
      <c r="C276" s="26" t="s">
        <v>350</v>
      </c>
      <c r="D276" s="92"/>
      <c r="E276" s="92">
        <v>2000</v>
      </c>
    </row>
    <row r="277" spans="1:5" x14ac:dyDescent="0.25">
      <c r="A277" s="26" t="s">
        <v>1044</v>
      </c>
      <c r="B277" s="26" t="s">
        <v>1045</v>
      </c>
      <c r="C277" s="26" t="s">
        <v>1041</v>
      </c>
      <c r="D277" s="92">
        <v>200</v>
      </c>
      <c r="E277" s="92">
        <v>2300</v>
      </c>
    </row>
    <row r="278" spans="1:5" x14ac:dyDescent="0.25">
      <c r="A278" s="26" t="s">
        <v>1063</v>
      </c>
      <c r="B278" s="26" t="s">
        <v>1064</v>
      </c>
      <c r="C278" s="26" t="s">
        <v>1065</v>
      </c>
      <c r="D278" s="92">
        <v>750</v>
      </c>
      <c r="E278" s="92">
        <v>2495</v>
      </c>
    </row>
    <row r="279" spans="1:5" x14ac:dyDescent="0.25">
      <c r="A279" s="26" t="s">
        <v>1034</v>
      </c>
      <c r="B279" s="26" t="s">
        <v>1035</v>
      </c>
      <c r="C279" s="26" t="s">
        <v>1036</v>
      </c>
      <c r="D279" s="92">
        <v>10425</v>
      </c>
      <c r="E279" s="92">
        <v>4935</v>
      </c>
    </row>
    <row r="280" spans="1:5" x14ac:dyDescent="0.25">
      <c r="A280" s="26" t="s">
        <v>1022</v>
      </c>
      <c r="B280" s="26" t="s">
        <v>1023</v>
      </c>
      <c r="C280" s="26" t="s">
        <v>1021</v>
      </c>
      <c r="D280" s="92">
        <v>2100</v>
      </c>
      <c r="E280" s="92">
        <v>1381</v>
      </c>
    </row>
    <row r="281" spans="1:5" x14ac:dyDescent="0.25">
      <c r="A281" s="26" t="s">
        <v>274</v>
      </c>
      <c r="B281" s="26" t="s">
        <v>275</v>
      </c>
      <c r="C281" s="26" t="s">
        <v>1765</v>
      </c>
      <c r="D281" s="92">
        <v>86004</v>
      </c>
      <c r="E281" s="92">
        <v>22160</v>
      </c>
    </row>
    <row r="282" spans="1:5" x14ac:dyDescent="0.25">
      <c r="A282" s="26" t="s">
        <v>459</v>
      </c>
      <c r="B282" s="26" t="s">
        <v>460</v>
      </c>
      <c r="C282" s="26" t="s">
        <v>2047</v>
      </c>
      <c r="D282" s="92"/>
      <c r="E282" s="92">
        <v>600</v>
      </c>
    </row>
    <row r="283" spans="1:5" x14ac:dyDescent="0.25">
      <c r="A283" s="26" t="s">
        <v>296</v>
      </c>
      <c r="B283" s="26" t="s">
        <v>297</v>
      </c>
      <c r="C283" s="26" t="s">
        <v>292</v>
      </c>
      <c r="D283" s="92">
        <v>2938</v>
      </c>
      <c r="E283" s="92">
        <v>18369</v>
      </c>
    </row>
    <row r="284" spans="1:5" x14ac:dyDescent="0.25">
      <c r="A284" s="26" t="s">
        <v>1770</v>
      </c>
      <c r="B284" s="26" t="s">
        <v>1771</v>
      </c>
      <c r="C284" s="26" t="s">
        <v>822</v>
      </c>
      <c r="D284" s="92"/>
      <c r="E284" s="92">
        <v>902</v>
      </c>
    </row>
    <row r="285" spans="1:5" x14ac:dyDescent="0.25">
      <c r="A285" s="26" t="s">
        <v>1426</v>
      </c>
      <c r="B285" s="26" t="s">
        <v>1130</v>
      </c>
      <c r="C285" s="26" t="s">
        <v>172</v>
      </c>
      <c r="D285" s="92"/>
      <c r="E285" s="92">
        <v>30</v>
      </c>
    </row>
    <row r="286" spans="1:5" x14ac:dyDescent="0.25">
      <c r="A286" s="26" t="s">
        <v>170</v>
      </c>
      <c r="B286" s="26" t="s">
        <v>171</v>
      </c>
      <c r="C286" s="26" t="s">
        <v>172</v>
      </c>
      <c r="D286" s="92"/>
      <c r="E286" s="92">
        <v>336</v>
      </c>
    </row>
    <row r="287" spans="1:5" x14ac:dyDescent="0.25">
      <c r="A287" s="26" t="s">
        <v>1946</v>
      </c>
      <c r="B287" s="26" t="s">
        <v>1945</v>
      </c>
      <c r="C287" s="26" t="s">
        <v>569</v>
      </c>
      <c r="D287" s="92"/>
      <c r="E287" s="92">
        <v>0</v>
      </c>
    </row>
    <row r="288" spans="1:5" x14ac:dyDescent="0.25">
      <c r="A288" s="26" t="s">
        <v>818</v>
      </c>
      <c r="B288" s="26" t="s">
        <v>819</v>
      </c>
      <c r="C288" s="26" t="s">
        <v>1477</v>
      </c>
      <c r="D288" s="92"/>
      <c r="E288" s="92">
        <v>199</v>
      </c>
    </row>
    <row r="289" spans="1:5" x14ac:dyDescent="0.25">
      <c r="A289" s="26" t="s">
        <v>818</v>
      </c>
      <c r="B289" s="26"/>
      <c r="C289" s="26" t="s">
        <v>814</v>
      </c>
      <c r="D289" s="92"/>
      <c r="E289" s="92">
        <v>199</v>
      </c>
    </row>
    <row r="290" spans="1:5" x14ac:dyDescent="0.25">
      <c r="A290" s="26" t="s">
        <v>1149</v>
      </c>
      <c r="B290" s="26" t="s">
        <v>2166</v>
      </c>
      <c r="C290" s="26" t="s">
        <v>1080</v>
      </c>
      <c r="D290" s="92"/>
      <c r="E290" s="92">
        <v>3576</v>
      </c>
    </row>
    <row r="291" spans="1:5" x14ac:dyDescent="0.25">
      <c r="A291" s="26" t="s">
        <v>1032</v>
      </c>
      <c r="B291" s="26" t="s">
        <v>1033</v>
      </c>
      <c r="C291" s="26" t="s">
        <v>1031</v>
      </c>
      <c r="D291" s="92"/>
      <c r="E291" s="92">
        <v>680</v>
      </c>
    </row>
    <row r="292" spans="1:5" x14ac:dyDescent="0.25">
      <c r="A292" s="26" t="s">
        <v>1810</v>
      </c>
      <c r="B292" s="26" t="s">
        <v>1807</v>
      </c>
      <c r="C292" s="26" t="s">
        <v>1834</v>
      </c>
      <c r="D292" s="92">
        <v>891</v>
      </c>
      <c r="E292" s="92">
        <v>4809</v>
      </c>
    </row>
    <row r="293" spans="1:5" x14ac:dyDescent="0.25">
      <c r="A293" s="26" t="s">
        <v>281</v>
      </c>
      <c r="B293" s="26" t="s">
        <v>278</v>
      </c>
      <c r="C293" s="26" t="s">
        <v>282</v>
      </c>
      <c r="D293" s="92">
        <v>4722</v>
      </c>
      <c r="E293" s="92">
        <v>58407</v>
      </c>
    </row>
    <row r="294" spans="1:5" x14ac:dyDescent="0.25">
      <c r="A294" s="26" t="s">
        <v>1012</v>
      </c>
      <c r="B294" s="26" t="s">
        <v>1013</v>
      </c>
      <c r="C294" s="26" t="s">
        <v>1010</v>
      </c>
      <c r="D294" s="92"/>
      <c r="E294" s="92">
        <v>61</v>
      </c>
    </row>
    <row r="295" spans="1:5" x14ac:dyDescent="0.25">
      <c r="A295" s="26" t="s">
        <v>1220</v>
      </c>
      <c r="B295" s="26" t="s">
        <v>1221</v>
      </c>
      <c r="C295" s="26" t="s">
        <v>279</v>
      </c>
      <c r="D295" s="92">
        <v>700</v>
      </c>
      <c r="E295" s="92">
        <v>5350</v>
      </c>
    </row>
    <row r="296" spans="1:5" x14ac:dyDescent="0.25">
      <c r="A296" s="26" t="s">
        <v>483</v>
      </c>
      <c r="B296" s="26" t="s">
        <v>484</v>
      </c>
      <c r="C296" s="26" t="s">
        <v>472</v>
      </c>
      <c r="D296" s="92"/>
      <c r="E296" s="92">
        <v>2296</v>
      </c>
    </row>
    <row r="297" spans="1:5" x14ac:dyDescent="0.25">
      <c r="A297" s="26" t="s">
        <v>1049</v>
      </c>
      <c r="B297" s="26" t="s">
        <v>1050</v>
      </c>
      <c r="C297" s="26" t="s">
        <v>1051</v>
      </c>
      <c r="D297" s="92"/>
      <c r="E297" s="92">
        <v>650</v>
      </c>
    </row>
    <row r="298" spans="1:5" x14ac:dyDescent="0.25">
      <c r="A298" s="26" t="s">
        <v>1865</v>
      </c>
      <c r="B298" s="26" t="s">
        <v>349</v>
      </c>
      <c r="C298" s="26" t="s">
        <v>334</v>
      </c>
      <c r="D298" s="92">
        <v>9010</v>
      </c>
      <c r="E298" s="92">
        <v>44990</v>
      </c>
    </row>
    <row r="299" spans="1:5" x14ac:dyDescent="0.25">
      <c r="A299" s="26" t="s">
        <v>348</v>
      </c>
      <c r="B299" s="26" t="s">
        <v>349</v>
      </c>
      <c r="C299" s="26" t="s">
        <v>350</v>
      </c>
      <c r="D299" s="92">
        <v>10700</v>
      </c>
      <c r="E299" s="92">
        <v>23700</v>
      </c>
    </row>
    <row r="300" spans="1:5" x14ac:dyDescent="0.25">
      <c r="A300" s="26" t="s">
        <v>1014</v>
      </c>
      <c r="B300" s="26" t="s">
        <v>1015</v>
      </c>
      <c r="C300" s="26" t="s">
        <v>1016</v>
      </c>
      <c r="D300" s="92"/>
      <c r="E300" s="92">
        <v>1185</v>
      </c>
    </row>
    <row r="301" spans="1:5" x14ac:dyDescent="0.25">
      <c r="A301" s="26" t="s">
        <v>302</v>
      </c>
      <c r="B301" s="26" t="s">
        <v>303</v>
      </c>
      <c r="C301" s="26" t="s">
        <v>304</v>
      </c>
      <c r="D301" s="92">
        <v>14588</v>
      </c>
      <c r="E301" s="92">
        <v>6240</v>
      </c>
    </row>
    <row r="302" spans="1:5" x14ac:dyDescent="0.25">
      <c r="A302" s="26" t="s">
        <v>340</v>
      </c>
      <c r="B302" s="26" t="s">
        <v>341</v>
      </c>
      <c r="C302" s="26" t="s">
        <v>337</v>
      </c>
      <c r="D302" s="92"/>
      <c r="E302" s="92">
        <v>2665</v>
      </c>
    </row>
    <row r="303" spans="1:5" x14ac:dyDescent="0.25">
      <c r="A303" s="26" t="s">
        <v>1218</v>
      </c>
      <c r="B303" s="26" t="s">
        <v>1219</v>
      </c>
      <c r="C303" s="26" t="s">
        <v>1766</v>
      </c>
      <c r="D303" s="92">
        <v>837</v>
      </c>
      <c r="E303" s="92">
        <v>2713</v>
      </c>
    </row>
    <row r="304" spans="1:5" x14ac:dyDescent="0.25">
      <c r="A304" s="26" t="s">
        <v>1071</v>
      </c>
      <c r="B304" s="26" t="s">
        <v>1072</v>
      </c>
      <c r="C304" s="26" t="s">
        <v>1070</v>
      </c>
      <c r="D304" s="92"/>
      <c r="E304" s="92">
        <v>88</v>
      </c>
    </row>
    <row r="305" spans="1:5" x14ac:dyDescent="0.25">
      <c r="A305" s="26" t="s">
        <v>383</v>
      </c>
      <c r="B305" s="26" t="s">
        <v>384</v>
      </c>
      <c r="C305" s="26" t="s">
        <v>379</v>
      </c>
      <c r="D305" s="92"/>
      <c r="E305" s="92">
        <v>100</v>
      </c>
    </row>
    <row r="306" spans="1:5" x14ac:dyDescent="0.25">
      <c r="A306" s="26" t="s">
        <v>335</v>
      </c>
      <c r="B306" s="26" t="s">
        <v>336</v>
      </c>
      <c r="C306" s="26" t="s">
        <v>337</v>
      </c>
      <c r="D306" s="92">
        <v>750</v>
      </c>
      <c r="E306" s="92">
        <v>5126</v>
      </c>
    </row>
    <row r="307" spans="1:5" x14ac:dyDescent="0.25">
      <c r="A307" s="26" t="s">
        <v>999</v>
      </c>
      <c r="B307" s="26" t="s">
        <v>1000</v>
      </c>
      <c r="C307" s="26" t="s">
        <v>1001</v>
      </c>
      <c r="D307" s="92">
        <v>8050</v>
      </c>
      <c r="E307" s="92">
        <v>15000</v>
      </c>
    </row>
    <row r="308" spans="1:5" x14ac:dyDescent="0.25">
      <c r="A308" s="26" t="s">
        <v>703</v>
      </c>
      <c r="B308" s="26" t="s">
        <v>704</v>
      </c>
      <c r="C308" s="26" t="s">
        <v>705</v>
      </c>
      <c r="D308" s="92">
        <v>83129</v>
      </c>
      <c r="E308" s="92">
        <v>30258</v>
      </c>
    </row>
    <row r="309" spans="1:5" x14ac:dyDescent="0.25">
      <c r="A309" s="26" t="s">
        <v>1717</v>
      </c>
      <c r="B309" s="26" t="s">
        <v>1716</v>
      </c>
      <c r="C309" s="26" t="s">
        <v>923</v>
      </c>
      <c r="D309" s="92">
        <v>1600</v>
      </c>
      <c r="E309" s="92">
        <v>560</v>
      </c>
    </row>
    <row r="310" spans="1:5" x14ac:dyDescent="0.25">
      <c r="A310" s="26" t="s">
        <v>2123</v>
      </c>
      <c r="B310" s="26" t="s">
        <v>2124</v>
      </c>
      <c r="C310" s="26" t="s">
        <v>2047</v>
      </c>
      <c r="D310" s="92"/>
      <c r="E310" s="92">
        <v>250</v>
      </c>
    </row>
    <row r="311" spans="1:5" x14ac:dyDescent="0.25">
      <c r="A311" s="26" t="s">
        <v>1076</v>
      </c>
      <c r="B311" s="26" t="s">
        <v>1077</v>
      </c>
      <c r="C311" s="26" t="s">
        <v>1070</v>
      </c>
      <c r="D311" s="92"/>
      <c r="E311" s="92">
        <v>96</v>
      </c>
    </row>
    <row r="312" spans="1:5" x14ac:dyDescent="0.25">
      <c r="A312" s="26" t="s">
        <v>290</v>
      </c>
      <c r="B312" s="26" t="s">
        <v>291</v>
      </c>
      <c r="C312" s="26" t="s">
        <v>292</v>
      </c>
      <c r="D312" s="92"/>
      <c r="E312" s="92">
        <v>2750</v>
      </c>
    </row>
    <row r="313" spans="1:5" x14ac:dyDescent="0.25">
      <c r="A313" s="26" t="s">
        <v>1994</v>
      </c>
      <c r="B313" s="26" t="s">
        <v>1995</v>
      </c>
      <c r="C313" s="26" t="s">
        <v>2113</v>
      </c>
      <c r="D313" s="92"/>
      <c r="E313" s="92">
        <v>106</v>
      </c>
    </row>
    <row r="314" spans="1:5" x14ac:dyDescent="0.25">
      <c r="A314" s="26" t="s">
        <v>1993</v>
      </c>
      <c r="B314" s="26" t="s">
        <v>1323</v>
      </c>
      <c r="C314" s="26" t="s">
        <v>458</v>
      </c>
      <c r="D314" s="92"/>
      <c r="E314" s="92">
        <v>104</v>
      </c>
    </row>
    <row r="315" spans="1:5" x14ac:dyDescent="0.25">
      <c r="A315" s="26" t="s">
        <v>377</v>
      </c>
      <c r="B315" s="26" t="s">
        <v>378</v>
      </c>
      <c r="C315" s="26" t="s">
        <v>415</v>
      </c>
      <c r="D315" s="92">
        <v>3850</v>
      </c>
      <c r="E315" s="92">
        <v>20750</v>
      </c>
    </row>
    <row r="316" spans="1:5" x14ac:dyDescent="0.25">
      <c r="A316" s="26" t="s">
        <v>1198</v>
      </c>
      <c r="B316" s="26" t="s">
        <v>1199</v>
      </c>
      <c r="C316" s="26" t="s">
        <v>379</v>
      </c>
      <c r="D316" s="92">
        <v>560</v>
      </c>
      <c r="E316" s="92">
        <v>3790</v>
      </c>
    </row>
    <row r="317" spans="1:5" x14ac:dyDescent="0.25">
      <c r="A317" s="26" t="s">
        <v>319</v>
      </c>
      <c r="B317" s="26" t="s">
        <v>320</v>
      </c>
      <c r="C317" s="26" t="s">
        <v>402</v>
      </c>
      <c r="D317" s="92"/>
      <c r="E317" s="92">
        <v>10500</v>
      </c>
    </row>
    <row r="318" spans="1:5" x14ac:dyDescent="0.25">
      <c r="A318" s="26" t="s">
        <v>319</v>
      </c>
      <c r="B318" s="26"/>
      <c r="C318" s="26" t="s">
        <v>321</v>
      </c>
      <c r="D318" s="92"/>
      <c r="E318" s="92">
        <v>11650</v>
      </c>
    </row>
    <row r="319" spans="1:5" x14ac:dyDescent="0.25">
      <c r="A319" s="26" t="s">
        <v>309</v>
      </c>
      <c r="B319" s="26" t="s">
        <v>310</v>
      </c>
      <c r="C319" s="26" t="s">
        <v>311</v>
      </c>
      <c r="D319" s="92">
        <v>1120</v>
      </c>
      <c r="E319" s="92">
        <v>12680</v>
      </c>
    </row>
    <row r="320" spans="1:5" x14ac:dyDescent="0.25">
      <c r="A320" s="26" t="s">
        <v>1127</v>
      </c>
      <c r="B320" s="26" t="s">
        <v>1128</v>
      </c>
      <c r="C320" s="26" t="s">
        <v>1129</v>
      </c>
      <c r="D320" s="92"/>
      <c r="E320" s="92">
        <v>209</v>
      </c>
    </row>
    <row r="321" spans="1:5" x14ac:dyDescent="0.25">
      <c r="A321" s="26" t="s">
        <v>345</v>
      </c>
      <c r="B321" s="26" t="s">
        <v>1504</v>
      </c>
      <c r="C321" s="26" t="s">
        <v>344</v>
      </c>
      <c r="D321" s="92"/>
      <c r="E321" s="92">
        <v>0</v>
      </c>
    </row>
    <row r="322" spans="1:5" x14ac:dyDescent="0.25">
      <c r="A322" s="26" t="s">
        <v>659</v>
      </c>
      <c r="B322" s="26" t="s">
        <v>660</v>
      </c>
      <c r="C322" s="26" t="s">
        <v>625</v>
      </c>
      <c r="D322" s="92"/>
      <c r="E322" s="92">
        <v>0</v>
      </c>
    </row>
    <row r="323" spans="1:5" x14ac:dyDescent="0.25">
      <c r="A323" s="26" t="s">
        <v>884</v>
      </c>
      <c r="B323" s="26" t="s">
        <v>885</v>
      </c>
      <c r="C323" s="26" t="s">
        <v>886</v>
      </c>
      <c r="D323" s="92">
        <v>600</v>
      </c>
      <c r="E323" s="92">
        <v>100</v>
      </c>
    </row>
    <row r="324" spans="1:5" x14ac:dyDescent="0.25">
      <c r="A324" s="26" t="s">
        <v>1725</v>
      </c>
      <c r="B324" s="26" t="s">
        <v>694</v>
      </c>
      <c r="C324" s="26" t="s">
        <v>693</v>
      </c>
      <c r="D324" s="92"/>
      <c r="E324" s="92">
        <v>10000</v>
      </c>
    </row>
    <row r="325" spans="1:5" x14ac:dyDescent="0.25">
      <c r="A325" s="26" t="s">
        <v>1725</v>
      </c>
      <c r="B325" s="26"/>
      <c r="C325" s="26" t="s">
        <v>702</v>
      </c>
      <c r="D325" s="92"/>
      <c r="E325" s="92">
        <v>49714</v>
      </c>
    </row>
    <row r="326" spans="1:5" x14ac:dyDescent="0.25">
      <c r="A326" s="26" t="s">
        <v>1954</v>
      </c>
      <c r="B326" s="26" t="s">
        <v>1955</v>
      </c>
      <c r="C326" s="26" t="s">
        <v>722</v>
      </c>
      <c r="D326" s="92"/>
      <c r="E326" s="92">
        <v>0</v>
      </c>
    </row>
    <row r="327" spans="1:5" x14ac:dyDescent="0.25">
      <c r="A327" s="26" t="s">
        <v>718</v>
      </c>
      <c r="B327" s="26" t="s">
        <v>719</v>
      </c>
      <c r="C327" s="26" t="s">
        <v>722</v>
      </c>
      <c r="D327" s="92">
        <v>2000</v>
      </c>
      <c r="E327" s="92">
        <v>2000</v>
      </c>
    </row>
    <row r="328" spans="1:5" x14ac:dyDescent="0.25">
      <c r="A328" s="26" t="s">
        <v>1898</v>
      </c>
      <c r="B328" s="26" t="s">
        <v>1899</v>
      </c>
      <c r="C328" s="26" t="s">
        <v>935</v>
      </c>
      <c r="D328" s="92">
        <v>600</v>
      </c>
      <c r="E328" s="92">
        <v>0</v>
      </c>
    </row>
    <row r="329" spans="1:5" x14ac:dyDescent="0.25">
      <c r="A329" s="26" t="s">
        <v>647</v>
      </c>
      <c r="B329" s="26" t="s">
        <v>648</v>
      </c>
      <c r="C329" s="26" t="s">
        <v>651</v>
      </c>
      <c r="D329" s="92">
        <v>3500</v>
      </c>
      <c r="E329" s="92">
        <v>1000</v>
      </c>
    </row>
    <row r="330" spans="1:5" x14ac:dyDescent="0.25">
      <c r="A330" s="26" t="s">
        <v>800</v>
      </c>
      <c r="B330" s="26" t="s">
        <v>801</v>
      </c>
      <c r="C330" s="26" t="s">
        <v>802</v>
      </c>
      <c r="D330" s="92"/>
      <c r="E330" s="92">
        <v>255</v>
      </c>
    </row>
    <row r="331" spans="1:5" x14ac:dyDescent="0.25">
      <c r="A331" s="26" t="s">
        <v>1449</v>
      </c>
      <c r="B331" s="26" t="s">
        <v>1478</v>
      </c>
      <c r="C331" s="26" t="s">
        <v>990</v>
      </c>
      <c r="D331" s="92"/>
      <c r="E331" s="92">
        <v>6000</v>
      </c>
    </row>
    <row r="332" spans="1:5" x14ac:dyDescent="0.25">
      <c r="A332" s="26" t="s">
        <v>2078</v>
      </c>
      <c r="B332" s="26" t="s">
        <v>182</v>
      </c>
      <c r="C332" s="26" t="s">
        <v>2076</v>
      </c>
      <c r="D332" s="92"/>
      <c r="E332" s="92">
        <v>1677</v>
      </c>
    </row>
    <row r="333" spans="1:5" x14ac:dyDescent="0.25">
      <c r="A333" s="26" t="s">
        <v>1104</v>
      </c>
      <c r="B333" s="26" t="s">
        <v>1104</v>
      </c>
      <c r="C333" s="26" t="s">
        <v>1080</v>
      </c>
      <c r="D333" s="92"/>
      <c r="E333" s="92">
        <v>0</v>
      </c>
    </row>
    <row r="334" spans="1:5" x14ac:dyDescent="0.25">
      <c r="A334" s="26" t="s">
        <v>396</v>
      </c>
      <c r="B334" s="26" t="s">
        <v>397</v>
      </c>
      <c r="C334" s="26" t="s">
        <v>398</v>
      </c>
      <c r="D334" s="92">
        <v>4370</v>
      </c>
      <c r="E334" s="92">
        <v>1080</v>
      </c>
    </row>
    <row r="335" spans="1:5" x14ac:dyDescent="0.25">
      <c r="A335" s="26" t="s">
        <v>293</v>
      </c>
      <c r="B335" s="26" t="s">
        <v>294</v>
      </c>
      <c r="C335" s="26" t="s">
        <v>292</v>
      </c>
      <c r="D335" s="92">
        <v>1311</v>
      </c>
      <c r="E335" s="92">
        <v>5681</v>
      </c>
    </row>
    <row r="336" spans="1:5" x14ac:dyDescent="0.25">
      <c r="A336" s="26" t="s">
        <v>1233</v>
      </c>
      <c r="B336" s="26" t="s">
        <v>1234</v>
      </c>
      <c r="C336" s="26" t="s">
        <v>510</v>
      </c>
      <c r="D336" s="92">
        <v>1880</v>
      </c>
      <c r="E336" s="92">
        <v>1520</v>
      </c>
    </row>
    <row r="337" spans="1:5" x14ac:dyDescent="0.25">
      <c r="A337" s="26" t="s">
        <v>419</v>
      </c>
      <c r="B337" s="26" t="s">
        <v>420</v>
      </c>
      <c r="C337" s="26" t="s">
        <v>421</v>
      </c>
      <c r="D337" s="92">
        <v>220</v>
      </c>
      <c r="E337" s="92">
        <v>930</v>
      </c>
    </row>
    <row r="338" spans="1:5" x14ac:dyDescent="0.25">
      <c r="A338" s="26" t="s">
        <v>1214</v>
      </c>
      <c r="B338" s="26" t="s">
        <v>1215</v>
      </c>
      <c r="C338" s="26" t="s">
        <v>510</v>
      </c>
      <c r="D338" s="92"/>
      <c r="E338" s="92">
        <v>250</v>
      </c>
    </row>
    <row r="339" spans="1:5" x14ac:dyDescent="0.25">
      <c r="A339" s="26" t="s">
        <v>1029</v>
      </c>
      <c r="B339" s="26" t="s">
        <v>1030</v>
      </c>
      <c r="C339" s="26" t="s">
        <v>1031</v>
      </c>
      <c r="D339" s="92"/>
      <c r="E339" s="92">
        <v>0</v>
      </c>
    </row>
    <row r="340" spans="1:5" x14ac:dyDescent="0.25">
      <c r="A340" s="26" t="s">
        <v>739</v>
      </c>
      <c r="B340" s="26" t="s">
        <v>740</v>
      </c>
      <c r="C340" s="26" t="s">
        <v>738</v>
      </c>
      <c r="D340" s="92">
        <v>2900</v>
      </c>
      <c r="E340" s="92">
        <v>17236</v>
      </c>
    </row>
    <row r="341" spans="1:5" x14ac:dyDescent="0.25">
      <c r="A341" s="26" t="s">
        <v>794</v>
      </c>
      <c r="B341" s="26" t="s">
        <v>740</v>
      </c>
      <c r="C341" s="26" t="s">
        <v>795</v>
      </c>
      <c r="D341" s="92"/>
      <c r="E341" s="92">
        <v>1000</v>
      </c>
    </row>
    <row r="342" spans="1:5" x14ac:dyDescent="0.25">
      <c r="A342" s="26" t="s">
        <v>899</v>
      </c>
      <c r="B342" s="26" t="s">
        <v>900</v>
      </c>
      <c r="C342" s="26" t="s">
        <v>897</v>
      </c>
      <c r="D342" s="92"/>
      <c r="E342" s="92">
        <v>500</v>
      </c>
    </row>
    <row r="343" spans="1:5" x14ac:dyDescent="0.25">
      <c r="A343" s="26" t="s">
        <v>1777</v>
      </c>
      <c r="B343" s="26" t="s">
        <v>690</v>
      </c>
      <c r="C343" s="26" t="s">
        <v>661</v>
      </c>
      <c r="D343" s="92">
        <v>14800</v>
      </c>
      <c r="E343" s="92">
        <v>5243</v>
      </c>
    </row>
    <row r="344" spans="1:5" x14ac:dyDescent="0.25">
      <c r="A344" s="26" t="s">
        <v>1731</v>
      </c>
      <c r="B344" s="26" t="s">
        <v>690</v>
      </c>
      <c r="C344" s="26" t="s">
        <v>691</v>
      </c>
      <c r="D344" s="92"/>
      <c r="E344" s="92">
        <v>200</v>
      </c>
    </row>
    <row r="345" spans="1:5" x14ac:dyDescent="0.25">
      <c r="A345" s="26" t="s">
        <v>937</v>
      </c>
      <c r="B345" s="26" t="s">
        <v>938</v>
      </c>
      <c r="C345" s="26" t="s">
        <v>939</v>
      </c>
      <c r="D345" s="92">
        <v>200</v>
      </c>
      <c r="E345" s="92">
        <v>300</v>
      </c>
    </row>
    <row r="346" spans="1:5" x14ac:dyDescent="0.25">
      <c r="A346" s="26" t="s">
        <v>621</v>
      </c>
      <c r="B346" s="26" t="s">
        <v>622</v>
      </c>
      <c r="C346" s="26" t="s">
        <v>616</v>
      </c>
      <c r="D346" s="92"/>
      <c r="E346" s="92">
        <v>7289</v>
      </c>
    </row>
    <row r="347" spans="1:5" x14ac:dyDescent="0.25">
      <c r="A347" s="26" t="s">
        <v>2003</v>
      </c>
      <c r="B347" s="26" t="s">
        <v>622</v>
      </c>
      <c r="C347" s="26" t="s">
        <v>2004</v>
      </c>
      <c r="D347" s="92"/>
      <c r="E347" s="92">
        <v>900</v>
      </c>
    </row>
    <row r="348" spans="1:5" x14ac:dyDescent="0.25">
      <c r="A348" s="26" t="s">
        <v>680</v>
      </c>
      <c r="B348" s="26" t="s">
        <v>681</v>
      </c>
      <c r="C348" s="26" t="s">
        <v>682</v>
      </c>
      <c r="D348" s="92"/>
      <c r="E348" s="92">
        <v>23161</v>
      </c>
    </row>
    <row r="349" spans="1:5" x14ac:dyDescent="0.25">
      <c r="A349" s="26" t="s">
        <v>2095</v>
      </c>
      <c r="B349" s="26" t="s">
        <v>708</v>
      </c>
      <c r="C349" s="26" t="s">
        <v>705</v>
      </c>
      <c r="D349" s="92"/>
      <c r="E349" s="92">
        <v>2400</v>
      </c>
    </row>
    <row r="350" spans="1:5" x14ac:dyDescent="0.25">
      <c r="A350" s="26" t="s">
        <v>1729</v>
      </c>
      <c r="B350" s="26" t="s">
        <v>708</v>
      </c>
      <c r="C350" s="26" t="s">
        <v>691</v>
      </c>
      <c r="D350" s="92"/>
      <c r="E350" s="92">
        <v>250</v>
      </c>
    </row>
    <row r="351" spans="1:5" x14ac:dyDescent="0.25">
      <c r="A351" s="26" t="s">
        <v>729</v>
      </c>
      <c r="B351" s="26" t="s">
        <v>730</v>
      </c>
      <c r="C351" s="26" t="s">
        <v>731</v>
      </c>
      <c r="D351" s="92">
        <v>1160</v>
      </c>
      <c r="E351" s="92">
        <v>2615</v>
      </c>
    </row>
    <row r="352" spans="1:5" x14ac:dyDescent="0.25">
      <c r="A352" s="26" t="s">
        <v>919</v>
      </c>
      <c r="B352" s="26" t="s">
        <v>920</v>
      </c>
      <c r="C352" s="26" t="s">
        <v>914</v>
      </c>
      <c r="D352" s="92"/>
      <c r="E352" s="92">
        <v>200</v>
      </c>
    </row>
    <row r="353" spans="1:5" x14ac:dyDescent="0.25">
      <c r="A353" s="26" t="s">
        <v>765</v>
      </c>
      <c r="B353" s="26" t="s">
        <v>709</v>
      </c>
      <c r="C353" s="26" t="s">
        <v>762</v>
      </c>
      <c r="D353" s="92">
        <v>2000</v>
      </c>
      <c r="E353" s="92">
        <v>2000</v>
      </c>
    </row>
    <row r="354" spans="1:5" x14ac:dyDescent="0.25">
      <c r="A354" s="26" t="s">
        <v>1730</v>
      </c>
      <c r="B354" s="26" t="s">
        <v>709</v>
      </c>
      <c r="C354" s="26" t="s">
        <v>691</v>
      </c>
      <c r="D354" s="92"/>
      <c r="E354" s="92">
        <v>2000</v>
      </c>
    </row>
    <row r="355" spans="1:5" x14ac:dyDescent="0.25">
      <c r="A355" s="26" t="s">
        <v>940</v>
      </c>
      <c r="B355" s="26" t="s">
        <v>941</v>
      </c>
      <c r="C355" s="26" t="s">
        <v>939</v>
      </c>
      <c r="D355" s="92">
        <v>4700</v>
      </c>
      <c r="E355" s="92">
        <v>2500</v>
      </c>
    </row>
    <row r="356" spans="1:5" x14ac:dyDescent="0.25">
      <c r="A356" s="26" t="s">
        <v>788</v>
      </c>
      <c r="B356" s="26" t="s">
        <v>789</v>
      </c>
      <c r="C356" s="26" t="s">
        <v>790</v>
      </c>
      <c r="D356" s="92"/>
      <c r="E356" s="92">
        <v>6000</v>
      </c>
    </row>
    <row r="357" spans="1:5" x14ac:dyDescent="0.25">
      <c r="A357" s="26" t="s">
        <v>1840</v>
      </c>
      <c r="B357" s="26" t="s">
        <v>649</v>
      </c>
      <c r="C357" s="26" t="s">
        <v>650</v>
      </c>
      <c r="D357" s="92"/>
      <c r="E357" s="92">
        <v>3750</v>
      </c>
    </row>
    <row r="358" spans="1:5" x14ac:dyDescent="0.25">
      <c r="A358" s="26" t="s">
        <v>652</v>
      </c>
      <c r="B358" s="26" t="s">
        <v>653</v>
      </c>
      <c r="C358" s="26" t="s">
        <v>651</v>
      </c>
      <c r="D358" s="92">
        <v>2700</v>
      </c>
      <c r="E358" s="92">
        <v>5500</v>
      </c>
    </row>
    <row r="359" spans="1:5" x14ac:dyDescent="0.25">
      <c r="A359" s="26" t="s">
        <v>323</v>
      </c>
      <c r="B359" s="26" t="s">
        <v>324</v>
      </c>
      <c r="C359" s="26" t="s">
        <v>321</v>
      </c>
      <c r="D359" s="92"/>
      <c r="E359" s="92">
        <v>2085</v>
      </c>
    </row>
    <row r="360" spans="1:5" x14ac:dyDescent="0.25">
      <c r="A360" s="26" t="s">
        <v>410</v>
      </c>
      <c r="B360" s="26" t="s">
        <v>411</v>
      </c>
      <c r="C360" s="26" t="s">
        <v>407</v>
      </c>
      <c r="D360" s="92"/>
      <c r="E360" s="92">
        <v>3400</v>
      </c>
    </row>
    <row r="361" spans="1:5" x14ac:dyDescent="0.25">
      <c r="A361" s="26" t="s">
        <v>381</v>
      </c>
      <c r="B361" s="26" t="s">
        <v>382</v>
      </c>
      <c r="C361" s="26" t="s">
        <v>379</v>
      </c>
      <c r="D361" s="92"/>
      <c r="E361" s="92">
        <v>22137</v>
      </c>
    </row>
    <row r="362" spans="1:5" x14ac:dyDescent="0.25">
      <c r="A362" s="26" t="s">
        <v>734</v>
      </c>
      <c r="B362" s="26" t="s">
        <v>735</v>
      </c>
      <c r="C362" s="26" t="s">
        <v>731</v>
      </c>
      <c r="D362" s="92">
        <v>948</v>
      </c>
      <c r="E362" s="92">
        <v>0</v>
      </c>
    </row>
    <row r="363" spans="1:5" x14ac:dyDescent="0.25">
      <c r="A363" s="26" t="s">
        <v>1923</v>
      </c>
      <c r="B363" s="26" t="s">
        <v>1924</v>
      </c>
      <c r="C363" s="26" t="s">
        <v>811</v>
      </c>
      <c r="D363" s="92"/>
      <c r="E363" s="92">
        <v>3150</v>
      </c>
    </row>
    <row r="364" spans="1:5" x14ac:dyDescent="0.25">
      <c r="A364" s="26" t="s">
        <v>763</v>
      </c>
      <c r="B364" s="26" t="s">
        <v>764</v>
      </c>
      <c r="C364" s="26" t="s">
        <v>762</v>
      </c>
      <c r="D364" s="92"/>
      <c r="E364" s="92">
        <v>400</v>
      </c>
    </row>
    <row r="365" spans="1:5" x14ac:dyDescent="0.25">
      <c r="A365" s="26" t="s">
        <v>430</v>
      </c>
      <c r="B365" s="26" t="s">
        <v>431</v>
      </c>
      <c r="C365" s="26" t="s">
        <v>429</v>
      </c>
      <c r="D365" s="92"/>
      <c r="E365" s="92">
        <v>4375</v>
      </c>
    </row>
    <row r="366" spans="1:5" x14ac:dyDescent="0.25">
      <c r="A366" s="26" t="s">
        <v>921</v>
      </c>
      <c r="B366" s="26" t="s">
        <v>922</v>
      </c>
      <c r="C366" s="26" t="s">
        <v>923</v>
      </c>
      <c r="D366" s="92">
        <v>13000</v>
      </c>
      <c r="E366" s="92">
        <v>3500</v>
      </c>
    </row>
    <row r="367" spans="1:5" x14ac:dyDescent="0.25">
      <c r="A367" s="26" t="s">
        <v>2074</v>
      </c>
      <c r="B367" s="26" t="s">
        <v>2075</v>
      </c>
      <c r="C367" s="26" t="s">
        <v>2076</v>
      </c>
      <c r="D367" s="92">
        <v>9800</v>
      </c>
      <c r="E367" s="92">
        <v>0</v>
      </c>
    </row>
    <row r="368" spans="1:5" x14ac:dyDescent="0.25">
      <c r="A368" s="26" t="s">
        <v>2033</v>
      </c>
      <c r="B368" s="26" t="s">
        <v>1813</v>
      </c>
      <c r="C368" s="26" t="s">
        <v>34</v>
      </c>
      <c r="D368" s="92">
        <v>0</v>
      </c>
      <c r="E368" s="92"/>
    </row>
    <row r="369" spans="1:5" x14ac:dyDescent="0.25">
      <c r="A369" s="26" t="s">
        <v>173</v>
      </c>
      <c r="B369" s="26" t="s">
        <v>174</v>
      </c>
      <c r="C369" s="26" t="s">
        <v>175</v>
      </c>
      <c r="D369" s="92"/>
      <c r="E369" s="92">
        <v>30790</v>
      </c>
    </row>
    <row r="370" spans="1:5" x14ac:dyDescent="0.25">
      <c r="A370" s="26" t="s">
        <v>466</v>
      </c>
      <c r="B370" s="26" t="s">
        <v>467</v>
      </c>
      <c r="C370" s="26" t="s">
        <v>1870</v>
      </c>
      <c r="D370" s="92"/>
      <c r="E370" s="92">
        <v>5150</v>
      </c>
    </row>
    <row r="371" spans="1:5" x14ac:dyDescent="0.25">
      <c r="A371" s="26" t="s">
        <v>1100</v>
      </c>
      <c r="B371" s="26" t="s">
        <v>1101</v>
      </c>
      <c r="C371" s="26" t="s">
        <v>1080</v>
      </c>
      <c r="D371" s="92">
        <v>0</v>
      </c>
      <c r="E371" s="92">
        <v>0</v>
      </c>
    </row>
    <row r="372" spans="1:5" x14ac:dyDescent="0.25">
      <c r="A372" s="26" t="s">
        <v>338</v>
      </c>
      <c r="B372" s="26" t="s">
        <v>339</v>
      </c>
      <c r="C372" s="26" t="s">
        <v>337</v>
      </c>
      <c r="D372" s="92"/>
      <c r="E372" s="92">
        <v>550</v>
      </c>
    </row>
    <row r="373" spans="1:5" x14ac:dyDescent="0.25">
      <c r="A373" s="26" t="s">
        <v>288</v>
      </c>
      <c r="B373" s="26" t="s">
        <v>289</v>
      </c>
      <c r="C373" s="26" t="s">
        <v>285</v>
      </c>
      <c r="D373" s="92"/>
      <c r="E373" s="92">
        <v>2700</v>
      </c>
    </row>
    <row r="374" spans="1:5" x14ac:dyDescent="0.25">
      <c r="A374" s="26" t="s">
        <v>326</v>
      </c>
      <c r="B374" s="26" t="s">
        <v>327</v>
      </c>
      <c r="C374" s="26" t="s">
        <v>328</v>
      </c>
      <c r="D374" s="92">
        <v>1710</v>
      </c>
      <c r="E374" s="92">
        <v>15740</v>
      </c>
    </row>
    <row r="375" spans="1:5" x14ac:dyDescent="0.25">
      <c r="A375" s="26" t="s">
        <v>1300</v>
      </c>
      <c r="B375" s="26" t="s">
        <v>376</v>
      </c>
      <c r="C375" s="26" t="s">
        <v>1980</v>
      </c>
      <c r="D375" s="92"/>
      <c r="E375" s="92">
        <v>32070</v>
      </c>
    </row>
    <row r="376" spans="1:5" x14ac:dyDescent="0.25">
      <c r="A376" s="26" t="s">
        <v>996</v>
      </c>
      <c r="B376" s="26" t="s">
        <v>997</v>
      </c>
      <c r="C376" s="26" t="s">
        <v>998</v>
      </c>
      <c r="D376" s="92"/>
      <c r="E376" s="92">
        <v>25</v>
      </c>
    </row>
    <row r="377" spans="1:5" x14ac:dyDescent="0.25">
      <c r="A377" s="26" t="s">
        <v>1864</v>
      </c>
      <c r="B377" s="26" t="s">
        <v>248</v>
      </c>
      <c r="C377" s="26" t="s">
        <v>255</v>
      </c>
      <c r="D377" s="92">
        <v>8875</v>
      </c>
      <c r="E377" s="92">
        <v>24725</v>
      </c>
    </row>
    <row r="378" spans="1:5" x14ac:dyDescent="0.25">
      <c r="A378" s="26" t="s">
        <v>247</v>
      </c>
      <c r="B378" s="26" t="s">
        <v>248</v>
      </c>
      <c r="C378" s="26" t="s">
        <v>244</v>
      </c>
      <c r="D378" s="92">
        <v>4645</v>
      </c>
      <c r="E378" s="92">
        <v>10066</v>
      </c>
    </row>
    <row r="379" spans="1:5" x14ac:dyDescent="0.25">
      <c r="A379" s="26" t="s">
        <v>253</v>
      </c>
      <c r="B379" s="26" t="s">
        <v>248</v>
      </c>
      <c r="C379" s="26" t="s">
        <v>277</v>
      </c>
      <c r="D379" s="92">
        <v>5250</v>
      </c>
      <c r="E379" s="92">
        <v>1500</v>
      </c>
    </row>
    <row r="380" spans="1:5" x14ac:dyDescent="0.25">
      <c r="A380" s="26" t="s">
        <v>1932</v>
      </c>
      <c r="B380" s="26" t="s">
        <v>1933</v>
      </c>
      <c r="C380" s="26" t="s">
        <v>337</v>
      </c>
      <c r="D380" s="92"/>
      <c r="E380" s="92">
        <v>0</v>
      </c>
    </row>
    <row r="381" spans="1:5" x14ac:dyDescent="0.25">
      <c r="A381" s="26" t="s">
        <v>473</v>
      </c>
      <c r="B381" s="26" t="s">
        <v>474</v>
      </c>
      <c r="C381" s="26" t="s">
        <v>472</v>
      </c>
      <c r="D381" s="92"/>
      <c r="E381" s="92">
        <v>250</v>
      </c>
    </row>
    <row r="382" spans="1:5" x14ac:dyDescent="0.25">
      <c r="A382" s="26" t="s">
        <v>307</v>
      </c>
      <c r="B382" s="26" t="s">
        <v>308</v>
      </c>
      <c r="C382" s="26" t="s">
        <v>304</v>
      </c>
      <c r="D382" s="92"/>
      <c r="E382" s="92">
        <v>150</v>
      </c>
    </row>
    <row r="383" spans="1:5" x14ac:dyDescent="0.25">
      <c r="A383" s="26" t="s">
        <v>1102</v>
      </c>
      <c r="B383" s="26" t="s">
        <v>1103</v>
      </c>
      <c r="C383" s="26" t="s">
        <v>1080</v>
      </c>
      <c r="D383" s="92"/>
      <c r="E383" s="92">
        <v>0</v>
      </c>
    </row>
    <row r="384" spans="1:5" x14ac:dyDescent="0.25">
      <c r="A384" s="26" t="s">
        <v>475</v>
      </c>
      <c r="B384" s="26" t="s">
        <v>476</v>
      </c>
      <c r="C384" s="26" t="s">
        <v>472</v>
      </c>
      <c r="D384" s="92"/>
      <c r="E384" s="92">
        <v>750</v>
      </c>
    </row>
    <row r="385" spans="1:5" x14ac:dyDescent="0.25">
      <c r="A385" s="26" t="s">
        <v>1086</v>
      </c>
      <c r="B385" s="26" t="s">
        <v>1087</v>
      </c>
      <c r="C385" s="26" t="s">
        <v>1080</v>
      </c>
      <c r="D385" s="92"/>
      <c r="E385" s="92">
        <v>0</v>
      </c>
    </row>
    <row r="386" spans="1:5" x14ac:dyDescent="0.25">
      <c r="A386" s="26" t="s">
        <v>543</v>
      </c>
      <c r="B386" s="26" t="s">
        <v>544</v>
      </c>
      <c r="C386" s="26" t="s">
        <v>545</v>
      </c>
      <c r="D386" s="92">
        <v>700</v>
      </c>
      <c r="E386" s="92">
        <v>600</v>
      </c>
    </row>
    <row r="387" spans="1:5" x14ac:dyDescent="0.25">
      <c r="A387" s="26" t="s">
        <v>33</v>
      </c>
      <c r="B387" s="26" t="s">
        <v>7</v>
      </c>
      <c r="C387" s="26" t="s">
        <v>34</v>
      </c>
      <c r="D387" s="92">
        <v>0</v>
      </c>
      <c r="E387" s="92">
        <v>61650</v>
      </c>
    </row>
    <row r="388" spans="1:5" x14ac:dyDescent="0.25">
      <c r="A388" s="26" t="s">
        <v>6</v>
      </c>
      <c r="B388" s="26" t="s">
        <v>7</v>
      </c>
      <c r="C388" s="26" t="s">
        <v>8</v>
      </c>
      <c r="D388" s="92"/>
      <c r="E388" s="92">
        <v>126000</v>
      </c>
    </row>
    <row r="389" spans="1:5" x14ac:dyDescent="0.25">
      <c r="A389" s="26" t="s">
        <v>2036</v>
      </c>
      <c r="B389" s="26" t="s">
        <v>1922</v>
      </c>
      <c r="C389" s="26" t="s">
        <v>1920</v>
      </c>
      <c r="D389" s="92"/>
      <c r="E389" s="92">
        <v>12450</v>
      </c>
    </row>
    <row r="390" spans="1:5" x14ac:dyDescent="0.25">
      <c r="A390" s="26" t="s">
        <v>2104</v>
      </c>
      <c r="B390" s="26" t="s">
        <v>2105</v>
      </c>
      <c r="C390" s="26" t="s">
        <v>472</v>
      </c>
      <c r="D390" s="92"/>
      <c r="E390" s="92">
        <v>20</v>
      </c>
    </row>
    <row r="391" spans="1:5" x14ac:dyDescent="0.25">
      <c r="A391" s="26" t="s">
        <v>1397</v>
      </c>
      <c r="B391" s="26" t="s">
        <v>454</v>
      </c>
      <c r="C391" s="26" t="s">
        <v>594</v>
      </c>
      <c r="D391" s="92"/>
      <c r="E391" s="92">
        <v>164000</v>
      </c>
    </row>
    <row r="392" spans="1:5" x14ac:dyDescent="0.25">
      <c r="A392" s="26" t="s">
        <v>2053</v>
      </c>
      <c r="B392" s="26" t="s">
        <v>413</v>
      </c>
      <c r="C392" s="26" t="s">
        <v>2048</v>
      </c>
      <c r="D392" s="92"/>
      <c r="E392" s="92">
        <v>790390</v>
      </c>
    </row>
    <row r="393" spans="1:5" x14ac:dyDescent="0.25">
      <c r="A393" s="26" t="s">
        <v>1804</v>
      </c>
      <c r="B393" s="26" t="s">
        <v>859</v>
      </c>
      <c r="C393" s="26" t="s">
        <v>675</v>
      </c>
      <c r="D393" s="92"/>
      <c r="E393" s="92">
        <v>55</v>
      </c>
    </row>
    <row r="394" spans="1:5" x14ac:dyDescent="0.25">
      <c r="A394" s="26" t="s">
        <v>1988</v>
      </c>
      <c r="B394" s="26" t="s">
        <v>859</v>
      </c>
      <c r="C394" s="26" t="s">
        <v>675</v>
      </c>
      <c r="D394" s="92">
        <v>15</v>
      </c>
      <c r="E394" s="92">
        <v>35</v>
      </c>
    </row>
    <row r="395" spans="1:5" x14ac:dyDescent="0.25">
      <c r="A395" s="26" t="s">
        <v>412</v>
      </c>
      <c r="B395" s="26" t="s">
        <v>413</v>
      </c>
      <c r="C395" s="26" t="s">
        <v>407</v>
      </c>
      <c r="D395" s="92">
        <v>2250</v>
      </c>
      <c r="E395" s="92">
        <v>19877</v>
      </c>
    </row>
    <row r="396" spans="1:5" x14ac:dyDescent="0.25">
      <c r="A396" s="26" t="s">
        <v>761</v>
      </c>
      <c r="B396" s="26" t="s">
        <v>413</v>
      </c>
      <c r="C396" s="26" t="s">
        <v>762</v>
      </c>
      <c r="D396" s="92"/>
      <c r="E396" s="92">
        <v>1400</v>
      </c>
    </row>
    <row r="397" spans="1:5" x14ac:dyDescent="0.25">
      <c r="A397" s="26" t="s">
        <v>584</v>
      </c>
      <c r="B397" s="26" t="s">
        <v>1948</v>
      </c>
      <c r="C397" s="26" t="s">
        <v>582</v>
      </c>
      <c r="D397" s="92"/>
      <c r="E397" s="92">
        <v>6000</v>
      </c>
    </row>
    <row r="398" spans="1:5" x14ac:dyDescent="0.25">
      <c r="A398" s="26" t="s">
        <v>1890</v>
      </c>
      <c r="B398" s="26" t="s">
        <v>1891</v>
      </c>
      <c r="C398" s="26" t="s">
        <v>1892</v>
      </c>
      <c r="D398" s="92"/>
      <c r="E398" s="92">
        <v>200</v>
      </c>
    </row>
    <row r="399" spans="1:5" x14ac:dyDescent="0.25">
      <c r="A399" s="26" t="s">
        <v>1967</v>
      </c>
      <c r="B399" s="26" t="s">
        <v>1718</v>
      </c>
      <c r="C399" s="26" t="s">
        <v>398</v>
      </c>
      <c r="D399" s="92"/>
      <c r="E399" s="92">
        <v>20105</v>
      </c>
    </row>
    <row r="400" spans="1:5" x14ac:dyDescent="0.25">
      <c r="A400" s="26" t="s">
        <v>1967</v>
      </c>
      <c r="B400" s="26"/>
      <c r="C400" s="26" t="s">
        <v>638</v>
      </c>
      <c r="D400" s="92"/>
      <c r="E400" s="92">
        <v>28000</v>
      </c>
    </row>
    <row r="401" spans="1:5" x14ac:dyDescent="0.25">
      <c r="A401" s="26" t="s">
        <v>636</v>
      </c>
      <c r="B401" s="26" t="s">
        <v>637</v>
      </c>
      <c r="C401" s="26" t="s">
        <v>638</v>
      </c>
      <c r="D401" s="92"/>
      <c r="E401" s="92">
        <v>63000</v>
      </c>
    </row>
    <row r="402" spans="1:5" x14ac:dyDescent="0.25">
      <c r="A402" s="26" t="s">
        <v>860</v>
      </c>
      <c r="B402" s="26" t="s">
        <v>861</v>
      </c>
      <c r="C402" s="26" t="s">
        <v>862</v>
      </c>
      <c r="D402" s="92">
        <v>754</v>
      </c>
      <c r="E402" s="92">
        <v>200</v>
      </c>
    </row>
    <row r="403" spans="1:5" x14ac:dyDescent="0.25">
      <c r="A403" s="26" t="s">
        <v>1008</v>
      </c>
      <c r="B403" s="26" t="s">
        <v>1009</v>
      </c>
      <c r="C403" s="26" t="s">
        <v>1010</v>
      </c>
      <c r="D403" s="92">
        <v>100</v>
      </c>
      <c r="E403" s="92">
        <v>4400</v>
      </c>
    </row>
    <row r="404" spans="1:5" x14ac:dyDescent="0.25">
      <c r="A404" s="26" t="s">
        <v>773</v>
      </c>
      <c r="B404" s="26" t="s">
        <v>774</v>
      </c>
      <c r="C404" s="26" t="s">
        <v>775</v>
      </c>
      <c r="D404" s="92"/>
      <c r="E404" s="92">
        <v>8482</v>
      </c>
    </row>
    <row r="405" spans="1:5" x14ac:dyDescent="0.25">
      <c r="A405" s="26" t="s">
        <v>1723</v>
      </c>
      <c r="B405" s="26" t="s">
        <v>641</v>
      </c>
      <c r="C405" s="26" t="s">
        <v>642</v>
      </c>
      <c r="D405" s="92">
        <v>16000</v>
      </c>
      <c r="E405" s="92">
        <v>27600</v>
      </c>
    </row>
    <row r="406" spans="1:5" x14ac:dyDescent="0.25">
      <c r="A406" s="26" t="s">
        <v>952</v>
      </c>
      <c r="B406" s="26" t="s">
        <v>953</v>
      </c>
      <c r="C406" s="26" t="s">
        <v>948</v>
      </c>
      <c r="D406" s="92"/>
      <c r="E406" s="92">
        <v>178</v>
      </c>
    </row>
    <row r="407" spans="1:5" x14ac:dyDescent="0.25">
      <c r="A407" s="26" t="s">
        <v>732</v>
      </c>
      <c r="B407" s="26" t="s">
        <v>733</v>
      </c>
      <c r="C407" s="26" t="s">
        <v>731</v>
      </c>
      <c r="D407" s="92"/>
      <c r="E407" s="92">
        <v>1184</v>
      </c>
    </row>
    <row r="408" spans="1:5" x14ac:dyDescent="0.25">
      <c r="A408" s="26" t="s">
        <v>759</v>
      </c>
      <c r="B408" s="26" t="s">
        <v>733</v>
      </c>
      <c r="C408" s="26" t="s">
        <v>760</v>
      </c>
      <c r="D408" s="92">
        <v>15154</v>
      </c>
      <c r="E408" s="92">
        <v>24750</v>
      </c>
    </row>
    <row r="409" spans="1:5" x14ac:dyDescent="0.25">
      <c r="A409" s="26" t="s">
        <v>699</v>
      </c>
      <c r="B409" s="26" t="s">
        <v>700</v>
      </c>
      <c r="C409" s="26" t="s">
        <v>701</v>
      </c>
      <c r="D409" s="92">
        <v>6000</v>
      </c>
      <c r="E409" s="92">
        <v>18000</v>
      </c>
    </row>
    <row r="410" spans="1:5" x14ac:dyDescent="0.25">
      <c r="A410" s="26" t="s">
        <v>908</v>
      </c>
      <c r="B410" s="26" t="s">
        <v>909</v>
      </c>
      <c r="C410" s="26" t="s">
        <v>903</v>
      </c>
      <c r="D410" s="92"/>
      <c r="E410" s="92">
        <v>200</v>
      </c>
    </row>
    <row r="411" spans="1:5" x14ac:dyDescent="0.25">
      <c r="A411" s="26" t="s">
        <v>880</v>
      </c>
      <c r="B411" s="26" t="s">
        <v>881</v>
      </c>
      <c r="C411" s="26" t="s">
        <v>882</v>
      </c>
      <c r="D411" s="92"/>
      <c r="E411" s="92">
        <v>8750</v>
      </c>
    </row>
    <row r="412" spans="1:5" x14ac:dyDescent="0.25">
      <c r="A412" s="26" t="s">
        <v>671</v>
      </c>
      <c r="B412" s="26" t="s">
        <v>672</v>
      </c>
      <c r="C412" s="26" t="s">
        <v>669</v>
      </c>
      <c r="D412" s="92">
        <v>30000</v>
      </c>
      <c r="E412" s="92">
        <v>5000</v>
      </c>
    </row>
    <row r="413" spans="1:5" x14ac:dyDescent="0.25">
      <c r="A413" s="26" t="s">
        <v>910</v>
      </c>
      <c r="B413" s="26" t="s">
        <v>911</v>
      </c>
      <c r="C413" s="26" t="s">
        <v>903</v>
      </c>
      <c r="D413" s="92"/>
      <c r="E413" s="92">
        <v>250</v>
      </c>
    </row>
    <row r="414" spans="1:5" x14ac:dyDescent="0.25">
      <c r="A414" s="26" t="s">
        <v>1956</v>
      </c>
      <c r="B414" s="26" t="s">
        <v>1957</v>
      </c>
      <c r="C414" s="26" t="s">
        <v>768</v>
      </c>
      <c r="D414" s="92"/>
      <c r="E414" s="92"/>
    </row>
    <row r="415" spans="1:5" x14ac:dyDescent="0.25">
      <c r="A415" s="26" t="s">
        <v>1776</v>
      </c>
      <c r="B415" s="26" t="s">
        <v>555</v>
      </c>
      <c r="C415" s="26" t="s">
        <v>554</v>
      </c>
      <c r="D415" s="92">
        <v>12500</v>
      </c>
      <c r="E415" s="92">
        <v>4300</v>
      </c>
    </row>
    <row r="416" spans="1:5" x14ac:dyDescent="0.25">
      <c r="A416" s="26" t="s">
        <v>715</v>
      </c>
      <c r="B416" s="26" t="s">
        <v>555</v>
      </c>
      <c r="C416" s="26" t="s">
        <v>712</v>
      </c>
      <c r="D416" s="92"/>
      <c r="E416" s="92">
        <v>11048</v>
      </c>
    </row>
    <row r="417" spans="1:5" x14ac:dyDescent="0.25">
      <c r="A417" s="26" t="s">
        <v>511</v>
      </c>
      <c r="B417" s="26" t="s">
        <v>1448</v>
      </c>
      <c r="C417" s="26" t="s">
        <v>510</v>
      </c>
      <c r="D417" s="92"/>
      <c r="E417" s="92">
        <v>5000</v>
      </c>
    </row>
    <row r="418" spans="1:5" x14ac:dyDescent="0.25">
      <c r="A418" s="26" t="s">
        <v>511</v>
      </c>
      <c r="B418" s="26"/>
      <c r="C418" s="26" t="s">
        <v>923</v>
      </c>
      <c r="D418" s="92"/>
      <c r="E418" s="92">
        <v>50</v>
      </c>
    </row>
    <row r="419" spans="1:5" x14ac:dyDescent="0.25">
      <c r="A419" s="26" t="s">
        <v>654</v>
      </c>
      <c r="B419" s="26" t="s">
        <v>655</v>
      </c>
      <c r="C419" s="26" t="s">
        <v>656</v>
      </c>
      <c r="D419" s="92">
        <v>1200</v>
      </c>
      <c r="E419" s="92">
        <v>51300</v>
      </c>
    </row>
    <row r="420" spans="1:5" x14ac:dyDescent="0.25">
      <c r="A420" s="26" t="s">
        <v>993</v>
      </c>
      <c r="B420" s="26" t="s">
        <v>994</v>
      </c>
      <c r="C420" s="26" t="s">
        <v>995</v>
      </c>
      <c r="D420" s="92"/>
      <c r="E420" s="92">
        <v>960</v>
      </c>
    </row>
    <row r="421" spans="1:5" x14ac:dyDescent="0.25">
      <c r="A421" s="26" t="s">
        <v>2055</v>
      </c>
      <c r="B421" s="26" t="s">
        <v>2054</v>
      </c>
      <c r="C421" s="26" t="s">
        <v>762</v>
      </c>
      <c r="D421" s="92"/>
      <c r="E421" s="92">
        <v>150</v>
      </c>
    </row>
    <row r="422" spans="1:5" x14ac:dyDescent="0.25">
      <c r="A422" s="26" t="s">
        <v>2129</v>
      </c>
      <c r="B422" s="26" t="s">
        <v>1514</v>
      </c>
      <c r="C422" s="26" t="s">
        <v>373</v>
      </c>
      <c r="D422" s="92"/>
      <c r="E422" s="92">
        <v>10067</v>
      </c>
    </row>
    <row r="423" spans="1:5" x14ac:dyDescent="0.25">
      <c r="A423" s="26" t="s">
        <v>1721</v>
      </c>
      <c r="B423" s="26" t="s">
        <v>211</v>
      </c>
      <c r="C423" s="26" t="s">
        <v>251</v>
      </c>
      <c r="D423" s="92">
        <v>6800</v>
      </c>
      <c r="E423" s="92">
        <v>97636</v>
      </c>
    </row>
    <row r="424" spans="1:5" x14ac:dyDescent="0.25">
      <c r="A424" s="26" t="s">
        <v>1333</v>
      </c>
      <c r="B424" s="26" t="s">
        <v>211</v>
      </c>
      <c r="C424" s="26" t="s">
        <v>1765</v>
      </c>
      <c r="D424" s="92"/>
      <c r="E424" s="92">
        <v>100425</v>
      </c>
    </row>
    <row r="425" spans="1:5" x14ac:dyDescent="0.25">
      <c r="A425" s="26" t="s">
        <v>210</v>
      </c>
      <c r="B425" s="26" t="s">
        <v>211</v>
      </c>
      <c r="C425" s="26" t="s">
        <v>212</v>
      </c>
      <c r="D425" s="92">
        <v>133660</v>
      </c>
      <c r="E425" s="92">
        <v>41000</v>
      </c>
    </row>
    <row r="426" spans="1:5" x14ac:dyDescent="0.25">
      <c r="A426" s="26" t="s">
        <v>905</v>
      </c>
      <c r="B426" s="26" t="s">
        <v>906</v>
      </c>
      <c r="C426" s="26" t="s">
        <v>903</v>
      </c>
      <c r="D426" s="92">
        <v>7100</v>
      </c>
      <c r="E426" s="92">
        <v>1500</v>
      </c>
    </row>
    <row r="427" spans="1:5" x14ac:dyDescent="0.25">
      <c r="A427" s="26" t="s">
        <v>539</v>
      </c>
      <c r="B427" s="26" t="s">
        <v>540</v>
      </c>
      <c r="C427" s="26" t="s">
        <v>526</v>
      </c>
      <c r="D427" s="92"/>
      <c r="E427" s="92">
        <v>13500</v>
      </c>
    </row>
    <row r="428" spans="1:5" x14ac:dyDescent="0.25">
      <c r="A428" s="26" t="s">
        <v>552</v>
      </c>
      <c r="B428" s="26" t="s">
        <v>553</v>
      </c>
      <c r="C428" s="26" t="s">
        <v>554</v>
      </c>
      <c r="D428" s="92">
        <v>1500</v>
      </c>
      <c r="E428" s="92">
        <v>24778</v>
      </c>
    </row>
    <row r="429" spans="1:5" x14ac:dyDescent="0.25">
      <c r="A429" s="26" t="s">
        <v>927</v>
      </c>
      <c r="B429" s="26" t="s">
        <v>928</v>
      </c>
      <c r="C429" s="26" t="s">
        <v>929</v>
      </c>
      <c r="D429" s="92"/>
      <c r="E429" s="92">
        <v>400</v>
      </c>
    </row>
    <row r="430" spans="1:5" x14ac:dyDescent="0.25">
      <c r="A430" s="26" t="s">
        <v>631</v>
      </c>
      <c r="B430" s="26" t="s">
        <v>632</v>
      </c>
      <c r="C430" s="26" t="s">
        <v>633</v>
      </c>
      <c r="D430" s="92">
        <v>19615</v>
      </c>
      <c r="E430" s="92">
        <v>10500</v>
      </c>
    </row>
    <row r="431" spans="1:5" x14ac:dyDescent="0.25">
      <c r="A431" s="26" t="s">
        <v>634</v>
      </c>
      <c r="B431" s="26" t="s">
        <v>632</v>
      </c>
      <c r="C431" s="26" t="s">
        <v>633</v>
      </c>
      <c r="D431" s="92"/>
      <c r="E431" s="92">
        <v>4500</v>
      </c>
    </row>
    <row r="432" spans="1:5" x14ac:dyDescent="0.25">
      <c r="A432" s="26" t="s">
        <v>781</v>
      </c>
      <c r="B432" s="26" t="s">
        <v>782</v>
      </c>
      <c r="C432" s="26" t="s">
        <v>778</v>
      </c>
      <c r="D432" s="92"/>
      <c r="E432" s="92">
        <v>300</v>
      </c>
    </row>
    <row r="433" spans="1:5" x14ac:dyDescent="0.25">
      <c r="A433" s="26" t="s">
        <v>895</v>
      </c>
      <c r="B433" s="26" t="s">
        <v>896</v>
      </c>
      <c r="C433" s="26" t="s">
        <v>897</v>
      </c>
      <c r="D433" s="92"/>
      <c r="E433" s="92">
        <v>700</v>
      </c>
    </row>
    <row r="434" spans="1:5" x14ac:dyDescent="0.25">
      <c r="A434" s="26" t="s">
        <v>400</v>
      </c>
      <c r="B434" s="26" t="s">
        <v>401</v>
      </c>
      <c r="C434" s="26" t="s">
        <v>402</v>
      </c>
      <c r="D434" s="92">
        <v>8100</v>
      </c>
      <c r="E434" s="92">
        <v>900</v>
      </c>
    </row>
    <row r="435" spans="1:5" x14ac:dyDescent="0.25">
      <c r="A435" s="26" t="s">
        <v>1728</v>
      </c>
      <c r="B435" s="26" t="s">
        <v>707</v>
      </c>
      <c r="C435" s="26" t="s">
        <v>691</v>
      </c>
      <c r="D435" s="92"/>
      <c r="E435" s="92">
        <v>170</v>
      </c>
    </row>
    <row r="436" spans="1:5" x14ac:dyDescent="0.25">
      <c r="A436" s="26" t="s">
        <v>962</v>
      </c>
      <c r="B436" s="26" t="s">
        <v>963</v>
      </c>
      <c r="C436" s="26" t="s">
        <v>964</v>
      </c>
      <c r="D436" s="92">
        <v>750</v>
      </c>
      <c r="E436" s="92">
        <v>50</v>
      </c>
    </row>
    <row r="437" spans="1:5" x14ac:dyDescent="0.25">
      <c r="A437" s="26" t="s">
        <v>1763</v>
      </c>
      <c r="B437" s="26" t="s">
        <v>2166</v>
      </c>
      <c r="C437" s="26" t="s">
        <v>964</v>
      </c>
      <c r="D437" s="92"/>
      <c r="E437" s="92">
        <v>44</v>
      </c>
    </row>
    <row r="438" spans="1:5" x14ac:dyDescent="0.25">
      <c r="A438" s="26" t="s">
        <v>749</v>
      </c>
      <c r="B438" s="26" t="s">
        <v>750</v>
      </c>
      <c r="C438" s="26" t="s">
        <v>751</v>
      </c>
      <c r="D438" s="92"/>
      <c r="E438" s="92">
        <v>95</v>
      </c>
    </row>
    <row r="439" spans="1:5" x14ac:dyDescent="0.25">
      <c r="A439" s="26" t="s">
        <v>1150</v>
      </c>
      <c r="B439" s="26" t="s">
        <v>1151</v>
      </c>
      <c r="C439" s="26" t="s">
        <v>1080</v>
      </c>
      <c r="D439" s="92"/>
      <c r="E439" s="92">
        <v>2200</v>
      </c>
    </row>
    <row r="440" spans="1:5" x14ac:dyDescent="0.25">
      <c r="A440" s="26" t="s">
        <v>442</v>
      </c>
      <c r="B440" s="26" t="s">
        <v>443</v>
      </c>
      <c r="C440" s="26" t="s">
        <v>438</v>
      </c>
      <c r="D440" s="92">
        <v>3000</v>
      </c>
      <c r="E440" s="92">
        <v>11000</v>
      </c>
    </row>
    <row r="441" spans="1:5" x14ac:dyDescent="0.25">
      <c r="A441" s="26" t="s">
        <v>769</v>
      </c>
      <c r="B441" s="26" t="s">
        <v>770</v>
      </c>
      <c r="C441" s="26" t="s">
        <v>751</v>
      </c>
      <c r="D441" s="92"/>
      <c r="E441" s="92">
        <v>82</v>
      </c>
    </row>
    <row r="442" spans="1:5" x14ac:dyDescent="0.25">
      <c r="A442" s="26" t="s">
        <v>1823</v>
      </c>
      <c r="B442" s="26" t="s">
        <v>1815</v>
      </c>
      <c r="C442" s="26" t="s">
        <v>398</v>
      </c>
      <c r="D442" s="92">
        <v>850</v>
      </c>
      <c r="E442" s="92">
        <v>4250</v>
      </c>
    </row>
    <row r="443" spans="1:5" x14ac:dyDescent="0.25">
      <c r="A443" s="26" t="s">
        <v>1727</v>
      </c>
      <c r="B443" s="26" t="s">
        <v>706</v>
      </c>
      <c r="C443" s="26" t="s">
        <v>691</v>
      </c>
      <c r="D443" s="92"/>
      <c r="E443" s="92">
        <v>35</v>
      </c>
    </row>
    <row r="444" spans="1:5" x14ac:dyDescent="0.25">
      <c r="A444" s="26" t="s">
        <v>1996</v>
      </c>
      <c r="B444" s="26" t="s">
        <v>1997</v>
      </c>
      <c r="C444" s="26" t="s">
        <v>1990</v>
      </c>
      <c r="D444" s="92"/>
      <c r="E444" s="92">
        <v>104</v>
      </c>
    </row>
    <row r="445" spans="1:5" x14ac:dyDescent="0.25">
      <c r="A445" s="26" t="s">
        <v>1989</v>
      </c>
      <c r="B445" s="26" t="s">
        <v>1969</v>
      </c>
      <c r="C445" s="26" t="s">
        <v>1990</v>
      </c>
      <c r="D445" s="92"/>
      <c r="E445" s="92">
        <v>110</v>
      </c>
    </row>
    <row r="446" spans="1:5" x14ac:dyDescent="0.25">
      <c r="A446" s="26" t="s">
        <v>494</v>
      </c>
      <c r="B446" s="26" t="s">
        <v>495</v>
      </c>
      <c r="C446" s="26" t="s">
        <v>491</v>
      </c>
      <c r="D446" s="92">
        <v>160</v>
      </c>
      <c r="E446" s="92">
        <v>340</v>
      </c>
    </row>
    <row r="447" spans="1:5" x14ac:dyDescent="0.25">
      <c r="A447" s="26" t="s">
        <v>239</v>
      </c>
      <c r="B447" s="26" t="s">
        <v>240</v>
      </c>
      <c r="C447" s="26" t="s">
        <v>234</v>
      </c>
      <c r="D447" s="92">
        <v>768</v>
      </c>
      <c r="E447" s="92">
        <v>2688</v>
      </c>
    </row>
    <row r="448" spans="1:5" x14ac:dyDescent="0.25">
      <c r="A448" s="26" t="s">
        <v>283</v>
      </c>
      <c r="B448" s="26" t="s">
        <v>284</v>
      </c>
      <c r="C448" s="26" t="s">
        <v>285</v>
      </c>
      <c r="D448" s="92"/>
      <c r="E448" s="92">
        <v>1500</v>
      </c>
    </row>
    <row r="449" spans="1:5" x14ac:dyDescent="0.25">
      <c r="A449" s="26" t="s">
        <v>1914</v>
      </c>
      <c r="B449" s="26" t="s">
        <v>1915</v>
      </c>
      <c r="C449" s="26" t="s">
        <v>968</v>
      </c>
      <c r="D449" s="92"/>
      <c r="E449" s="92">
        <v>257</v>
      </c>
    </row>
    <row r="450" spans="1:5" x14ac:dyDescent="0.25">
      <c r="A450" s="26" t="s">
        <v>1480</v>
      </c>
      <c r="B450" s="26" t="s">
        <v>1481</v>
      </c>
      <c r="C450" s="26" t="s">
        <v>279</v>
      </c>
      <c r="D450" s="92">
        <v>1060</v>
      </c>
      <c r="E450" s="92">
        <v>210</v>
      </c>
    </row>
    <row r="451" spans="1:5" x14ac:dyDescent="0.25">
      <c r="A451" s="26" t="s">
        <v>1491</v>
      </c>
      <c r="B451" s="26" t="s">
        <v>317</v>
      </c>
      <c r="C451" s="26" t="s">
        <v>318</v>
      </c>
      <c r="D451" s="92">
        <v>1160</v>
      </c>
      <c r="E451" s="92">
        <v>6390</v>
      </c>
    </row>
    <row r="452" spans="1:5" x14ac:dyDescent="0.25">
      <c r="A452" s="26" t="s">
        <v>286</v>
      </c>
      <c r="B452" s="26" t="s">
        <v>287</v>
      </c>
      <c r="C452" s="26" t="s">
        <v>285</v>
      </c>
      <c r="D452" s="92"/>
      <c r="E452" s="92">
        <v>250</v>
      </c>
    </row>
    <row r="453" spans="1:5" x14ac:dyDescent="0.25">
      <c r="A453" s="26" t="s">
        <v>361</v>
      </c>
      <c r="B453" s="26" t="s">
        <v>1492</v>
      </c>
      <c r="C453" s="26" t="s">
        <v>362</v>
      </c>
      <c r="D453" s="92">
        <v>3000</v>
      </c>
      <c r="E453" s="92">
        <v>720</v>
      </c>
    </row>
    <row r="454" spans="1:5" x14ac:dyDescent="0.25">
      <c r="A454" s="26" t="s">
        <v>969</v>
      </c>
      <c r="B454" s="26" t="s">
        <v>970</v>
      </c>
      <c r="C454" s="26" t="s">
        <v>976</v>
      </c>
      <c r="D454" s="92">
        <v>437</v>
      </c>
      <c r="E454" s="92">
        <v>500</v>
      </c>
    </row>
    <row r="455" spans="1:5" x14ac:dyDescent="0.25">
      <c r="A455" s="26" t="s">
        <v>249</v>
      </c>
      <c r="B455" s="26" t="s">
        <v>250</v>
      </c>
      <c r="C455" s="26" t="s">
        <v>1841</v>
      </c>
      <c r="D455" s="92"/>
      <c r="E455" s="92">
        <v>4550</v>
      </c>
    </row>
    <row r="456" spans="1:5" x14ac:dyDescent="0.25">
      <c r="A456" s="26" t="s">
        <v>249</v>
      </c>
      <c r="B456" s="26"/>
      <c r="C456" s="26" t="s">
        <v>251</v>
      </c>
      <c r="D456" s="92">
        <v>3100</v>
      </c>
      <c r="E456" s="92">
        <v>1000</v>
      </c>
    </row>
    <row r="457" spans="1:5" x14ac:dyDescent="0.25">
      <c r="A457" s="26" t="s">
        <v>1017</v>
      </c>
      <c r="B457" s="26" t="s">
        <v>1018</v>
      </c>
      <c r="C457" s="26" t="s">
        <v>1016</v>
      </c>
      <c r="D457" s="92"/>
      <c r="E457" s="92">
        <v>155</v>
      </c>
    </row>
    <row r="458" spans="1:5" x14ac:dyDescent="0.25">
      <c r="A458" s="26" t="s">
        <v>496</v>
      </c>
      <c r="B458" s="26" t="s">
        <v>497</v>
      </c>
      <c r="C458" s="26" t="s">
        <v>491</v>
      </c>
      <c r="D458" s="92"/>
      <c r="E458" s="92">
        <v>305</v>
      </c>
    </row>
    <row r="459" spans="1:5" x14ac:dyDescent="0.25">
      <c r="A459" s="26" t="s">
        <v>1109</v>
      </c>
      <c r="B459" s="26" t="s">
        <v>1110</v>
      </c>
      <c r="C459" s="26" t="s">
        <v>1080</v>
      </c>
      <c r="D459" s="92"/>
      <c r="E459" s="92">
        <v>140</v>
      </c>
    </row>
    <row r="460" spans="1:5" x14ac:dyDescent="0.25">
      <c r="A460" s="26" t="s">
        <v>2034</v>
      </c>
      <c r="B460" s="26" t="s">
        <v>42</v>
      </c>
      <c r="C460" s="26" t="s">
        <v>41</v>
      </c>
      <c r="D460" s="92">
        <v>0</v>
      </c>
      <c r="E460" s="92">
        <v>10000</v>
      </c>
    </row>
    <row r="461" spans="1:5" x14ac:dyDescent="0.25">
      <c r="A461" s="26" t="s">
        <v>30</v>
      </c>
      <c r="B461" s="26" t="s">
        <v>31</v>
      </c>
      <c r="C461" s="26" t="s">
        <v>32</v>
      </c>
      <c r="D461" s="92">
        <v>0</v>
      </c>
      <c r="E461" s="92">
        <v>5000</v>
      </c>
    </row>
    <row r="462" spans="1:5" x14ac:dyDescent="0.25">
      <c r="A462" s="26" t="s">
        <v>30</v>
      </c>
      <c r="B462" s="26"/>
      <c r="C462" s="26" t="s">
        <v>63</v>
      </c>
      <c r="D462" s="92"/>
      <c r="E462" s="92">
        <v>12500</v>
      </c>
    </row>
    <row r="463" spans="1:5" x14ac:dyDescent="0.25">
      <c r="A463" s="26" t="s">
        <v>36</v>
      </c>
      <c r="B463" s="26" t="s">
        <v>37</v>
      </c>
      <c r="C463" s="26" t="s">
        <v>34</v>
      </c>
      <c r="D463" s="92">
        <v>20000</v>
      </c>
      <c r="E463" s="92">
        <v>0</v>
      </c>
    </row>
    <row r="464" spans="1:5" x14ac:dyDescent="0.25">
      <c r="A464" s="26" t="s">
        <v>1470</v>
      </c>
      <c r="B464" s="26" t="s">
        <v>1471</v>
      </c>
      <c r="C464" s="26" t="s">
        <v>506</v>
      </c>
      <c r="D464" s="92"/>
      <c r="E464" s="92">
        <v>330</v>
      </c>
    </row>
    <row r="465" spans="1:5" x14ac:dyDescent="0.25">
      <c r="A465" s="26" t="s">
        <v>1976</v>
      </c>
      <c r="B465" s="26" t="s">
        <v>1973</v>
      </c>
      <c r="C465" s="26" t="s">
        <v>1134</v>
      </c>
      <c r="D465" s="92"/>
      <c r="E465" s="92"/>
    </row>
    <row r="466" spans="1:5" x14ac:dyDescent="0.25">
      <c r="A466" s="26" t="s">
        <v>1778</v>
      </c>
      <c r="B466" s="26" t="s">
        <v>1779</v>
      </c>
      <c r="C466" s="26" t="s">
        <v>560</v>
      </c>
      <c r="D466" s="92"/>
      <c r="E466" s="92">
        <v>450</v>
      </c>
    </row>
    <row r="467" spans="1:5" x14ac:dyDescent="0.25">
      <c r="A467" s="26" t="s">
        <v>1603</v>
      </c>
      <c r="B467" s="26" t="s">
        <v>2001</v>
      </c>
      <c r="C467" s="26" t="s">
        <v>2002</v>
      </c>
      <c r="D467" s="92"/>
      <c r="E467" s="92"/>
    </row>
    <row r="468" spans="1:5" x14ac:dyDescent="0.25">
      <c r="A468" s="26" t="s">
        <v>1846</v>
      </c>
      <c r="B468" s="26" t="s">
        <v>1847</v>
      </c>
      <c r="C468" s="26" t="s">
        <v>856</v>
      </c>
      <c r="D468" s="92"/>
      <c r="E468" s="92">
        <v>220</v>
      </c>
    </row>
    <row r="469" spans="1:5" x14ac:dyDescent="0.25">
      <c r="A469" s="26" t="s">
        <v>1852</v>
      </c>
      <c r="B469" s="26" t="s">
        <v>807</v>
      </c>
      <c r="C469" s="26" t="s">
        <v>1853</v>
      </c>
      <c r="D469" s="92"/>
      <c r="E469" s="92">
        <v>191</v>
      </c>
    </row>
    <row r="470" spans="1:5" x14ac:dyDescent="0.25">
      <c r="A470" s="26" t="s">
        <v>1879</v>
      </c>
      <c r="B470" s="26" t="s">
        <v>1880</v>
      </c>
      <c r="C470" s="26" t="s">
        <v>1881</v>
      </c>
      <c r="D470" s="92"/>
      <c r="E470" s="92">
        <v>260</v>
      </c>
    </row>
    <row r="471" spans="1:5" x14ac:dyDescent="0.25">
      <c r="A471" s="26" t="s">
        <v>2058</v>
      </c>
      <c r="B471" s="26" t="s">
        <v>1971</v>
      </c>
      <c r="C471" s="26" t="s">
        <v>2014</v>
      </c>
      <c r="D471" s="92"/>
      <c r="E471" s="92">
        <v>200</v>
      </c>
    </row>
    <row r="472" spans="1:5" x14ac:dyDescent="0.25">
      <c r="A472" s="26" t="s">
        <v>1120</v>
      </c>
      <c r="B472" s="26" t="s">
        <v>1121</v>
      </c>
      <c r="C472" s="26" t="s">
        <v>1122</v>
      </c>
      <c r="D472" s="92"/>
      <c r="E472" s="92">
        <v>0</v>
      </c>
    </row>
    <row r="473" spans="1:5" x14ac:dyDescent="0.25">
      <c r="A473" s="26" t="s">
        <v>1123</v>
      </c>
      <c r="B473" s="26" t="s">
        <v>1123</v>
      </c>
      <c r="C473" s="26" t="s">
        <v>1122</v>
      </c>
      <c r="D473" s="92"/>
      <c r="E473" s="92">
        <v>0</v>
      </c>
    </row>
    <row r="474" spans="1:5" x14ac:dyDescent="0.25">
      <c r="A474" s="26" t="s">
        <v>514</v>
      </c>
      <c r="B474" s="26" t="s">
        <v>514</v>
      </c>
      <c r="C474" s="26" t="s">
        <v>530</v>
      </c>
      <c r="D474" s="92"/>
      <c r="E474" s="92">
        <v>1340</v>
      </c>
    </row>
    <row r="475" spans="1:5" x14ac:dyDescent="0.25">
      <c r="A475" s="26" t="s">
        <v>727</v>
      </c>
      <c r="B475" s="26" t="s">
        <v>465</v>
      </c>
      <c r="C475" s="26" t="s">
        <v>724</v>
      </c>
      <c r="D475" s="92"/>
      <c r="E475" s="92">
        <v>437</v>
      </c>
    </row>
    <row r="476" spans="1:5" x14ac:dyDescent="0.25">
      <c r="A476" s="26" t="s">
        <v>836</v>
      </c>
      <c r="B476" s="26" t="s">
        <v>1963</v>
      </c>
      <c r="C476" s="26" t="s">
        <v>862</v>
      </c>
      <c r="D476" s="92"/>
      <c r="E476" s="92">
        <v>3600</v>
      </c>
    </row>
    <row r="477" spans="1:5" x14ac:dyDescent="0.25">
      <c r="A477" s="26" t="s">
        <v>839</v>
      </c>
      <c r="B477" s="26" t="s">
        <v>840</v>
      </c>
      <c r="C477" s="26" t="s">
        <v>841</v>
      </c>
      <c r="D477" s="92"/>
      <c r="E477" s="92">
        <v>169</v>
      </c>
    </row>
    <row r="478" spans="1:5" x14ac:dyDescent="0.25">
      <c r="A478" s="26" t="s">
        <v>834</v>
      </c>
      <c r="B478" s="26" t="s">
        <v>1960</v>
      </c>
      <c r="C478" s="26" t="s">
        <v>835</v>
      </c>
      <c r="D478" s="92"/>
      <c r="E478" s="92">
        <v>167</v>
      </c>
    </row>
    <row r="479" spans="1:5" x14ac:dyDescent="0.25">
      <c r="A479" s="26" t="s">
        <v>464</v>
      </c>
      <c r="B479" s="26" t="s">
        <v>465</v>
      </c>
      <c r="C479" s="26" t="s">
        <v>603</v>
      </c>
      <c r="D479" s="92">
        <v>15900</v>
      </c>
      <c r="E479" s="92">
        <v>49100</v>
      </c>
    </row>
    <row r="480" spans="1:5" x14ac:dyDescent="0.25">
      <c r="A480" s="26" t="s">
        <v>219</v>
      </c>
      <c r="B480" s="26" t="s">
        <v>220</v>
      </c>
      <c r="C480" s="26" t="s">
        <v>216</v>
      </c>
      <c r="D480" s="92"/>
      <c r="E480" s="92">
        <v>411</v>
      </c>
    </row>
    <row r="481" spans="1:5" x14ac:dyDescent="0.25">
      <c r="A481" s="26" t="s">
        <v>208</v>
      </c>
      <c r="B481" s="26" t="s">
        <v>209</v>
      </c>
      <c r="C481" s="26" t="s">
        <v>207</v>
      </c>
      <c r="D481" s="92"/>
      <c r="E481" s="92">
        <v>52500</v>
      </c>
    </row>
    <row r="482" spans="1:5" x14ac:dyDescent="0.25">
      <c r="A482" s="26" t="s">
        <v>986</v>
      </c>
      <c r="B482" s="26" t="s">
        <v>987</v>
      </c>
      <c r="C482" s="26" t="s">
        <v>985</v>
      </c>
      <c r="D482" s="92"/>
      <c r="E482" s="92">
        <v>2000</v>
      </c>
    </row>
    <row r="483" spans="1:5" x14ac:dyDescent="0.25">
      <c r="A483" s="26" t="s">
        <v>946</v>
      </c>
      <c r="B483" s="26" t="s">
        <v>947</v>
      </c>
      <c r="C483" s="26" t="s">
        <v>948</v>
      </c>
      <c r="D483" s="92">
        <v>800</v>
      </c>
      <c r="E483" s="92">
        <v>600</v>
      </c>
    </row>
    <row r="484" spans="1:5" x14ac:dyDescent="0.25">
      <c r="A484" s="26" t="s">
        <v>1131</v>
      </c>
      <c r="B484" s="26" t="s">
        <v>2166</v>
      </c>
      <c r="C484" s="26" t="s">
        <v>573</v>
      </c>
      <c r="D484" s="92"/>
      <c r="E484" s="92">
        <v>282</v>
      </c>
    </row>
    <row r="485" spans="1:5" x14ac:dyDescent="0.25">
      <c r="A485" s="26" t="s">
        <v>2147</v>
      </c>
      <c r="B485" s="26" t="s">
        <v>2148</v>
      </c>
      <c r="C485" s="26" t="s">
        <v>2047</v>
      </c>
      <c r="D485" s="92"/>
      <c r="E485" s="92">
        <v>345</v>
      </c>
    </row>
    <row r="486" spans="1:5" x14ac:dyDescent="0.25">
      <c r="A486" s="26" t="s">
        <v>728</v>
      </c>
      <c r="B486" s="26" t="s">
        <v>463</v>
      </c>
      <c r="C486" s="26" t="s">
        <v>724</v>
      </c>
      <c r="D486" s="92"/>
      <c r="E486" s="92">
        <v>445</v>
      </c>
    </row>
    <row r="487" spans="1:5" x14ac:dyDescent="0.25">
      <c r="A487" s="26" t="s">
        <v>1773</v>
      </c>
      <c r="B487" s="26" t="s">
        <v>1736</v>
      </c>
      <c r="C487" s="26" t="s">
        <v>822</v>
      </c>
      <c r="D487" s="92">
        <v>150</v>
      </c>
      <c r="E487" s="92">
        <v>100</v>
      </c>
    </row>
    <row r="488" spans="1:5" x14ac:dyDescent="0.25">
      <c r="A488" s="26" t="s">
        <v>1465</v>
      </c>
      <c r="B488" s="26" t="s">
        <v>1710</v>
      </c>
      <c r="C488" s="26" t="s">
        <v>603</v>
      </c>
      <c r="D488" s="92"/>
      <c r="E488" s="92">
        <v>262</v>
      </c>
    </row>
    <row r="489" spans="1:5" x14ac:dyDescent="0.25">
      <c r="A489" s="26" t="s">
        <v>829</v>
      </c>
      <c r="B489" s="26" t="s">
        <v>1889</v>
      </c>
      <c r="C489" s="26" t="s">
        <v>830</v>
      </c>
      <c r="D489" s="92"/>
      <c r="E489" s="92">
        <v>690</v>
      </c>
    </row>
    <row r="490" spans="1:5" x14ac:dyDescent="0.25">
      <c r="A490" s="26" t="s">
        <v>2117</v>
      </c>
      <c r="B490" s="26" t="s">
        <v>203</v>
      </c>
      <c r="C490" s="26" t="s">
        <v>200</v>
      </c>
      <c r="D490" s="92">
        <v>13500</v>
      </c>
      <c r="E490" s="92">
        <v>57000</v>
      </c>
    </row>
    <row r="491" spans="1:5" x14ac:dyDescent="0.25">
      <c r="A491" s="26" t="s">
        <v>1466</v>
      </c>
      <c r="B491" s="26" t="s">
        <v>1711</v>
      </c>
      <c r="C491" s="26" t="s">
        <v>603</v>
      </c>
      <c r="D491" s="92"/>
      <c r="E491" s="92">
        <v>1339</v>
      </c>
    </row>
    <row r="492" spans="1:5" x14ac:dyDescent="0.25">
      <c r="A492" s="26" t="s">
        <v>960</v>
      </c>
      <c r="B492" s="26" t="s">
        <v>961</v>
      </c>
      <c r="C492" s="26" t="s">
        <v>959</v>
      </c>
      <c r="D492" s="92"/>
      <c r="E492" s="92">
        <v>465</v>
      </c>
    </row>
    <row r="493" spans="1:5" x14ac:dyDescent="0.25">
      <c r="A493" s="26" t="s">
        <v>950</v>
      </c>
      <c r="B493" s="26" t="s">
        <v>951</v>
      </c>
      <c r="C493" s="26" t="s">
        <v>948</v>
      </c>
      <c r="D493" s="92"/>
      <c r="E493" s="92">
        <v>100</v>
      </c>
    </row>
    <row r="494" spans="1:5" x14ac:dyDescent="0.25">
      <c r="A494" s="26" t="s">
        <v>2146</v>
      </c>
      <c r="B494" s="26" t="s">
        <v>951</v>
      </c>
      <c r="C494" s="26" t="s">
        <v>964</v>
      </c>
      <c r="D494" s="92"/>
      <c r="E494" s="92">
        <v>60</v>
      </c>
    </row>
    <row r="495" spans="1:5" x14ac:dyDescent="0.25">
      <c r="A495" s="26" t="s">
        <v>664</v>
      </c>
      <c r="B495" s="26" t="s">
        <v>203</v>
      </c>
      <c r="C495" s="26" t="s">
        <v>661</v>
      </c>
      <c r="D495" s="92"/>
      <c r="E495" s="92">
        <v>5000</v>
      </c>
    </row>
    <row r="496" spans="1:5" x14ac:dyDescent="0.25">
      <c r="A496" s="26" t="s">
        <v>1868</v>
      </c>
      <c r="B496" s="26" t="s">
        <v>2166</v>
      </c>
      <c r="C496" s="26" t="s">
        <v>1709</v>
      </c>
      <c r="D496" s="92"/>
      <c r="E496" s="92">
        <v>70</v>
      </c>
    </row>
    <row r="497" spans="1:5" x14ac:dyDescent="0.25">
      <c r="A497" s="26" t="s">
        <v>842</v>
      </c>
      <c r="B497" s="26" t="s">
        <v>1961</v>
      </c>
      <c r="C497" s="26" t="s">
        <v>841</v>
      </c>
      <c r="D497" s="92"/>
      <c r="E497" s="92">
        <v>77</v>
      </c>
    </row>
    <row r="498" spans="1:5" x14ac:dyDescent="0.25">
      <c r="A498" s="26" t="s">
        <v>1802</v>
      </c>
      <c r="B498" s="26" t="s">
        <v>1803</v>
      </c>
      <c r="C498" s="26" t="s">
        <v>222</v>
      </c>
      <c r="D498" s="92">
        <v>2000</v>
      </c>
      <c r="E498" s="92">
        <v>1000</v>
      </c>
    </row>
    <row r="499" spans="1:5" x14ac:dyDescent="0.25">
      <c r="A499" s="26" t="s">
        <v>1949</v>
      </c>
      <c r="B499" s="26" t="s">
        <v>1410</v>
      </c>
      <c r="C499" s="26" t="s">
        <v>594</v>
      </c>
      <c r="D499" s="92"/>
      <c r="E499" s="92">
        <v>6400</v>
      </c>
    </row>
    <row r="500" spans="1:5" x14ac:dyDescent="0.25">
      <c r="A500" s="26" t="s">
        <v>845</v>
      </c>
      <c r="B500" s="26" t="s">
        <v>846</v>
      </c>
      <c r="C500" s="26" t="s">
        <v>844</v>
      </c>
      <c r="D500" s="92"/>
      <c r="E500" s="92">
        <v>20</v>
      </c>
    </row>
    <row r="501" spans="1:5" x14ac:dyDescent="0.25">
      <c r="A501" s="26" t="s">
        <v>1875</v>
      </c>
      <c r="B501" s="26" t="s">
        <v>1844</v>
      </c>
      <c r="C501" s="26" t="s">
        <v>1854</v>
      </c>
      <c r="D501" s="92"/>
      <c r="E501" s="92">
        <v>2000</v>
      </c>
    </row>
    <row r="502" spans="1:5" x14ac:dyDescent="0.25">
      <c r="A502" s="26" t="s">
        <v>843</v>
      </c>
      <c r="B502" s="26" t="s">
        <v>1962</v>
      </c>
      <c r="C502" s="26" t="s">
        <v>841</v>
      </c>
      <c r="D502" s="92"/>
      <c r="E502" s="92">
        <v>49</v>
      </c>
    </row>
    <row r="503" spans="1:5" x14ac:dyDescent="0.25">
      <c r="A503" s="26" t="s">
        <v>1712</v>
      </c>
      <c r="B503" s="26" t="s">
        <v>206</v>
      </c>
      <c r="C503" s="26" t="s">
        <v>207</v>
      </c>
      <c r="D503" s="92">
        <v>2230</v>
      </c>
      <c r="E503" s="92">
        <v>6170</v>
      </c>
    </row>
    <row r="504" spans="1:5" x14ac:dyDescent="0.25">
      <c r="A504" s="26" t="s">
        <v>1006</v>
      </c>
      <c r="B504" s="26" t="s">
        <v>1007</v>
      </c>
      <c r="C504" s="26" t="s">
        <v>1005</v>
      </c>
      <c r="D504" s="92">
        <v>551</v>
      </c>
      <c r="E504" s="92">
        <v>199</v>
      </c>
    </row>
    <row r="505" spans="1:5" x14ac:dyDescent="0.25">
      <c r="A505" s="26" t="s">
        <v>1753</v>
      </c>
      <c r="B505" s="26" t="s">
        <v>1754</v>
      </c>
      <c r="C505" s="26" t="s">
        <v>1790</v>
      </c>
      <c r="D505" s="92">
        <v>500</v>
      </c>
      <c r="E505" s="92">
        <v>0</v>
      </c>
    </row>
    <row r="506" spans="1:5" x14ac:dyDescent="0.25">
      <c r="A506" s="26" t="s">
        <v>796</v>
      </c>
      <c r="B506" s="26" t="s">
        <v>797</v>
      </c>
      <c r="C506" s="26" t="s">
        <v>795</v>
      </c>
      <c r="D506" s="92"/>
      <c r="E506" s="92">
        <v>66</v>
      </c>
    </row>
    <row r="507" spans="1:5" x14ac:dyDescent="0.25">
      <c r="A507" s="26" t="s">
        <v>600</v>
      </c>
      <c r="B507" s="26" t="s">
        <v>601</v>
      </c>
      <c r="C507" s="26" t="s">
        <v>602</v>
      </c>
      <c r="D507" s="92">
        <v>566</v>
      </c>
      <c r="E507" s="92">
        <v>484</v>
      </c>
    </row>
    <row r="508" spans="1:5" x14ac:dyDescent="0.25">
      <c r="A508" s="26" t="s">
        <v>1876</v>
      </c>
      <c r="B508" s="26" t="s">
        <v>1740</v>
      </c>
      <c r="C508" s="26" t="s">
        <v>1873</v>
      </c>
      <c r="D508" s="92"/>
      <c r="E508" s="92">
        <v>2000</v>
      </c>
    </row>
    <row r="509" spans="1:5" x14ac:dyDescent="0.25">
      <c r="A509" s="26" t="s">
        <v>1927</v>
      </c>
      <c r="B509" s="26" t="s">
        <v>1928</v>
      </c>
      <c r="C509" s="26" t="s">
        <v>785</v>
      </c>
      <c r="D509" s="92"/>
      <c r="E509" s="92">
        <v>34</v>
      </c>
    </row>
    <row r="510" spans="1:5" x14ac:dyDescent="0.25">
      <c r="A510" s="26" t="s">
        <v>1570</v>
      </c>
      <c r="B510" s="26" t="s">
        <v>1571</v>
      </c>
      <c r="C510" s="26" t="s">
        <v>785</v>
      </c>
      <c r="D510" s="92">
        <v>50</v>
      </c>
      <c r="E510" s="92">
        <v>50</v>
      </c>
    </row>
    <row r="511" spans="1:5" x14ac:dyDescent="0.25">
      <c r="A511" s="26" t="s">
        <v>479</v>
      </c>
      <c r="B511" s="26" t="s">
        <v>480</v>
      </c>
      <c r="C511" s="26" t="s">
        <v>472</v>
      </c>
      <c r="D511" s="92">
        <v>50</v>
      </c>
      <c r="E511" s="92">
        <v>223</v>
      </c>
    </row>
    <row r="512" spans="1:5" x14ac:dyDescent="0.25">
      <c r="A512" s="26" t="s">
        <v>832</v>
      </c>
      <c r="B512" s="26" t="s">
        <v>833</v>
      </c>
      <c r="C512" s="26" t="s">
        <v>830</v>
      </c>
      <c r="D512" s="92"/>
      <c r="E512" s="92">
        <v>98</v>
      </c>
    </row>
    <row r="513" spans="1:5" x14ac:dyDescent="0.25">
      <c r="A513" s="26" t="s">
        <v>831</v>
      </c>
      <c r="B513" s="26" t="s">
        <v>246</v>
      </c>
      <c r="C513" s="26" t="s">
        <v>830</v>
      </c>
      <c r="D513" s="92"/>
      <c r="E513" s="92">
        <v>130</v>
      </c>
    </row>
    <row r="514" spans="1:5" x14ac:dyDescent="0.25">
      <c r="A514" s="26" t="s">
        <v>613</v>
      </c>
      <c r="B514" s="26" t="s">
        <v>2166</v>
      </c>
      <c r="C514" s="26" t="s">
        <v>1862</v>
      </c>
      <c r="D514" s="92"/>
      <c r="E514" s="92">
        <v>375</v>
      </c>
    </row>
    <row r="515" spans="1:5" x14ac:dyDescent="0.25">
      <c r="A515" s="26" t="s">
        <v>1708</v>
      </c>
      <c r="B515" s="26" t="s">
        <v>246</v>
      </c>
      <c r="C515" s="26" t="s">
        <v>1709</v>
      </c>
      <c r="D515" s="92"/>
      <c r="E515" s="92">
        <v>32</v>
      </c>
    </row>
    <row r="516" spans="1:5" x14ac:dyDescent="0.25">
      <c r="A516" s="26" t="s">
        <v>823</v>
      </c>
      <c r="B516" s="26" t="s">
        <v>1959</v>
      </c>
      <c r="C516" s="26" t="s">
        <v>822</v>
      </c>
      <c r="D516" s="92"/>
      <c r="E516" s="92">
        <v>16</v>
      </c>
    </row>
    <row r="517" spans="1:5" x14ac:dyDescent="0.25">
      <c r="A517" s="26" t="s">
        <v>245</v>
      </c>
      <c r="B517" s="26" t="s">
        <v>246</v>
      </c>
      <c r="C517" s="26" t="s">
        <v>244</v>
      </c>
      <c r="D517" s="92"/>
      <c r="E517" s="92">
        <v>375</v>
      </c>
    </row>
    <row r="518" spans="1:5" x14ac:dyDescent="0.25">
      <c r="A518" s="26" t="s">
        <v>610</v>
      </c>
      <c r="B518" s="26" t="s">
        <v>611</v>
      </c>
      <c r="C518" s="26" t="s">
        <v>1862</v>
      </c>
      <c r="D518" s="92"/>
      <c r="E518" s="92">
        <v>500</v>
      </c>
    </row>
    <row r="519" spans="1:5" x14ac:dyDescent="0.25">
      <c r="A519" s="26" t="s">
        <v>808</v>
      </c>
      <c r="B519" s="26" t="s">
        <v>809</v>
      </c>
      <c r="C519" s="26" t="s">
        <v>2102</v>
      </c>
      <c r="D519" s="92"/>
      <c r="E519" s="92">
        <v>1473</v>
      </c>
    </row>
    <row r="520" spans="1:5" x14ac:dyDescent="0.25">
      <c r="A520" s="26" t="s">
        <v>850</v>
      </c>
      <c r="B520" s="26" t="s">
        <v>2166</v>
      </c>
      <c r="C520" s="26" t="s">
        <v>849</v>
      </c>
      <c r="D520" s="92"/>
      <c r="E520" s="92">
        <v>862</v>
      </c>
    </row>
    <row r="521" spans="1:5" x14ac:dyDescent="0.25">
      <c r="A521" s="26" t="s">
        <v>394</v>
      </c>
      <c r="B521" s="26" t="s">
        <v>395</v>
      </c>
      <c r="C521" s="26" t="s">
        <v>385</v>
      </c>
      <c r="D521" s="92"/>
      <c r="E521" s="92">
        <v>2500</v>
      </c>
    </row>
    <row r="522" spans="1:5" x14ac:dyDescent="0.25">
      <c r="A522" s="26" t="s">
        <v>810</v>
      </c>
      <c r="B522" s="26" t="s">
        <v>1958</v>
      </c>
      <c r="C522" s="26" t="s">
        <v>811</v>
      </c>
      <c r="D522" s="92"/>
      <c r="E522" s="92">
        <v>176</v>
      </c>
    </row>
    <row r="523" spans="1:5" x14ac:dyDescent="0.25">
      <c r="A523" s="26" t="s">
        <v>757</v>
      </c>
      <c r="B523" s="26" t="s">
        <v>758</v>
      </c>
      <c r="C523" s="26" t="s">
        <v>751</v>
      </c>
      <c r="D523" s="92"/>
      <c r="E523" s="92">
        <v>59</v>
      </c>
    </row>
    <row r="524" spans="1:5" x14ac:dyDescent="0.25">
      <c r="A524" s="26" t="s">
        <v>183</v>
      </c>
      <c r="B524" s="26" t="s">
        <v>183</v>
      </c>
      <c r="C524" s="26" t="s">
        <v>157</v>
      </c>
      <c r="D524" s="92"/>
      <c r="E524" s="92">
        <v>300</v>
      </c>
    </row>
    <row r="525" spans="1:5" x14ac:dyDescent="0.25">
      <c r="A525" s="26" t="s">
        <v>676</v>
      </c>
      <c r="B525" s="26" t="s">
        <v>677</v>
      </c>
      <c r="C525" s="26" t="s">
        <v>675</v>
      </c>
      <c r="D525" s="92"/>
      <c r="E525" s="92">
        <v>2650</v>
      </c>
    </row>
    <row r="526" spans="1:5" x14ac:dyDescent="0.25">
      <c r="A526" s="26" t="s">
        <v>242</v>
      </c>
      <c r="B526" s="26" t="s">
        <v>243</v>
      </c>
      <c r="C526" s="26" t="s">
        <v>244</v>
      </c>
      <c r="D526" s="92"/>
      <c r="E526" s="92">
        <v>9354</v>
      </c>
    </row>
    <row r="527" spans="1:5" x14ac:dyDescent="0.25">
      <c r="A527" s="26" t="s">
        <v>187</v>
      </c>
      <c r="B527" s="26" t="s">
        <v>188</v>
      </c>
      <c r="C527" s="26" t="s">
        <v>186</v>
      </c>
      <c r="D527" s="92">
        <v>4875</v>
      </c>
      <c r="E527" s="92">
        <v>1275</v>
      </c>
    </row>
    <row r="528" spans="1:5" x14ac:dyDescent="0.25">
      <c r="A528" s="26" t="s">
        <v>2069</v>
      </c>
      <c r="B528" s="26" t="s">
        <v>2070</v>
      </c>
      <c r="C528" s="26" t="s">
        <v>785</v>
      </c>
      <c r="D528" s="92"/>
      <c r="E528" s="92">
        <v>2500</v>
      </c>
    </row>
    <row r="529" spans="1:5" x14ac:dyDescent="0.25">
      <c r="A529" s="26" t="s">
        <v>723</v>
      </c>
      <c r="B529" s="26" t="s">
        <v>467</v>
      </c>
      <c r="C529" s="26" t="s">
        <v>724</v>
      </c>
      <c r="D529" s="92"/>
      <c r="E529" s="92">
        <v>800</v>
      </c>
    </row>
    <row r="530" spans="1:5" x14ac:dyDescent="0.25">
      <c r="A530" s="26" t="s">
        <v>1951</v>
      </c>
      <c r="B530" s="26" t="s">
        <v>467</v>
      </c>
      <c r="C530" s="26" t="s">
        <v>609</v>
      </c>
      <c r="D530" s="92"/>
      <c r="E530" s="92">
        <v>500</v>
      </c>
    </row>
    <row r="531" spans="1:5" x14ac:dyDescent="0.25">
      <c r="A531" s="26" t="s">
        <v>468</v>
      </c>
      <c r="B531" s="26" t="s">
        <v>469</v>
      </c>
      <c r="C531" s="26" t="s">
        <v>609</v>
      </c>
      <c r="D531" s="92">
        <v>72500</v>
      </c>
      <c r="E531" s="92">
        <v>297500</v>
      </c>
    </row>
    <row r="532" spans="1:5" x14ac:dyDescent="0.25">
      <c r="A532" s="26" t="s">
        <v>957</v>
      </c>
      <c r="B532" s="26" t="s">
        <v>958</v>
      </c>
      <c r="C532" s="26" t="s">
        <v>959</v>
      </c>
      <c r="D532" s="92"/>
      <c r="E532" s="92">
        <v>500</v>
      </c>
    </row>
    <row r="533" spans="1:5" x14ac:dyDescent="0.25">
      <c r="A533" s="26" t="s">
        <v>977</v>
      </c>
      <c r="B533" s="26" t="s">
        <v>978</v>
      </c>
      <c r="C533" s="26" t="s">
        <v>976</v>
      </c>
      <c r="D533" s="92"/>
      <c r="E533" s="92">
        <v>2000</v>
      </c>
    </row>
    <row r="534" spans="1:5" x14ac:dyDescent="0.25">
      <c r="A534" s="26" t="s">
        <v>1871</v>
      </c>
      <c r="B534" s="26" t="s">
        <v>1872</v>
      </c>
      <c r="C534" s="26" t="s">
        <v>609</v>
      </c>
      <c r="D534" s="92">
        <v>26400</v>
      </c>
      <c r="E534" s="92">
        <v>103600</v>
      </c>
    </row>
    <row r="535" spans="1:5" x14ac:dyDescent="0.25">
      <c r="A535" s="26" t="s">
        <v>725</v>
      </c>
      <c r="B535" s="26" t="s">
        <v>726</v>
      </c>
      <c r="C535" s="26" t="s">
        <v>724</v>
      </c>
      <c r="D535" s="92"/>
      <c r="E535" s="92">
        <v>8314</v>
      </c>
    </row>
    <row r="536" spans="1:5" x14ac:dyDescent="0.25">
      <c r="A536" s="26" t="s">
        <v>678</v>
      </c>
      <c r="B536" s="26" t="s">
        <v>679</v>
      </c>
      <c r="C536" s="26" t="s">
        <v>675</v>
      </c>
      <c r="D536" s="92">
        <v>450</v>
      </c>
      <c r="E536" s="92">
        <v>4990</v>
      </c>
    </row>
    <row r="537" spans="1:5" x14ac:dyDescent="0.25">
      <c r="A537" s="26" t="s">
        <v>214</v>
      </c>
      <c r="B537" s="26" t="s">
        <v>215</v>
      </c>
      <c r="C537" s="26" t="s">
        <v>216</v>
      </c>
      <c r="D537" s="92">
        <v>10000</v>
      </c>
      <c r="E537" s="92">
        <v>165000</v>
      </c>
    </row>
    <row r="538" spans="1:5" x14ac:dyDescent="0.25">
      <c r="A538" s="26" t="s">
        <v>974</v>
      </c>
      <c r="B538" s="26" t="s">
        <v>975</v>
      </c>
      <c r="C538" s="26" t="s">
        <v>976</v>
      </c>
      <c r="D538" s="92">
        <v>1100</v>
      </c>
      <c r="E538" s="92">
        <v>2500</v>
      </c>
    </row>
    <row r="539" spans="1:5" x14ac:dyDescent="0.25">
      <c r="A539" s="26" t="s">
        <v>509</v>
      </c>
      <c r="B539" s="26" t="s">
        <v>1301</v>
      </c>
      <c r="C539" s="26" t="s">
        <v>892</v>
      </c>
      <c r="D539" s="92">
        <v>1250</v>
      </c>
      <c r="E539" s="92">
        <v>4150</v>
      </c>
    </row>
    <row r="540" spans="1:5" x14ac:dyDescent="0.25">
      <c r="A540" s="26" t="s">
        <v>198</v>
      </c>
      <c r="B540" s="26" t="s">
        <v>199</v>
      </c>
      <c r="C540" s="26" t="s">
        <v>200</v>
      </c>
      <c r="D540" s="92"/>
      <c r="E540" s="92">
        <v>7000</v>
      </c>
    </row>
    <row r="541" spans="1:5" x14ac:dyDescent="0.25">
      <c r="A541" s="26" t="s">
        <v>1884</v>
      </c>
      <c r="B541" s="26" t="s">
        <v>1851</v>
      </c>
      <c r="C541" s="26" t="s">
        <v>814</v>
      </c>
      <c r="D541" s="92"/>
      <c r="E541" s="92">
        <v>968</v>
      </c>
    </row>
    <row r="542" spans="1:5" x14ac:dyDescent="0.25">
      <c r="A542" s="26" t="s">
        <v>1774</v>
      </c>
      <c r="B542" s="26" t="s">
        <v>1775</v>
      </c>
      <c r="C542" s="26" t="s">
        <v>835</v>
      </c>
      <c r="D542" s="92"/>
      <c r="E542" s="92">
        <v>25</v>
      </c>
    </row>
    <row r="543" spans="1:5" x14ac:dyDescent="0.25">
      <c r="A543" s="26" t="s">
        <v>820</v>
      </c>
      <c r="B543" s="26" t="s">
        <v>821</v>
      </c>
      <c r="C543" s="26" t="s">
        <v>822</v>
      </c>
      <c r="D543" s="92"/>
      <c r="E543" s="92">
        <v>290</v>
      </c>
    </row>
    <row r="544" spans="1:5" x14ac:dyDescent="0.25">
      <c r="A544" s="26" t="s">
        <v>783</v>
      </c>
      <c r="B544" s="26" t="s">
        <v>784</v>
      </c>
      <c r="C544" s="26" t="s">
        <v>785</v>
      </c>
      <c r="D544" s="92"/>
      <c r="E544" s="92">
        <v>15</v>
      </c>
    </row>
    <row r="545" spans="1:5" x14ac:dyDescent="0.25">
      <c r="A545" s="26" t="s">
        <v>1793</v>
      </c>
      <c r="B545" s="26" t="s">
        <v>1136</v>
      </c>
      <c r="C545" s="26" t="s">
        <v>1841</v>
      </c>
      <c r="D545" s="92"/>
      <c r="E545" s="92">
        <v>750</v>
      </c>
    </row>
    <row r="546" spans="1:5" x14ac:dyDescent="0.25">
      <c r="A546" s="26" t="s">
        <v>1137</v>
      </c>
      <c r="B546" s="26" t="s">
        <v>1138</v>
      </c>
      <c r="C546" s="26" t="s">
        <v>1122</v>
      </c>
      <c r="D546" s="92"/>
      <c r="E546" s="92">
        <v>80</v>
      </c>
    </row>
    <row r="547" spans="1:5" x14ac:dyDescent="0.25">
      <c r="A547" s="26" t="s">
        <v>2143</v>
      </c>
      <c r="B547" s="26" t="s">
        <v>2166</v>
      </c>
      <c r="C547" s="26" t="s">
        <v>1080</v>
      </c>
      <c r="D547" s="92"/>
      <c r="E547" s="92">
        <v>200</v>
      </c>
    </row>
    <row r="548" spans="1:5" x14ac:dyDescent="0.25">
      <c r="A548" s="26" t="s">
        <v>1975</v>
      </c>
      <c r="B548" s="26" t="s">
        <v>1975</v>
      </c>
      <c r="C548" s="26" t="s">
        <v>1497</v>
      </c>
      <c r="D548" s="92"/>
      <c r="E548" s="92"/>
    </row>
    <row r="549" spans="1:5" x14ac:dyDescent="0.25">
      <c r="A549" s="26" t="s">
        <v>1701</v>
      </c>
      <c r="B549" s="26" t="s">
        <v>1701</v>
      </c>
      <c r="C549" s="26" t="s">
        <v>1497</v>
      </c>
      <c r="D549" s="92"/>
      <c r="E549" s="92"/>
    </row>
    <row r="550" spans="1:5" x14ac:dyDescent="0.25">
      <c r="A550" s="26" t="s">
        <v>1620</v>
      </c>
      <c r="B550" s="26" t="s">
        <v>1620</v>
      </c>
      <c r="C550" s="26" t="s">
        <v>1497</v>
      </c>
      <c r="D550" s="92"/>
      <c r="E550" s="92"/>
    </row>
    <row r="551" spans="1:5" x14ac:dyDescent="0.25">
      <c r="A551" s="26" t="s">
        <v>1974</v>
      </c>
      <c r="B551" s="26" t="s">
        <v>1974</v>
      </c>
      <c r="C551" s="26" t="s">
        <v>1497</v>
      </c>
      <c r="D551" s="92"/>
      <c r="E551" s="92"/>
    </row>
    <row r="552" spans="1:5" x14ac:dyDescent="0.25">
      <c r="A552" s="26" t="s">
        <v>561</v>
      </c>
      <c r="B552" s="26" t="s">
        <v>562</v>
      </c>
      <c r="C552" s="26" t="s">
        <v>560</v>
      </c>
      <c r="D552" s="92"/>
      <c r="E552" s="92">
        <v>21</v>
      </c>
    </row>
    <row r="553" spans="1:5" x14ac:dyDescent="0.25">
      <c r="A553" s="26" t="s">
        <v>791</v>
      </c>
      <c r="B553" s="26" t="s">
        <v>792</v>
      </c>
      <c r="C553" s="26" t="s">
        <v>790</v>
      </c>
      <c r="D553" s="92">
        <v>1300</v>
      </c>
      <c r="E553" s="92">
        <v>1037</v>
      </c>
    </row>
    <row r="554" spans="1:5" x14ac:dyDescent="0.25">
      <c r="A554" s="26" t="s">
        <v>548</v>
      </c>
      <c r="B554" s="26" t="s">
        <v>549</v>
      </c>
      <c r="C554" s="26" t="s">
        <v>550</v>
      </c>
      <c r="D554" s="92">
        <v>1494</v>
      </c>
      <c r="E554" s="92">
        <v>106</v>
      </c>
    </row>
    <row r="555" spans="1:5" x14ac:dyDescent="0.25">
      <c r="A555" s="26" t="s">
        <v>548</v>
      </c>
      <c r="B555" s="26" t="s">
        <v>551</v>
      </c>
      <c r="C555" s="26" t="s">
        <v>550</v>
      </c>
      <c r="D555" s="92">
        <v>848</v>
      </c>
      <c r="E555" s="92">
        <v>102</v>
      </c>
    </row>
    <row r="556" spans="1:5" x14ac:dyDescent="0.25">
      <c r="A556" s="26" t="s">
        <v>447</v>
      </c>
      <c r="B556" s="26" t="s">
        <v>448</v>
      </c>
      <c r="C556" s="26" t="s">
        <v>449</v>
      </c>
      <c r="D556" s="92"/>
      <c r="E556" s="92">
        <v>200</v>
      </c>
    </row>
    <row r="557" spans="1:5" x14ac:dyDescent="0.25">
      <c r="A557" s="26" t="s">
        <v>2119</v>
      </c>
      <c r="B557" s="26" t="s">
        <v>1425</v>
      </c>
      <c r="C557" s="26" t="s">
        <v>2120</v>
      </c>
      <c r="D557" s="92"/>
      <c r="E557" s="92">
        <v>359</v>
      </c>
    </row>
    <row r="558" spans="1:5" x14ac:dyDescent="0.25">
      <c r="A558" s="26" t="s">
        <v>2057</v>
      </c>
      <c r="B558" s="26" t="s">
        <v>2056</v>
      </c>
      <c r="C558" s="26" t="s">
        <v>472</v>
      </c>
      <c r="D558" s="92"/>
      <c r="E558" s="92">
        <v>80</v>
      </c>
    </row>
    <row r="559" spans="1:5" x14ac:dyDescent="0.25">
      <c r="A559" s="26" t="s">
        <v>2158</v>
      </c>
      <c r="B559" s="26" t="s">
        <v>2166</v>
      </c>
      <c r="C559" s="26" t="s">
        <v>472</v>
      </c>
      <c r="D559" s="92"/>
      <c r="E559" s="92">
        <v>220</v>
      </c>
    </row>
    <row r="560" spans="1:5" x14ac:dyDescent="0.25">
      <c r="A560" s="26" t="s">
        <v>1902</v>
      </c>
      <c r="B560" s="26" t="s">
        <v>2166</v>
      </c>
      <c r="C560" s="26" t="s">
        <v>582</v>
      </c>
      <c r="D560" s="92">
        <v>35</v>
      </c>
      <c r="E560" s="92">
        <v>0</v>
      </c>
    </row>
    <row r="561" spans="1:5" x14ac:dyDescent="0.25">
      <c r="A561" s="26" t="s">
        <v>556</v>
      </c>
      <c r="B561" s="26" t="s">
        <v>557</v>
      </c>
      <c r="C561" s="26" t="s">
        <v>554</v>
      </c>
      <c r="D561" s="92"/>
      <c r="E561" s="92">
        <v>51</v>
      </c>
    </row>
    <row r="562" spans="1:5" x14ac:dyDescent="0.25">
      <c r="A562" s="26" t="s">
        <v>1833</v>
      </c>
      <c r="B562" s="26" t="s">
        <v>1098</v>
      </c>
      <c r="C562" s="26" t="s">
        <v>1471</v>
      </c>
      <c r="D562" s="92"/>
      <c r="E562" s="92">
        <v>17</v>
      </c>
    </row>
    <row r="563" spans="1:5" x14ac:dyDescent="0.25">
      <c r="A563" s="26" t="s">
        <v>531</v>
      </c>
      <c r="B563" s="26" t="s">
        <v>532</v>
      </c>
      <c r="C563" s="26" t="s">
        <v>530</v>
      </c>
      <c r="D563" s="92">
        <v>250</v>
      </c>
      <c r="E563" s="92">
        <v>0</v>
      </c>
    </row>
    <row r="564" spans="1:5" x14ac:dyDescent="0.25">
      <c r="A564" s="26" t="s">
        <v>607</v>
      </c>
      <c r="B564" s="26" t="s">
        <v>608</v>
      </c>
      <c r="C564" s="26" t="s">
        <v>1926</v>
      </c>
      <c r="D564" s="92"/>
      <c r="E564" s="92">
        <v>0</v>
      </c>
    </row>
    <row r="565" spans="1:5" x14ac:dyDescent="0.25">
      <c r="A565" s="26" t="s">
        <v>1799</v>
      </c>
      <c r="B565" s="26" t="s">
        <v>1772</v>
      </c>
      <c r="C565" s="26" t="s">
        <v>510</v>
      </c>
      <c r="D565" s="92">
        <v>50</v>
      </c>
      <c r="E565" s="92">
        <v>448</v>
      </c>
    </row>
    <row r="566" spans="1:5" x14ac:dyDescent="0.25">
      <c r="A566" s="26" t="s">
        <v>2021</v>
      </c>
      <c r="B566" s="26" t="s">
        <v>2022</v>
      </c>
      <c r="C566" s="26" t="s">
        <v>856</v>
      </c>
      <c r="D566" s="92"/>
      <c r="E566" s="92">
        <v>750</v>
      </c>
    </row>
    <row r="567" spans="1:5" x14ac:dyDescent="0.25">
      <c r="A567" s="26" t="s">
        <v>1819</v>
      </c>
      <c r="B567" s="26" t="s">
        <v>1432</v>
      </c>
      <c r="C567" s="26" t="s">
        <v>510</v>
      </c>
      <c r="D567" s="92">
        <v>50</v>
      </c>
      <c r="E567" s="92">
        <v>300</v>
      </c>
    </row>
    <row r="568" spans="1:5" x14ac:dyDescent="0.25">
      <c r="A568" s="26" t="s">
        <v>873</v>
      </c>
      <c r="B568" s="26" t="s">
        <v>874</v>
      </c>
      <c r="C568" s="26" t="s">
        <v>1841</v>
      </c>
      <c r="D568" s="92"/>
      <c r="E568" s="92">
        <v>60</v>
      </c>
    </row>
    <row r="569" spans="1:5" x14ac:dyDescent="0.25">
      <c r="A569" s="26" t="s">
        <v>1088</v>
      </c>
      <c r="B569" s="26" t="s">
        <v>1089</v>
      </c>
      <c r="C569" s="26" t="s">
        <v>1080</v>
      </c>
      <c r="D569" s="92"/>
      <c r="E569" s="92">
        <v>99</v>
      </c>
    </row>
    <row r="570" spans="1:5" x14ac:dyDescent="0.25">
      <c r="A570" s="26" t="s">
        <v>1088</v>
      </c>
      <c r="B570" s="26" t="s">
        <v>874</v>
      </c>
      <c r="C570" s="26" t="s">
        <v>1080</v>
      </c>
      <c r="D570" s="92"/>
      <c r="E570" s="92">
        <v>29</v>
      </c>
    </row>
    <row r="571" spans="1:5" x14ac:dyDescent="0.25">
      <c r="A571" s="26" t="s">
        <v>2012</v>
      </c>
      <c r="B571" s="26" t="s">
        <v>2013</v>
      </c>
      <c r="C571" s="26" t="s">
        <v>2014</v>
      </c>
      <c r="D571" s="92">
        <v>765</v>
      </c>
      <c r="E571" s="92"/>
    </row>
    <row r="572" spans="1:5" x14ac:dyDescent="0.25">
      <c r="A572" s="26" t="s">
        <v>2015</v>
      </c>
      <c r="B572" s="26" t="s">
        <v>2016</v>
      </c>
      <c r="C572" s="26" t="s">
        <v>2014</v>
      </c>
      <c r="D572" s="92">
        <v>2000</v>
      </c>
      <c r="E572" s="92"/>
    </row>
    <row r="573" spans="1:5" x14ac:dyDescent="0.25">
      <c r="A573" s="26" t="s">
        <v>1078</v>
      </c>
      <c r="B573" s="26" t="s">
        <v>1079</v>
      </c>
      <c r="C573" s="26" t="s">
        <v>1080</v>
      </c>
      <c r="D573" s="92">
        <v>176</v>
      </c>
      <c r="E573" s="92">
        <v>2262</v>
      </c>
    </row>
    <row r="574" spans="1:5" x14ac:dyDescent="0.25">
      <c r="A574" s="26" t="s">
        <v>1082</v>
      </c>
      <c r="B574" s="26" t="s">
        <v>1083</v>
      </c>
      <c r="C574" s="26" t="s">
        <v>1080</v>
      </c>
      <c r="D574" s="92"/>
      <c r="E574" s="92">
        <v>0</v>
      </c>
    </row>
    <row r="575" spans="1:5" x14ac:dyDescent="0.25">
      <c r="A575" s="26" t="s">
        <v>1111</v>
      </c>
      <c r="B575" s="26" t="s">
        <v>1112</v>
      </c>
      <c r="C575" s="26" t="s">
        <v>1080</v>
      </c>
      <c r="D575" s="92"/>
      <c r="E575" s="92">
        <v>0</v>
      </c>
    </row>
    <row r="576" spans="1:5" x14ac:dyDescent="0.25">
      <c r="A576" s="26" t="s">
        <v>558</v>
      </c>
      <c r="B576" s="26" t="s">
        <v>559</v>
      </c>
      <c r="C576" s="26" t="s">
        <v>560</v>
      </c>
      <c r="D576" s="92"/>
      <c r="E576" s="92">
        <v>138</v>
      </c>
    </row>
    <row r="577" spans="1:5" x14ac:dyDescent="0.25">
      <c r="A577" s="26" t="s">
        <v>1965</v>
      </c>
      <c r="B577" s="26" t="s">
        <v>1966</v>
      </c>
      <c r="C577" s="26" t="s">
        <v>1841</v>
      </c>
      <c r="D577" s="92">
        <v>640</v>
      </c>
      <c r="E577" s="92">
        <v>0</v>
      </c>
    </row>
    <row r="578" spans="1:5" x14ac:dyDescent="0.25">
      <c r="A578" s="26" t="s">
        <v>1964</v>
      </c>
      <c r="B578" s="26" t="s">
        <v>1830</v>
      </c>
      <c r="C578" s="26" t="s">
        <v>1841</v>
      </c>
      <c r="D578" s="92"/>
      <c r="E578" s="92">
        <v>800</v>
      </c>
    </row>
    <row r="579" spans="1:5" x14ac:dyDescent="0.25">
      <c r="A579" s="26" t="s">
        <v>580</v>
      </c>
      <c r="B579" s="26" t="s">
        <v>581</v>
      </c>
      <c r="C579" s="26" t="s">
        <v>1867</v>
      </c>
      <c r="D579" s="92">
        <v>450</v>
      </c>
      <c r="E579" s="92">
        <v>3080</v>
      </c>
    </row>
    <row r="580" spans="1:5" x14ac:dyDescent="0.25">
      <c r="A580" s="26" t="s">
        <v>1124</v>
      </c>
      <c r="B580" s="26" t="s">
        <v>1125</v>
      </c>
      <c r="C580" s="26" t="s">
        <v>1122</v>
      </c>
      <c r="D580" s="92"/>
      <c r="E580" s="92">
        <v>133</v>
      </c>
    </row>
    <row r="581" spans="1:5" x14ac:dyDescent="0.25">
      <c r="A581" s="26" t="s">
        <v>1117</v>
      </c>
      <c r="B581" s="26" t="s">
        <v>1118</v>
      </c>
      <c r="C581" s="26" t="s">
        <v>1841</v>
      </c>
      <c r="D581" s="92">
        <v>1450</v>
      </c>
      <c r="E581" s="92">
        <v>0</v>
      </c>
    </row>
    <row r="582" spans="1:5" x14ac:dyDescent="0.25">
      <c r="A582" s="26" t="s">
        <v>1748</v>
      </c>
      <c r="B582" s="26" t="s">
        <v>1468</v>
      </c>
      <c r="C582" s="26" t="s">
        <v>1841</v>
      </c>
      <c r="D582" s="92"/>
      <c r="E582" s="92">
        <v>1620</v>
      </c>
    </row>
    <row r="583" spans="1:5" x14ac:dyDescent="0.25">
      <c r="A583" s="26" t="s">
        <v>590</v>
      </c>
      <c r="B583" s="26" t="s">
        <v>591</v>
      </c>
      <c r="C583" s="26" t="s">
        <v>574</v>
      </c>
      <c r="D583" s="92">
        <v>130</v>
      </c>
      <c r="E583" s="92">
        <v>0</v>
      </c>
    </row>
    <row r="584" spans="1:5" x14ac:dyDescent="0.25">
      <c r="A584" s="26" t="s">
        <v>1499</v>
      </c>
      <c r="B584" s="26" t="s">
        <v>1495</v>
      </c>
      <c r="C584" s="26" t="s">
        <v>1934</v>
      </c>
      <c r="D584" s="92"/>
      <c r="E584" s="92">
        <v>160</v>
      </c>
    </row>
    <row r="585" spans="1:5" x14ac:dyDescent="0.25">
      <c r="A585" s="26" t="s">
        <v>1935</v>
      </c>
      <c r="B585" s="26" t="s">
        <v>684</v>
      </c>
      <c r="C585" s="26" t="s">
        <v>1934</v>
      </c>
      <c r="D585" s="92"/>
      <c r="E585" s="92">
        <v>0</v>
      </c>
    </row>
    <row r="586" spans="1:5" x14ac:dyDescent="0.25">
      <c r="A586" s="26" t="s">
        <v>527</v>
      </c>
      <c r="B586" s="26" t="s">
        <v>528</v>
      </c>
      <c r="C586" s="26" t="s">
        <v>1934</v>
      </c>
      <c r="D586" s="92"/>
      <c r="E586" s="92">
        <v>180</v>
      </c>
    </row>
    <row r="587" spans="1:5" x14ac:dyDescent="0.25">
      <c r="A587" s="26" t="s">
        <v>1096</v>
      </c>
      <c r="B587" s="26" t="s">
        <v>1097</v>
      </c>
      <c r="C587" s="26" t="s">
        <v>1080</v>
      </c>
      <c r="D587" s="92"/>
      <c r="E587" s="92">
        <v>0</v>
      </c>
    </row>
    <row r="588" spans="1:5" x14ac:dyDescent="0.25">
      <c r="A588" s="26" t="s">
        <v>1090</v>
      </c>
      <c r="B588" s="26" t="s">
        <v>1091</v>
      </c>
      <c r="C588" s="26" t="s">
        <v>1080</v>
      </c>
      <c r="D588" s="92"/>
      <c r="E588" s="92">
        <v>0</v>
      </c>
    </row>
    <row r="589" spans="1:5" x14ac:dyDescent="0.25">
      <c r="A589" s="26" t="s">
        <v>1090</v>
      </c>
      <c r="B589" s="26" t="s">
        <v>1093</v>
      </c>
      <c r="C589" s="26" t="s">
        <v>1080</v>
      </c>
      <c r="D589" s="92"/>
      <c r="E589" s="92">
        <v>0</v>
      </c>
    </row>
    <row r="590" spans="1:5" x14ac:dyDescent="0.25">
      <c r="A590" s="26" t="s">
        <v>1094</v>
      </c>
      <c r="B590" s="26" t="s">
        <v>1095</v>
      </c>
      <c r="C590" s="26" t="s">
        <v>1080</v>
      </c>
      <c r="D590" s="92"/>
      <c r="E590" s="92">
        <v>0</v>
      </c>
    </row>
    <row r="591" spans="1:5" x14ac:dyDescent="0.25">
      <c r="A591" s="26" t="s">
        <v>869</v>
      </c>
      <c r="B591" s="26" t="s">
        <v>870</v>
      </c>
      <c r="C591" s="26" t="s">
        <v>1841</v>
      </c>
      <c r="D591" s="92"/>
      <c r="E591" s="92">
        <v>740</v>
      </c>
    </row>
    <row r="592" spans="1:5" x14ac:dyDescent="0.25">
      <c r="A592" s="26" t="s">
        <v>872</v>
      </c>
      <c r="B592" s="26" t="s">
        <v>563</v>
      </c>
      <c r="C592" s="26" t="s">
        <v>1841</v>
      </c>
      <c r="D592" s="92"/>
      <c r="E592" s="92">
        <v>740</v>
      </c>
    </row>
    <row r="593" spans="1:5" x14ac:dyDescent="0.25">
      <c r="A593" s="26" t="s">
        <v>452</v>
      </c>
      <c r="B593" s="26" t="s">
        <v>453</v>
      </c>
      <c r="C593" s="26" t="s">
        <v>449</v>
      </c>
      <c r="D593" s="92"/>
      <c r="E593" s="92">
        <v>60</v>
      </c>
    </row>
    <row r="594" spans="1:5" x14ac:dyDescent="0.25">
      <c r="A594" s="26" t="s">
        <v>2096</v>
      </c>
      <c r="B594" s="26" t="s">
        <v>2097</v>
      </c>
      <c r="C594" s="26" t="s">
        <v>1080</v>
      </c>
      <c r="D594" s="92"/>
      <c r="E594" s="92">
        <v>51</v>
      </c>
    </row>
    <row r="595" spans="1:5" x14ac:dyDescent="0.25">
      <c r="A595" s="26" t="s">
        <v>572</v>
      </c>
      <c r="B595" s="26" t="s">
        <v>2166</v>
      </c>
      <c r="C595" s="26" t="s">
        <v>573</v>
      </c>
      <c r="D595" s="92"/>
      <c r="E595" s="92">
        <v>0</v>
      </c>
    </row>
    <row r="596" spans="1:5" x14ac:dyDescent="0.25">
      <c r="A596" s="26" t="s">
        <v>1084</v>
      </c>
      <c r="B596" s="26" t="s">
        <v>1085</v>
      </c>
      <c r="C596" s="26" t="s">
        <v>1080</v>
      </c>
      <c r="D596" s="92"/>
      <c r="E596" s="92">
        <v>0</v>
      </c>
    </row>
    <row r="597" spans="1:5" x14ac:dyDescent="0.25">
      <c r="A597" s="26" t="s">
        <v>1952</v>
      </c>
      <c r="B597" s="26" t="s">
        <v>2166</v>
      </c>
      <c r="C597" s="26" t="s">
        <v>1870</v>
      </c>
      <c r="D597" s="92"/>
      <c r="E597" s="92">
        <v>1000</v>
      </c>
    </row>
    <row r="598" spans="1:5" x14ac:dyDescent="0.25">
      <c r="A598" s="26" t="s">
        <v>450</v>
      </c>
      <c r="B598" s="26" t="s">
        <v>451</v>
      </c>
      <c r="C598" s="26" t="s">
        <v>449</v>
      </c>
      <c r="D598" s="92"/>
      <c r="E598" s="92">
        <v>260</v>
      </c>
    </row>
    <row r="599" spans="1:5" x14ac:dyDescent="0.25">
      <c r="A599" s="26" t="s">
        <v>585</v>
      </c>
      <c r="B599" s="26" t="s">
        <v>586</v>
      </c>
      <c r="C599" s="26" t="s">
        <v>587</v>
      </c>
      <c r="D599" s="92"/>
      <c r="E599" s="92">
        <v>782</v>
      </c>
    </row>
    <row r="600" spans="1:5" x14ac:dyDescent="0.25">
      <c r="A600" s="26" t="s">
        <v>593</v>
      </c>
      <c r="B600" s="26" t="s">
        <v>1459</v>
      </c>
      <c r="C600" s="26" t="s">
        <v>592</v>
      </c>
      <c r="D600" s="92">
        <v>5</v>
      </c>
      <c r="E600" s="92">
        <v>79</v>
      </c>
    </row>
    <row r="601" spans="1:5" x14ac:dyDescent="0.25">
      <c r="A601" s="26" t="s">
        <v>593</v>
      </c>
      <c r="B601" s="26" t="s">
        <v>1431</v>
      </c>
      <c r="C601" s="26" t="s">
        <v>592</v>
      </c>
      <c r="D601" s="92">
        <v>5</v>
      </c>
      <c r="E601" s="92">
        <v>582</v>
      </c>
    </row>
    <row r="602" spans="1:5" x14ac:dyDescent="0.25">
      <c r="A602" s="26" t="s">
        <v>1115</v>
      </c>
      <c r="B602" s="26" t="s">
        <v>1116</v>
      </c>
      <c r="C602" s="26" t="s">
        <v>1080</v>
      </c>
      <c r="D602" s="92"/>
      <c r="E602" s="92">
        <v>16</v>
      </c>
    </row>
    <row r="603" spans="1:5" x14ac:dyDescent="0.25">
      <c r="A603" s="26" t="s">
        <v>1938</v>
      </c>
      <c r="B603" s="26" t="s">
        <v>1896</v>
      </c>
      <c r="C603" s="26" t="s">
        <v>1497</v>
      </c>
      <c r="D603" s="92">
        <v>12</v>
      </c>
      <c r="E603" s="92">
        <v>1935</v>
      </c>
    </row>
    <row r="604" spans="1:5" x14ac:dyDescent="0.25">
      <c r="A604" s="26" t="s">
        <v>1939</v>
      </c>
      <c r="B604" s="26" t="s">
        <v>1885</v>
      </c>
      <c r="C604" s="26" t="s">
        <v>1497</v>
      </c>
      <c r="D604" s="92"/>
      <c r="E604" s="92">
        <v>600</v>
      </c>
    </row>
    <row r="605" spans="1:5" x14ac:dyDescent="0.25">
      <c r="A605" s="26" t="s">
        <v>1797</v>
      </c>
      <c r="B605" s="26" t="s">
        <v>1794</v>
      </c>
      <c r="C605" s="26" t="s">
        <v>1841</v>
      </c>
      <c r="D605" s="92"/>
      <c r="E605" s="92">
        <v>1150</v>
      </c>
    </row>
    <row r="606" spans="1:5" x14ac:dyDescent="0.25">
      <c r="A606" s="26" t="s">
        <v>1796</v>
      </c>
      <c r="B606" s="26" t="s">
        <v>1795</v>
      </c>
      <c r="C606" s="26" t="s">
        <v>545</v>
      </c>
      <c r="D606" s="92"/>
      <c r="E606" s="92">
        <v>50</v>
      </c>
    </row>
    <row r="607" spans="1:5" x14ac:dyDescent="0.25">
      <c r="A607" s="26" t="s">
        <v>1942</v>
      </c>
      <c r="B607" s="26" t="s">
        <v>1310</v>
      </c>
      <c r="C607" s="26" t="s">
        <v>1497</v>
      </c>
      <c r="D607" s="92"/>
      <c r="E607" s="92">
        <v>700</v>
      </c>
    </row>
    <row r="608" spans="1:5" x14ac:dyDescent="0.25">
      <c r="A608" s="26" t="s">
        <v>1941</v>
      </c>
      <c r="B608" s="26" t="s">
        <v>1887</v>
      </c>
      <c r="C608" s="26" t="s">
        <v>1497</v>
      </c>
      <c r="D608" s="92"/>
      <c r="E608" s="92">
        <v>550</v>
      </c>
    </row>
    <row r="609" spans="1:5" x14ac:dyDescent="0.25">
      <c r="A609" s="26" t="s">
        <v>1940</v>
      </c>
      <c r="B609" s="26" t="s">
        <v>1886</v>
      </c>
      <c r="C609" s="26" t="s">
        <v>1497</v>
      </c>
      <c r="D609" s="92"/>
      <c r="E609" s="92">
        <v>50</v>
      </c>
    </row>
    <row r="610" spans="1:5" x14ac:dyDescent="0.25">
      <c r="A610" s="26" t="s">
        <v>2166</v>
      </c>
      <c r="B610" s="26" t="s">
        <v>1943</v>
      </c>
      <c r="C610" s="26" t="s">
        <v>510</v>
      </c>
      <c r="D610" s="92"/>
      <c r="E610" s="92">
        <v>0</v>
      </c>
    </row>
    <row r="611" spans="1:5" x14ac:dyDescent="0.25">
      <c r="A611" s="26" t="s">
        <v>2166</v>
      </c>
      <c r="B611" s="26" t="s">
        <v>2023</v>
      </c>
      <c r="C611" s="26" t="s">
        <v>1841</v>
      </c>
      <c r="D611" s="92">
        <v>1625</v>
      </c>
      <c r="E611" s="92"/>
    </row>
    <row r="612" spans="1:5" x14ac:dyDescent="0.25">
      <c r="A612" s="26" t="s">
        <v>2166</v>
      </c>
      <c r="B612" s="26" t="s">
        <v>2166</v>
      </c>
      <c r="C612" s="26" t="s">
        <v>2166</v>
      </c>
      <c r="D612" s="92"/>
      <c r="E612" s="92"/>
    </row>
    <row r="613" spans="1:5" x14ac:dyDescent="0.25">
      <c r="A613" s="26" t="s">
        <v>2164</v>
      </c>
      <c r="B613" s="26" t="s">
        <v>2077</v>
      </c>
      <c r="C613" s="26" t="s">
        <v>186</v>
      </c>
      <c r="D613" s="92"/>
      <c r="E613" s="92">
        <v>3400</v>
      </c>
    </row>
    <row r="614" spans="1:5" x14ac:dyDescent="0.25">
      <c r="A614" s="26" t="s">
        <v>2163</v>
      </c>
      <c r="B614" s="26" t="s">
        <v>2165</v>
      </c>
      <c r="C614" s="26" t="s">
        <v>186</v>
      </c>
      <c r="D614" s="92"/>
      <c r="E614" s="92">
        <v>5500</v>
      </c>
    </row>
    <row r="615" spans="1:5" x14ac:dyDescent="0.25">
      <c r="A615" s="26" t="s">
        <v>2170</v>
      </c>
      <c r="B615" s="26" t="s">
        <v>1752</v>
      </c>
      <c r="C615" s="26" t="s">
        <v>2120</v>
      </c>
      <c r="D615" s="92"/>
      <c r="E615" s="92">
        <v>1090</v>
      </c>
    </row>
    <row r="616" spans="1:5" x14ac:dyDescent="0.25">
      <c r="A616" s="26" t="s">
        <v>2159</v>
      </c>
      <c r="B616" s="26"/>
      <c r="C616" s="26"/>
      <c r="D616" s="92">
        <v>2202172</v>
      </c>
      <c r="E616" s="92">
        <v>8051925</v>
      </c>
    </row>
  </sheetData>
  <conditionalFormatting sqref="E1:E4 E617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0"/>
  <sheetViews>
    <sheetView workbookViewId="0">
      <pane ySplit="1" topLeftCell="A613" activePane="bottomLeft" state="frozen"/>
      <selection activeCell="C1" sqref="C1"/>
      <selection pane="bottomLeft" activeCell="A623" sqref="A623"/>
    </sheetView>
  </sheetViews>
  <sheetFormatPr defaultRowHeight="18.75" x14ac:dyDescent="0.3"/>
  <cols>
    <col min="1" max="1" width="62" style="5" customWidth="1"/>
    <col min="2" max="2" width="31.42578125" style="5" customWidth="1"/>
    <col min="3" max="3" width="26.140625" style="4" customWidth="1"/>
    <col min="4" max="4" width="25.85546875" style="5" customWidth="1"/>
    <col min="5" max="5" width="17.85546875" style="5" customWidth="1"/>
    <col min="6" max="6" width="23.5703125" style="4" customWidth="1"/>
    <col min="7" max="7" width="12.42578125" style="5" customWidth="1"/>
    <col min="8" max="8" width="26.7109375" style="5" customWidth="1"/>
    <col min="9" max="9" width="34.5703125" style="4" customWidth="1"/>
  </cols>
  <sheetData>
    <row r="1" spans="1:9" ht="56.25" x14ac:dyDescent="0.3">
      <c r="A1" s="37" t="s">
        <v>0</v>
      </c>
      <c r="B1" s="37" t="s">
        <v>1</v>
      </c>
      <c r="C1" s="38" t="s">
        <v>2</v>
      </c>
      <c r="D1" s="38" t="s">
        <v>1417</v>
      </c>
      <c r="E1" s="38" t="s">
        <v>1418</v>
      </c>
      <c r="F1" s="38" t="s">
        <v>1436</v>
      </c>
      <c r="G1" s="38" t="s">
        <v>4</v>
      </c>
      <c r="H1" s="38" t="s">
        <v>1437</v>
      </c>
      <c r="I1" s="38" t="s">
        <v>1419</v>
      </c>
    </row>
    <row r="2" spans="1:9" x14ac:dyDescent="0.3">
      <c r="A2" s="5" t="s">
        <v>1785</v>
      </c>
      <c r="B2" s="5" t="s">
        <v>5</v>
      </c>
      <c r="C2" s="4" t="s">
        <v>1929</v>
      </c>
      <c r="D2" s="5" t="s">
        <v>1787</v>
      </c>
      <c r="E2" s="6">
        <v>99636</v>
      </c>
      <c r="F2" s="4">
        <v>24750</v>
      </c>
      <c r="G2" s="6">
        <f>E2-F2</f>
        <v>74886</v>
      </c>
      <c r="H2" s="6" t="s">
        <v>1910</v>
      </c>
      <c r="I2" s="4">
        <v>2750</v>
      </c>
    </row>
    <row r="3" spans="1:9" ht="37.5" x14ac:dyDescent="0.3">
      <c r="A3" s="4" t="s">
        <v>6</v>
      </c>
      <c r="B3" s="5" t="s">
        <v>7</v>
      </c>
      <c r="C3" s="4" t="s">
        <v>8</v>
      </c>
      <c r="D3" s="5" t="s">
        <v>9</v>
      </c>
      <c r="E3" s="5">
        <v>126000</v>
      </c>
      <c r="G3" s="6">
        <f>E3-F3</f>
        <v>126000</v>
      </c>
      <c r="H3" s="6"/>
      <c r="I3" s="4">
        <v>18000</v>
      </c>
    </row>
    <row r="4" spans="1:9" x14ac:dyDescent="0.3">
      <c r="A4" s="5" t="s">
        <v>2037</v>
      </c>
      <c r="B4" s="5" t="s">
        <v>13</v>
      </c>
      <c r="C4" s="4" t="s">
        <v>14</v>
      </c>
      <c r="D4" s="5" t="s">
        <v>15</v>
      </c>
      <c r="E4" s="6">
        <v>91460</v>
      </c>
      <c r="F4" s="4">
        <v>76000</v>
      </c>
      <c r="G4" s="6">
        <f>E4-F4</f>
        <v>15460</v>
      </c>
      <c r="H4" s="6" t="s">
        <v>38</v>
      </c>
      <c r="I4" s="4">
        <v>9500</v>
      </c>
    </row>
    <row r="5" spans="1:9" x14ac:dyDescent="0.3">
      <c r="A5" s="5" t="s">
        <v>2039</v>
      </c>
      <c r="B5" s="5" t="s">
        <v>2040</v>
      </c>
      <c r="C5" s="4" t="s">
        <v>11</v>
      </c>
      <c r="D5" s="5" t="s">
        <v>46</v>
      </c>
      <c r="E5" s="6">
        <v>29480</v>
      </c>
      <c r="G5" s="6">
        <v>29480</v>
      </c>
      <c r="H5" s="6" t="s">
        <v>46</v>
      </c>
    </row>
    <row r="6" spans="1:9" x14ac:dyDescent="0.3">
      <c r="A6" s="5" t="s">
        <v>16</v>
      </c>
      <c r="B6" s="5" t="s">
        <v>17</v>
      </c>
      <c r="C6" s="4" t="s">
        <v>18</v>
      </c>
      <c r="D6" s="5" t="s">
        <v>19</v>
      </c>
      <c r="E6" s="6">
        <v>10900</v>
      </c>
      <c r="F6" s="4">
        <v>5900</v>
      </c>
      <c r="G6" s="6">
        <f>E6-F6</f>
        <v>5000</v>
      </c>
      <c r="H6" s="6" t="s">
        <v>46</v>
      </c>
      <c r="I6" s="4">
        <v>1000</v>
      </c>
    </row>
    <row r="7" spans="1:9" ht="37.5" x14ac:dyDescent="0.3">
      <c r="A7" s="5" t="s">
        <v>21</v>
      </c>
      <c r="B7" s="5" t="s">
        <v>22</v>
      </c>
      <c r="C7" s="4" t="s">
        <v>23</v>
      </c>
      <c r="D7" s="5" t="s">
        <v>20</v>
      </c>
      <c r="E7" s="6">
        <v>16025</v>
      </c>
      <c r="F7" s="4">
        <v>15000</v>
      </c>
      <c r="G7" s="6">
        <f>E7-F7</f>
        <v>1025</v>
      </c>
      <c r="H7" s="6" t="s">
        <v>29</v>
      </c>
      <c r="I7" s="4" t="s">
        <v>1420</v>
      </c>
    </row>
    <row r="8" spans="1:9" x14ac:dyDescent="0.3">
      <c r="A8" s="4" t="s">
        <v>26</v>
      </c>
      <c r="B8" s="5" t="s">
        <v>27</v>
      </c>
      <c r="C8" s="4" t="s">
        <v>28</v>
      </c>
      <c r="D8" s="5" t="s">
        <v>29</v>
      </c>
      <c r="E8" s="5">
        <v>1000</v>
      </c>
      <c r="F8" s="4">
        <v>0</v>
      </c>
      <c r="G8" s="6">
        <f>E8-F8</f>
        <v>1000</v>
      </c>
      <c r="H8" s="6" t="s">
        <v>29</v>
      </c>
      <c r="I8" s="4">
        <v>1000</v>
      </c>
    </row>
    <row r="9" spans="1:9" ht="37.5" x14ac:dyDescent="0.3">
      <c r="A9" s="4" t="s">
        <v>2035</v>
      </c>
      <c r="B9" s="5" t="s">
        <v>1919</v>
      </c>
      <c r="C9" s="4" t="s">
        <v>1920</v>
      </c>
      <c r="D9" s="5" t="s">
        <v>25</v>
      </c>
      <c r="E9" s="5">
        <v>24695</v>
      </c>
      <c r="F9" s="5"/>
      <c r="G9" s="5">
        <v>24695</v>
      </c>
      <c r="H9" s="6" t="s">
        <v>25</v>
      </c>
      <c r="I9" s="4" t="s">
        <v>1921</v>
      </c>
    </row>
    <row r="10" spans="1:9" x14ac:dyDescent="0.3">
      <c r="A10" s="4" t="s">
        <v>2036</v>
      </c>
      <c r="B10" s="5" t="s">
        <v>1922</v>
      </c>
      <c r="C10" s="4" t="s">
        <v>1920</v>
      </c>
      <c r="D10" s="5" t="s">
        <v>29</v>
      </c>
      <c r="E10" s="5">
        <v>12450</v>
      </c>
      <c r="G10" s="6">
        <v>12450</v>
      </c>
      <c r="H10" s="6"/>
    </row>
    <row r="11" spans="1:9" x14ac:dyDescent="0.3">
      <c r="A11" s="5" t="s">
        <v>30</v>
      </c>
      <c r="B11" s="5" t="s">
        <v>31</v>
      </c>
      <c r="C11" s="4" t="s">
        <v>32</v>
      </c>
      <c r="D11" s="5" t="s">
        <v>29</v>
      </c>
      <c r="E11" s="6">
        <v>5000</v>
      </c>
      <c r="F11" s="4">
        <v>0</v>
      </c>
      <c r="G11" s="6">
        <f>E11-F11</f>
        <v>5000</v>
      </c>
      <c r="H11" s="6"/>
      <c r="I11" s="4">
        <v>5000</v>
      </c>
    </row>
    <row r="12" spans="1:9" x14ac:dyDescent="0.3">
      <c r="A12" s="5" t="s">
        <v>33</v>
      </c>
      <c r="B12" s="5" t="s">
        <v>7</v>
      </c>
      <c r="C12" s="4" t="s">
        <v>34</v>
      </c>
      <c r="D12" s="5" t="s">
        <v>25</v>
      </c>
      <c r="E12" s="6">
        <v>61650</v>
      </c>
      <c r="F12" s="4">
        <v>0</v>
      </c>
      <c r="G12" s="6">
        <f>E12-F12</f>
        <v>61650</v>
      </c>
      <c r="H12" s="6"/>
      <c r="I12" s="4">
        <v>20000</v>
      </c>
    </row>
    <row r="13" spans="1:9" x14ac:dyDescent="0.3">
      <c r="A13" s="5" t="s">
        <v>1733</v>
      </c>
      <c r="B13" s="5" t="s">
        <v>35</v>
      </c>
      <c r="C13" s="4" t="s">
        <v>34</v>
      </c>
      <c r="D13" s="5" t="s">
        <v>29</v>
      </c>
      <c r="E13" s="6">
        <v>4000</v>
      </c>
      <c r="F13" s="4">
        <v>4000</v>
      </c>
      <c r="G13" s="6">
        <f>E13-F13</f>
        <v>0</v>
      </c>
      <c r="H13" s="6" t="s">
        <v>2106</v>
      </c>
      <c r="I13" s="4">
        <v>4000</v>
      </c>
    </row>
    <row r="14" spans="1:9" x14ac:dyDescent="0.3">
      <c r="A14" s="4" t="s">
        <v>36</v>
      </c>
      <c r="B14" s="5" t="s">
        <v>37</v>
      </c>
      <c r="C14" s="4" t="s">
        <v>34</v>
      </c>
      <c r="D14" s="5" t="s">
        <v>38</v>
      </c>
      <c r="E14" s="6">
        <v>20000</v>
      </c>
      <c r="F14" s="4">
        <v>20000</v>
      </c>
      <c r="G14" s="6">
        <f>E14-F14</f>
        <v>0</v>
      </c>
      <c r="H14" s="6" t="s">
        <v>29</v>
      </c>
      <c r="I14" s="4">
        <v>10000</v>
      </c>
    </row>
    <row r="15" spans="1:9" x14ac:dyDescent="0.3">
      <c r="A15" s="4" t="s">
        <v>2033</v>
      </c>
      <c r="B15" s="5" t="s">
        <v>1813</v>
      </c>
      <c r="C15" s="4" t="s">
        <v>34</v>
      </c>
      <c r="D15" s="5" t="s">
        <v>29</v>
      </c>
      <c r="E15" s="6">
        <v>1000</v>
      </c>
      <c r="F15" s="4">
        <v>0</v>
      </c>
      <c r="G15" s="6"/>
      <c r="H15" s="6"/>
    </row>
    <row r="16" spans="1:9" x14ac:dyDescent="0.3">
      <c r="A16" s="5" t="s">
        <v>2034</v>
      </c>
      <c r="B16" s="5" t="s">
        <v>42</v>
      </c>
      <c r="C16" s="4" t="s">
        <v>41</v>
      </c>
      <c r="D16" s="5" t="s">
        <v>29</v>
      </c>
      <c r="E16" s="6">
        <v>10000</v>
      </c>
      <c r="F16" s="4">
        <v>0</v>
      </c>
      <c r="G16" s="6">
        <f t="shared" ref="G16:G39" si="0">E16-F16</f>
        <v>10000</v>
      </c>
      <c r="H16" s="6"/>
      <c r="I16" s="4">
        <v>10000</v>
      </c>
    </row>
    <row r="17" spans="1:9" x14ac:dyDescent="0.3">
      <c r="A17" s="5" t="s">
        <v>43</v>
      </c>
      <c r="B17" s="5" t="s">
        <v>44</v>
      </c>
      <c r="C17" s="4" t="s">
        <v>41</v>
      </c>
      <c r="D17" s="5" t="s">
        <v>45</v>
      </c>
      <c r="E17" s="6">
        <v>147792</v>
      </c>
      <c r="F17" s="4">
        <v>0</v>
      </c>
      <c r="G17" s="6">
        <f t="shared" si="0"/>
        <v>147792</v>
      </c>
      <c r="H17" s="6"/>
      <c r="I17" s="4">
        <v>6000</v>
      </c>
    </row>
    <row r="18" spans="1:9" x14ac:dyDescent="0.3">
      <c r="A18" s="5" t="s">
        <v>1329</v>
      </c>
      <c r="B18" s="5" t="s">
        <v>1330</v>
      </c>
      <c r="C18" s="4" t="s">
        <v>1719</v>
      </c>
      <c r="D18" s="5" t="s">
        <v>204</v>
      </c>
      <c r="E18" s="5">
        <v>148168</v>
      </c>
      <c r="F18" s="4">
        <v>110400</v>
      </c>
      <c r="G18" s="5">
        <f t="shared" si="0"/>
        <v>37768</v>
      </c>
      <c r="H18" s="5" t="s">
        <v>46</v>
      </c>
      <c r="I18" s="4">
        <v>9200</v>
      </c>
    </row>
    <row r="19" spans="1:9" x14ac:dyDescent="0.3">
      <c r="A19" s="5" t="s">
        <v>48</v>
      </c>
      <c r="B19" s="5" t="s">
        <v>49</v>
      </c>
      <c r="C19" s="4" t="s">
        <v>50</v>
      </c>
      <c r="D19" s="5" t="s">
        <v>29</v>
      </c>
      <c r="E19" s="6">
        <v>6832</v>
      </c>
      <c r="F19" s="4">
        <v>0</v>
      </c>
      <c r="G19" s="6">
        <f t="shared" si="0"/>
        <v>6832</v>
      </c>
      <c r="H19" s="6"/>
      <c r="I19" s="4">
        <v>6832</v>
      </c>
    </row>
    <row r="20" spans="1:9" x14ac:dyDescent="0.3">
      <c r="A20" s="5" t="s">
        <v>1839</v>
      </c>
      <c r="B20" s="5" t="s">
        <v>1838</v>
      </c>
      <c r="C20" s="4" t="s">
        <v>50</v>
      </c>
      <c r="D20" s="5" t="s">
        <v>426</v>
      </c>
      <c r="E20" s="5">
        <v>16000</v>
      </c>
      <c r="G20" s="5">
        <f t="shared" si="0"/>
        <v>16000</v>
      </c>
      <c r="I20" s="4">
        <v>2000</v>
      </c>
    </row>
    <row r="21" spans="1:9" x14ac:dyDescent="0.3">
      <c r="A21" s="5" t="s">
        <v>54</v>
      </c>
      <c r="B21" s="5" t="s">
        <v>55</v>
      </c>
      <c r="C21" s="4" t="s">
        <v>50</v>
      </c>
      <c r="D21" s="5" t="s">
        <v>38</v>
      </c>
      <c r="E21" s="6">
        <v>10140</v>
      </c>
      <c r="F21" s="4">
        <v>0</v>
      </c>
      <c r="G21" s="6">
        <f t="shared" si="0"/>
        <v>10140</v>
      </c>
      <c r="H21" s="6"/>
      <c r="I21" s="4" t="s">
        <v>56</v>
      </c>
    </row>
    <row r="22" spans="1:9" x14ac:dyDescent="0.3">
      <c r="A22" s="4" t="s">
        <v>57</v>
      </c>
      <c r="B22" s="5" t="s">
        <v>58</v>
      </c>
      <c r="C22" s="4" t="s">
        <v>59</v>
      </c>
      <c r="D22" s="5" t="s">
        <v>60</v>
      </c>
      <c r="E22" s="5">
        <v>58500</v>
      </c>
      <c r="F22" s="4">
        <v>45000</v>
      </c>
      <c r="G22" s="6">
        <f t="shared" si="0"/>
        <v>13500</v>
      </c>
      <c r="H22" s="6"/>
      <c r="I22" s="4">
        <v>4500</v>
      </c>
    </row>
    <row r="23" spans="1:9" x14ac:dyDescent="0.3">
      <c r="A23" s="4" t="s">
        <v>64</v>
      </c>
      <c r="B23" s="5" t="s">
        <v>65</v>
      </c>
      <c r="C23" s="4" t="s">
        <v>59</v>
      </c>
      <c r="D23" s="5" t="s">
        <v>25</v>
      </c>
      <c r="E23" s="6">
        <v>14000</v>
      </c>
      <c r="G23" s="6">
        <f t="shared" si="0"/>
        <v>14000</v>
      </c>
      <c r="H23" s="6"/>
      <c r="I23" s="4">
        <v>4665</v>
      </c>
    </row>
    <row r="24" spans="1:9" x14ac:dyDescent="0.3">
      <c r="A24" s="4" t="s">
        <v>66</v>
      </c>
      <c r="B24" s="5" t="s">
        <v>67</v>
      </c>
      <c r="C24" s="4" t="s">
        <v>59</v>
      </c>
      <c r="D24" s="5" t="s">
        <v>38</v>
      </c>
      <c r="E24" s="5">
        <v>11000</v>
      </c>
      <c r="F24" s="4">
        <v>5500</v>
      </c>
      <c r="G24" s="6">
        <f t="shared" si="0"/>
        <v>5500</v>
      </c>
      <c r="H24" s="6"/>
      <c r="I24" s="4">
        <v>5500</v>
      </c>
    </row>
    <row r="25" spans="1:9" x14ac:dyDescent="0.3">
      <c r="A25" s="5" t="s">
        <v>68</v>
      </c>
      <c r="B25" s="5" t="s">
        <v>69</v>
      </c>
      <c r="C25" s="4" t="s">
        <v>59</v>
      </c>
      <c r="D25" s="5" t="s">
        <v>70</v>
      </c>
      <c r="E25" s="6">
        <v>12000</v>
      </c>
      <c r="G25" s="6">
        <f t="shared" si="0"/>
        <v>12000</v>
      </c>
      <c r="H25" s="6"/>
      <c r="I25" s="4">
        <v>800</v>
      </c>
    </row>
    <row r="26" spans="1:9" x14ac:dyDescent="0.3">
      <c r="A26" s="5" t="s">
        <v>57</v>
      </c>
      <c r="B26" s="5" t="s">
        <v>58</v>
      </c>
      <c r="C26" s="4" t="s">
        <v>59</v>
      </c>
      <c r="D26" s="4" t="s">
        <v>100</v>
      </c>
      <c r="E26" s="5">
        <v>48209</v>
      </c>
      <c r="G26" s="5">
        <f t="shared" si="0"/>
        <v>48209</v>
      </c>
    </row>
    <row r="27" spans="1:9" x14ac:dyDescent="0.3">
      <c r="A27" s="5" t="s">
        <v>2098</v>
      </c>
      <c r="B27" s="5" t="s">
        <v>2099</v>
      </c>
      <c r="C27" s="4" t="s">
        <v>1860</v>
      </c>
      <c r="D27" s="4" t="s">
        <v>2100</v>
      </c>
      <c r="E27" s="5">
        <v>111182</v>
      </c>
      <c r="G27" s="5">
        <f t="shared" si="0"/>
        <v>111182</v>
      </c>
      <c r="I27" s="4">
        <v>850</v>
      </c>
    </row>
    <row r="28" spans="1:9" x14ac:dyDescent="0.3">
      <c r="A28" s="5" t="s">
        <v>61</v>
      </c>
      <c r="B28" s="5" t="s">
        <v>62</v>
      </c>
      <c r="C28" s="4" t="s">
        <v>63</v>
      </c>
      <c r="D28" s="5" t="s">
        <v>46</v>
      </c>
      <c r="E28" s="6">
        <v>20000</v>
      </c>
      <c r="F28" s="4">
        <v>12000</v>
      </c>
      <c r="G28" s="6">
        <f t="shared" si="0"/>
        <v>8000</v>
      </c>
      <c r="H28" s="6" t="s">
        <v>38</v>
      </c>
      <c r="I28" s="4">
        <v>4000</v>
      </c>
    </row>
    <row r="29" spans="1:9" x14ac:dyDescent="0.3">
      <c r="A29" s="5" t="s">
        <v>30</v>
      </c>
      <c r="B29" s="5" t="s">
        <v>31</v>
      </c>
      <c r="C29" s="4" t="s">
        <v>63</v>
      </c>
      <c r="D29" s="5" t="s">
        <v>29</v>
      </c>
      <c r="E29" s="6">
        <v>12500</v>
      </c>
      <c r="G29" s="6">
        <f t="shared" si="0"/>
        <v>12500</v>
      </c>
      <c r="H29" s="6"/>
      <c r="I29" s="4">
        <v>12500</v>
      </c>
    </row>
    <row r="30" spans="1:9" x14ac:dyDescent="0.3">
      <c r="A30" s="5" t="s">
        <v>71</v>
      </c>
      <c r="B30" s="5" t="s">
        <v>72</v>
      </c>
      <c r="C30" s="4" t="s">
        <v>73</v>
      </c>
      <c r="D30" s="5" t="s">
        <v>38</v>
      </c>
      <c r="E30" s="6">
        <v>2000</v>
      </c>
      <c r="G30" s="6">
        <f t="shared" si="0"/>
        <v>2000</v>
      </c>
      <c r="H30" s="6"/>
      <c r="I30" s="4">
        <v>1000</v>
      </c>
    </row>
    <row r="31" spans="1:9" x14ac:dyDescent="0.3">
      <c r="A31" s="5" t="s">
        <v>74</v>
      </c>
      <c r="B31" s="5" t="s">
        <v>75</v>
      </c>
      <c r="C31" s="4" t="s">
        <v>73</v>
      </c>
      <c r="D31" s="5" t="s">
        <v>76</v>
      </c>
      <c r="E31" s="6">
        <v>18000</v>
      </c>
      <c r="G31" s="6">
        <f t="shared" si="0"/>
        <v>18000</v>
      </c>
      <c r="H31" s="6"/>
      <c r="I31" s="4">
        <v>4500</v>
      </c>
    </row>
    <row r="32" spans="1:9" x14ac:dyDescent="0.3">
      <c r="A32" s="5" t="s">
        <v>1856</v>
      </c>
      <c r="B32" s="5" t="s">
        <v>77</v>
      </c>
      <c r="C32" s="4" t="s">
        <v>73</v>
      </c>
      <c r="D32" s="5" t="s">
        <v>60</v>
      </c>
      <c r="E32" s="6">
        <v>13000</v>
      </c>
      <c r="G32" s="6">
        <f t="shared" si="0"/>
        <v>13000</v>
      </c>
      <c r="H32" s="6"/>
      <c r="I32" s="4">
        <v>1000</v>
      </c>
    </row>
    <row r="33" spans="1:9" x14ac:dyDescent="0.3">
      <c r="A33" s="5" t="s">
        <v>78</v>
      </c>
      <c r="B33" s="5" t="s">
        <v>79</v>
      </c>
      <c r="C33" s="4" t="s">
        <v>80</v>
      </c>
      <c r="D33" s="5" t="s">
        <v>45</v>
      </c>
      <c r="E33" s="6">
        <v>23055</v>
      </c>
      <c r="F33" s="4">
        <v>15855</v>
      </c>
      <c r="G33" s="6">
        <f t="shared" si="0"/>
        <v>7200</v>
      </c>
      <c r="H33" s="6" t="s">
        <v>12</v>
      </c>
      <c r="I33" s="4">
        <v>800</v>
      </c>
    </row>
    <row r="34" spans="1:9" ht="37.5" x14ac:dyDescent="0.3">
      <c r="A34" s="5" t="s">
        <v>81</v>
      </c>
      <c r="B34" s="5" t="s">
        <v>82</v>
      </c>
      <c r="C34" s="4" t="s">
        <v>80</v>
      </c>
      <c r="D34" s="5" t="s">
        <v>83</v>
      </c>
      <c r="E34" s="6">
        <v>30022</v>
      </c>
      <c r="F34" s="4">
        <v>5322</v>
      </c>
      <c r="G34" s="6">
        <f t="shared" si="0"/>
        <v>24700</v>
      </c>
      <c r="H34" s="6" t="s">
        <v>1439</v>
      </c>
      <c r="I34" s="4" t="s">
        <v>84</v>
      </c>
    </row>
    <row r="35" spans="1:9" x14ac:dyDescent="0.3">
      <c r="A35" s="5" t="s">
        <v>1446</v>
      </c>
      <c r="B35" s="5" t="s">
        <v>1447</v>
      </c>
      <c r="C35" s="4" t="s">
        <v>80</v>
      </c>
      <c r="D35" s="5" t="s">
        <v>60</v>
      </c>
      <c r="E35" s="6">
        <v>17556</v>
      </c>
      <c r="F35" s="4">
        <v>12600</v>
      </c>
      <c r="G35" s="6">
        <f t="shared" si="0"/>
        <v>4956</v>
      </c>
      <c r="H35" s="6" t="s">
        <v>76</v>
      </c>
      <c r="I35" s="4">
        <v>1400</v>
      </c>
    </row>
    <row r="36" spans="1:9" x14ac:dyDescent="0.3">
      <c r="A36" s="5" t="s">
        <v>51</v>
      </c>
      <c r="B36" s="5" t="s">
        <v>52</v>
      </c>
      <c r="C36" s="4" t="s">
        <v>87</v>
      </c>
      <c r="D36" s="5" t="s">
        <v>53</v>
      </c>
      <c r="E36" s="6">
        <v>98000</v>
      </c>
      <c r="F36" s="4">
        <v>14000</v>
      </c>
      <c r="G36" s="6">
        <f t="shared" si="0"/>
        <v>84000</v>
      </c>
      <c r="H36" s="6" t="s">
        <v>100</v>
      </c>
      <c r="I36" s="4">
        <v>7000</v>
      </c>
    </row>
    <row r="37" spans="1:9" x14ac:dyDescent="0.3">
      <c r="A37" s="5" t="s">
        <v>85</v>
      </c>
      <c r="B37" s="5" t="s">
        <v>86</v>
      </c>
      <c r="C37" s="4" t="s">
        <v>87</v>
      </c>
      <c r="D37" s="5" t="s">
        <v>88</v>
      </c>
      <c r="E37" s="6">
        <v>42000</v>
      </c>
      <c r="G37" s="6">
        <f t="shared" si="0"/>
        <v>42000</v>
      </c>
      <c r="H37" s="6"/>
      <c r="I37" s="4">
        <v>2000</v>
      </c>
    </row>
    <row r="38" spans="1:9" x14ac:dyDescent="0.3">
      <c r="A38" s="5" t="s">
        <v>2032</v>
      </c>
      <c r="B38" s="5" t="s">
        <v>1814</v>
      </c>
      <c r="C38" s="4" t="s">
        <v>87</v>
      </c>
      <c r="D38" s="5" t="s">
        <v>20</v>
      </c>
      <c r="E38" s="6">
        <v>36000</v>
      </c>
      <c r="G38" s="6">
        <f t="shared" si="0"/>
        <v>36000</v>
      </c>
      <c r="H38" s="6" t="s">
        <v>20</v>
      </c>
      <c r="I38" s="4">
        <v>6000</v>
      </c>
    </row>
    <row r="39" spans="1:9" x14ac:dyDescent="0.3">
      <c r="A39" s="5" t="s">
        <v>2038</v>
      </c>
      <c r="B39" s="5" t="s">
        <v>10</v>
      </c>
      <c r="C39" s="4" t="s">
        <v>87</v>
      </c>
      <c r="D39" s="5" t="s">
        <v>88</v>
      </c>
      <c r="E39" s="6">
        <v>61239</v>
      </c>
      <c r="G39" s="6">
        <f t="shared" si="0"/>
        <v>61239</v>
      </c>
      <c r="H39" s="6"/>
    </row>
    <row r="40" spans="1:9" x14ac:dyDescent="0.3">
      <c r="A40" s="5" t="s">
        <v>1785</v>
      </c>
      <c r="B40" s="5" t="s">
        <v>5</v>
      </c>
      <c r="C40" s="4" t="s">
        <v>2026</v>
      </c>
      <c r="D40" s="5" t="s">
        <v>2169</v>
      </c>
      <c r="E40" s="6">
        <v>156710</v>
      </c>
      <c r="F40" s="4">
        <v>8250</v>
      </c>
      <c r="G40" s="6">
        <v>156710</v>
      </c>
      <c r="H40" s="6">
        <v>63</v>
      </c>
      <c r="I40" s="4">
        <v>2750</v>
      </c>
    </row>
    <row r="41" spans="1:9" x14ac:dyDescent="0.3">
      <c r="A41" s="5" t="s">
        <v>102</v>
      </c>
      <c r="B41" s="5" t="s">
        <v>103</v>
      </c>
      <c r="C41" s="4" t="s">
        <v>2026</v>
      </c>
      <c r="D41" s="4" t="s">
        <v>104</v>
      </c>
      <c r="E41" s="4">
        <v>77000</v>
      </c>
      <c r="G41" s="6">
        <f>E41-F41</f>
        <v>77000</v>
      </c>
      <c r="H41" s="6"/>
    </row>
    <row r="42" spans="1:9" x14ac:dyDescent="0.3">
      <c r="A42" s="5" t="s">
        <v>2067</v>
      </c>
      <c r="B42" s="5" t="s">
        <v>90</v>
      </c>
      <c r="C42" s="4" t="s">
        <v>91</v>
      </c>
      <c r="D42" s="5" t="s">
        <v>1911</v>
      </c>
      <c r="E42" s="6">
        <v>44000</v>
      </c>
      <c r="F42" s="4">
        <v>31200</v>
      </c>
      <c r="G42" s="6">
        <f>E42-F42</f>
        <v>12800</v>
      </c>
      <c r="H42" s="6" t="s">
        <v>2085</v>
      </c>
      <c r="I42" s="4">
        <v>800</v>
      </c>
    </row>
    <row r="43" spans="1:9" x14ac:dyDescent="0.3">
      <c r="A43" s="5" t="s">
        <v>2028</v>
      </c>
      <c r="B43" s="5" t="s">
        <v>92</v>
      </c>
      <c r="C43" s="4" t="s">
        <v>93</v>
      </c>
      <c r="D43" s="5" t="s">
        <v>2043</v>
      </c>
      <c r="E43" s="6">
        <v>81739</v>
      </c>
      <c r="F43" s="4">
        <v>16500</v>
      </c>
      <c r="G43" s="6">
        <f>E43-F43</f>
        <v>65239</v>
      </c>
      <c r="H43" s="6" t="s">
        <v>2153</v>
      </c>
      <c r="I43" s="4">
        <v>1000</v>
      </c>
    </row>
    <row r="44" spans="1:9" x14ac:dyDescent="0.3">
      <c r="A44" s="5" t="s">
        <v>94</v>
      </c>
      <c r="B44" s="5" t="s">
        <v>95</v>
      </c>
      <c r="C44" s="4" t="s">
        <v>93</v>
      </c>
      <c r="D44" s="5" t="s">
        <v>204</v>
      </c>
      <c r="E44" s="6">
        <v>59945</v>
      </c>
      <c r="G44" s="6">
        <f>E44-F44</f>
        <v>59945</v>
      </c>
      <c r="H44" s="6" t="s">
        <v>204</v>
      </c>
      <c r="I44" s="4">
        <v>4000</v>
      </c>
    </row>
    <row r="45" spans="1:9" x14ac:dyDescent="0.3">
      <c r="A45" s="5" t="s">
        <v>2027</v>
      </c>
      <c r="B45" s="5" t="s">
        <v>1337</v>
      </c>
      <c r="C45" s="4" t="s">
        <v>101</v>
      </c>
      <c r="D45" s="5" t="s">
        <v>2151</v>
      </c>
      <c r="E45" s="5">
        <v>198950</v>
      </c>
      <c r="F45" s="4">
        <v>28350</v>
      </c>
      <c r="G45" s="5">
        <f>E45-F45</f>
        <v>170600</v>
      </c>
      <c r="H45" s="5" t="s">
        <v>2152</v>
      </c>
      <c r="I45" s="4">
        <v>1350</v>
      </c>
    </row>
    <row r="46" spans="1:9" x14ac:dyDescent="0.3">
      <c r="A46" s="5" t="s">
        <v>105</v>
      </c>
      <c r="B46" s="5" t="s">
        <v>106</v>
      </c>
      <c r="C46" s="4" t="s">
        <v>107</v>
      </c>
      <c r="D46" s="5" t="s">
        <v>108</v>
      </c>
      <c r="E46" s="6">
        <v>118500</v>
      </c>
      <c r="F46" s="4">
        <v>9000</v>
      </c>
      <c r="G46" s="6">
        <f t="shared" ref="G46:G54" si="1">E46-F46</f>
        <v>109500</v>
      </c>
      <c r="H46" s="6" t="s">
        <v>1440</v>
      </c>
      <c r="I46" s="4">
        <v>1500</v>
      </c>
    </row>
    <row r="47" spans="1:9" x14ac:dyDescent="0.3">
      <c r="A47" s="5" t="s">
        <v>39</v>
      </c>
      <c r="B47" s="5" t="s">
        <v>40</v>
      </c>
      <c r="C47" s="4" t="s">
        <v>99</v>
      </c>
      <c r="D47" s="5" t="s">
        <v>100</v>
      </c>
      <c r="E47" s="6">
        <v>66039</v>
      </c>
      <c r="G47" s="6">
        <f t="shared" si="1"/>
        <v>66039</v>
      </c>
      <c r="H47" s="6"/>
      <c r="I47" s="4">
        <v>5500</v>
      </c>
    </row>
    <row r="48" spans="1:9" x14ac:dyDescent="0.3">
      <c r="A48" s="5" t="s">
        <v>109</v>
      </c>
      <c r="B48" s="5" t="s">
        <v>110</v>
      </c>
      <c r="C48" s="4" t="s">
        <v>99</v>
      </c>
      <c r="D48" s="5" t="s">
        <v>111</v>
      </c>
      <c r="E48" s="6">
        <v>108000</v>
      </c>
      <c r="F48" s="4">
        <v>81000</v>
      </c>
      <c r="G48" s="6">
        <f t="shared" si="1"/>
        <v>27000</v>
      </c>
      <c r="H48" s="6" t="s">
        <v>12</v>
      </c>
      <c r="I48" s="4">
        <v>3000</v>
      </c>
    </row>
    <row r="49" spans="1:9" x14ac:dyDescent="0.3">
      <c r="A49" s="5" t="s">
        <v>112</v>
      </c>
      <c r="B49" s="5" t="s">
        <v>113</v>
      </c>
      <c r="C49" s="4" t="s">
        <v>99</v>
      </c>
      <c r="D49" s="5" t="s">
        <v>9</v>
      </c>
      <c r="E49" s="6">
        <v>12250</v>
      </c>
      <c r="G49" s="6">
        <f t="shared" si="1"/>
        <v>12250</v>
      </c>
      <c r="H49" s="6"/>
      <c r="I49" s="4">
        <v>1750</v>
      </c>
    </row>
    <row r="50" spans="1:9" x14ac:dyDescent="0.3">
      <c r="A50" s="5" t="s">
        <v>114</v>
      </c>
      <c r="B50" s="5" t="s">
        <v>115</v>
      </c>
      <c r="C50" s="4" t="s">
        <v>116</v>
      </c>
      <c r="D50" s="5" t="s">
        <v>1911</v>
      </c>
      <c r="E50" s="6">
        <v>135475</v>
      </c>
      <c r="F50" s="4">
        <v>15000</v>
      </c>
      <c r="G50" s="6">
        <f t="shared" si="1"/>
        <v>120475</v>
      </c>
      <c r="H50" s="6" t="s">
        <v>444</v>
      </c>
      <c r="I50" s="4">
        <v>2500</v>
      </c>
    </row>
    <row r="51" spans="1:9" x14ac:dyDescent="0.3">
      <c r="A51" s="5" t="s">
        <v>117</v>
      </c>
      <c r="B51" s="5" t="s">
        <v>118</v>
      </c>
      <c r="C51" s="4" t="s">
        <v>116</v>
      </c>
      <c r="D51" s="5" t="s">
        <v>98</v>
      </c>
      <c r="E51" s="6">
        <v>147477</v>
      </c>
      <c r="F51" s="4">
        <v>45000</v>
      </c>
      <c r="G51" s="6">
        <f t="shared" si="1"/>
        <v>102477</v>
      </c>
      <c r="H51" s="6" t="s">
        <v>444</v>
      </c>
      <c r="I51" s="4">
        <v>7500</v>
      </c>
    </row>
    <row r="52" spans="1:9" x14ac:dyDescent="0.3">
      <c r="A52" s="5" t="s">
        <v>119</v>
      </c>
      <c r="B52" s="5" t="s">
        <v>120</v>
      </c>
      <c r="C52" s="4" t="s">
        <v>121</v>
      </c>
      <c r="D52" s="5" t="s">
        <v>122</v>
      </c>
      <c r="E52" s="6">
        <v>122500</v>
      </c>
      <c r="F52" s="4">
        <v>20500</v>
      </c>
      <c r="G52" s="6">
        <f t="shared" si="1"/>
        <v>102000</v>
      </c>
      <c r="H52" s="6" t="s">
        <v>141</v>
      </c>
      <c r="I52" s="4">
        <v>1500</v>
      </c>
    </row>
    <row r="53" spans="1:9" x14ac:dyDescent="0.3">
      <c r="A53" s="5" t="s">
        <v>2029</v>
      </c>
      <c r="B53" s="5" t="s">
        <v>123</v>
      </c>
      <c r="C53" s="4" t="s">
        <v>124</v>
      </c>
      <c r="D53" s="5" t="s">
        <v>83</v>
      </c>
      <c r="E53" s="6">
        <v>28155</v>
      </c>
      <c r="F53" s="4">
        <v>24405</v>
      </c>
      <c r="G53" s="6">
        <f t="shared" si="1"/>
        <v>3750</v>
      </c>
      <c r="H53" s="6" t="s">
        <v>25</v>
      </c>
      <c r="I53" s="4">
        <v>1250</v>
      </c>
    </row>
    <row r="54" spans="1:9" x14ac:dyDescent="0.3">
      <c r="A54" s="5" t="s">
        <v>2030</v>
      </c>
      <c r="B54" s="5" t="s">
        <v>125</v>
      </c>
      <c r="C54" s="4" t="s">
        <v>124</v>
      </c>
      <c r="D54" s="5" t="s">
        <v>1334</v>
      </c>
      <c r="E54" s="6">
        <v>154408</v>
      </c>
      <c r="F54" s="4">
        <v>27000</v>
      </c>
      <c r="G54" s="6">
        <f t="shared" si="1"/>
        <v>127408</v>
      </c>
      <c r="H54" s="6" t="s">
        <v>2154</v>
      </c>
      <c r="I54" s="4">
        <v>4500</v>
      </c>
    </row>
    <row r="55" spans="1:9" x14ac:dyDescent="0.3">
      <c r="A55" s="5" t="s">
        <v>2059</v>
      </c>
      <c r="B55" s="5" t="s">
        <v>2060</v>
      </c>
      <c r="C55" s="4" t="s">
        <v>124</v>
      </c>
      <c r="D55" s="5" t="s">
        <v>38</v>
      </c>
      <c r="E55" s="6">
        <v>1500</v>
      </c>
      <c r="G55" s="6">
        <v>1500</v>
      </c>
      <c r="H55" s="6"/>
    </row>
    <row r="56" spans="1:9" x14ac:dyDescent="0.3">
      <c r="A56" s="5" t="s">
        <v>126</v>
      </c>
      <c r="B56" s="5" t="s">
        <v>89</v>
      </c>
      <c r="C56" s="4" t="s">
        <v>127</v>
      </c>
      <c r="D56" s="5" t="s">
        <v>47</v>
      </c>
      <c r="E56" s="6">
        <v>155800</v>
      </c>
      <c r="F56" s="4">
        <v>63300</v>
      </c>
      <c r="G56" s="6">
        <f>E56-F56</f>
        <v>92500</v>
      </c>
      <c r="H56" s="6" t="s">
        <v>45</v>
      </c>
      <c r="I56" s="4">
        <v>3700</v>
      </c>
    </row>
    <row r="57" spans="1:9" x14ac:dyDescent="0.3">
      <c r="A57" s="4" t="s">
        <v>128</v>
      </c>
      <c r="B57" s="5" t="s">
        <v>129</v>
      </c>
      <c r="C57" s="4" t="s">
        <v>130</v>
      </c>
      <c r="D57" s="5" t="s">
        <v>260</v>
      </c>
      <c r="E57" s="5">
        <v>2000</v>
      </c>
      <c r="G57" s="6">
        <f>E57-F57</f>
        <v>2000</v>
      </c>
      <c r="H57" s="6"/>
      <c r="I57" s="4">
        <v>500</v>
      </c>
    </row>
    <row r="58" spans="1:9" x14ac:dyDescent="0.3">
      <c r="A58" s="5" t="s">
        <v>132</v>
      </c>
      <c r="B58" s="5" t="s">
        <v>133</v>
      </c>
      <c r="C58" s="4" t="s">
        <v>130</v>
      </c>
      <c r="D58" s="4" t="s">
        <v>241</v>
      </c>
      <c r="E58" s="4">
        <v>73208</v>
      </c>
      <c r="F58" s="4">
        <v>30000</v>
      </c>
      <c r="G58" s="6">
        <f>E58-F58</f>
        <v>43208</v>
      </c>
      <c r="H58" s="6" t="s">
        <v>100</v>
      </c>
      <c r="I58" s="4">
        <v>5000</v>
      </c>
    </row>
    <row r="59" spans="1:9" ht="37.5" x14ac:dyDescent="0.3">
      <c r="A59" s="5" t="s">
        <v>96</v>
      </c>
      <c r="B59" s="5" t="s">
        <v>97</v>
      </c>
      <c r="C59" s="4" t="s">
        <v>2042</v>
      </c>
      <c r="D59" s="5" t="s">
        <v>2041</v>
      </c>
      <c r="E59" s="6">
        <v>65281</v>
      </c>
      <c r="G59" s="6">
        <f>E59-F59</f>
        <v>65281</v>
      </c>
      <c r="H59" s="6" t="s">
        <v>2041</v>
      </c>
      <c r="I59" s="4">
        <v>1500</v>
      </c>
    </row>
    <row r="60" spans="1:9" x14ac:dyDescent="0.3">
      <c r="A60" s="5" t="s">
        <v>1904</v>
      </c>
      <c r="B60" s="5" t="s">
        <v>139</v>
      </c>
      <c r="C60" s="4" t="s">
        <v>1905</v>
      </c>
      <c r="D60" s="4" t="s">
        <v>1906</v>
      </c>
      <c r="E60" s="4">
        <v>53100</v>
      </c>
      <c r="G60" s="6">
        <v>53100</v>
      </c>
      <c r="H60" s="6"/>
    </row>
    <row r="61" spans="1:9" x14ac:dyDescent="0.3">
      <c r="A61" s="5" t="s">
        <v>136</v>
      </c>
      <c r="B61" s="5" t="s">
        <v>137</v>
      </c>
      <c r="C61" s="4" t="s">
        <v>138</v>
      </c>
      <c r="D61" s="5" t="s">
        <v>1442</v>
      </c>
      <c r="E61" s="6">
        <v>164000</v>
      </c>
      <c r="F61" s="4">
        <v>62000</v>
      </c>
      <c r="G61" s="6">
        <f>E61-F61</f>
        <v>102000</v>
      </c>
      <c r="H61" s="6">
        <v>51</v>
      </c>
      <c r="I61" s="4">
        <v>2000</v>
      </c>
    </row>
    <row r="62" spans="1:9" x14ac:dyDescent="0.3">
      <c r="A62" s="4" t="s">
        <v>2031</v>
      </c>
      <c r="B62" s="5" t="s">
        <v>139</v>
      </c>
      <c r="C62" s="4" t="s">
        <v>140</v>
      </c>
      <c r="D62" s="5" t="s">
        <v>141</v>
      </c>
      <c r="E62" s="6">
        <v>57661</v>
      </c>
      <c r="F62" s="4">
        <v>33861</v>
      </c>
      <c r="G62" s="6">
        <v>23800</v>
      </c>
      <c r="H62" s="6" t="s">
        <v>2017</v>
      </c>
      <c r="I62" s="4">
        <v>850</v>
      </c>
    </row>
    <row r="63" spans="1:9" ht="37.5" x14ac:dyDescent="0.3">
      <c r="A63" s="4" t="s">
        <v>2031</v>
      </c>
      <c r="B63" s="5" t="s">
        <v>1907</v>
      </c>
      <c r="C63" s="4" t="s">
        <v>1908</v>
      </c>
      <c r="D63" s="5" t="s">
        <v>1909</v>
      </c>
      <c r="E63" s="6">
        <v>149400</v>
      </c>
      <c r="G63" s="6">
        <v>149400</v>
      </c>
      <c r="H63" s="6"/>
    </row>
    <row r="64" spans="1:9" x14ac:dyDescent="0.3">
      <c r="A64" s="4" t="s">
        <v>142</v>
      </c>
      <c r="B64" s="5" t="s">
        <v>143</v>
      </c>
      <c r="C64" s="4" t="s">
        <v>144</v>
      </c>
      <c r="D64" s="5" t="s">
        <v>29</v>
      </c>
      <c r="E64" s="5">
        <v>60</v>
      </c>
      <c r="G64" s="6">
        <f t="shared" ref="G64:G94" si="2">E64-F64</f>
        <v>60</v>
      </c>
      <c r="H64" s="6"/>
      <c r="I64" s="4">
        <v>60</v>
      </c>
    </row>
    <row r="65" spans="1:9" x14ac:dyDescent="0.3">
      <c r="A65" s="4" t="s">
        <v>145</v>
      </c>
      <c r="B65" s="5" t="s">
        <v>146</v>
      </c>
      <c r="C65" s="4" t="s">
        <v>144</v>
      </c>
      <c r="D65" s="5" t="s">
        <v>29</v>
      </c>
      <c r="E65" s="5">
        <v>1500</v>
      </c>
      <c r="G65" s="6">
        <f t="shared" si="2"/>
        <v>1500</v>
      </c>
      <c r="H65" s="6"/>
      <c r="I65" s="4">
        <v>1500</v>
      </c>
    </row>
    <row r="66" spans="1:9" x14ac:dyDescent="0.3">
      <c r="A66" s="4" t="s">
        <v>147</v>
      </c>
      <c r="B66" s="5" t="s">
        <v>148</v>
      </c>
      <c r="C66" s="4" t="s">
        <v>144</v>
      </c>
      <c r="D66" s="5" t="s">
        <v>29</v>
      </c>
      <c r="E66" s="5">
        <v>200</v>
      </c>
      <c r="G66" s="6">
        <f t="shared" si="2"/>
        <v>200</v>
      </c>
      <c r="H66" s="6"/>
      <c r="I66" s="4">
        <v>200</v>
      </c>
    </row>
    <row r="67" spans="1:9" x14ac:dyDescent="0.3">
      <c r="A67" s="4" t="s">
        <v>149</v>
      </c>
      <c r="B67" s="5" t="s">
        <v>150</v>
      </c>
      <c r="C67" s="4" t="s">
        <v>144</v>
      </c>
      <c r="D67" s="5" t="s">
        <v>29</v>
      </c>
      <c r="E67" s="5">
        <v>200</v>
      </c>
      <c r="G67" s="6">
        <f t="shared" si="2"/>
        <v>200</v>
      </c>
      <c r="H67" s="6"/>
      <c r="I67" s="4">
        <v>200</v>
      </c>
    </row>
    <row r="68" spans="1:9" x14ac:dyDescent="0.3">
      <c r="A68" s="4" t="s">
        <v>151</v>
      </c>
      <c r="B68" s="5" t="s">
        <v>152</v>
      </c>
      <c r="C68" s="4" t="s">
        <v>144</v>
      </c>
      <c r="D68" s="5" t="s">
        <v>29</v>
      </c>
      <c r="E68" s="5">
        <v>200</v>
      </c>
      <c r="G68" s="6">
        <f t="shared" si="2"/>
        <v>200</v>
      </c>
      <c r="H68" s="6"/>
      <c r="I68" s="4">
        <v>200</v>
      </c>
    </row>
    <row r="69" spans="1:9" x14ac:dyDescent="0.3">
      <c r="A69" s="4" t="s">
        <v>153</v>
      </c>
      <c r="B69" s="5" t="s">
        <v>154</v>
      </c>
      <c r="C69" s="4" t="s">
        <v>144</v>
      </c>
      <c r="D69" s="5" t="s">
        <v>29</v>
      </c>
      <c r="E69" s="5">
        <v>150</v>
      </c>
      <c r="G69" s="6">
        <f t="shared" si="2"/>
        <v>150</v>
      </c>
      <c r="H69" s="6"/>
      <c r="I69" s="4">
        <v>150</v>
      </c>
    </row>
    <row r="70" spans="1:9" x14ac:dyDescent="0.3">
      <c r="A70" s="4" t="s">
        <v>155</v>
      </c>
      <c r="B70" s="5" t="s">
        <v>156</v>
      </c>
      <c r="C70" s="4" t="s">
        <v>144</v>
      </c>
      <c r="D70" s="5" t="s">
        <v>29</v>
      </c>
      <c r="E70" s="5">
        <v>100</v>
      </c>
      <c r="G70" s="6">
        <f t="shared" si="2"/>
        <v>100</v>
      </c>
      <c r="H70" s="6"/>
      <c r="I70" s="4">
        <v>100</v>
      </c>
    </row>
    <row r="71" spans="1:9" x14ac:dyDescent="0.3">
      <c r="A71" s="4" t="s">
        <v>158</v>
      </c>
      <c r="B71" s="5" t="s">
        <v>159</v>
      </c>
      <c r="C71" s="4" t="s">
        <v>144</v>
      </c>
      <c r="D71" s="5" t="s">
        <v>29</v>
      </c>
      <c r="E71" s="5">
        <v>200</v>
      </c>
      <c r="G71" s="6">
        <f t="shared" si="2"/>
        <v>200</v>
      </c>
      <c r="H71" s="6"/>
      <c r="I71" s="4">
        <v>200</v>
      </c>
    </row>
    <row r="72" spans="1:9" x14ac:dyDescent="0.3">
      <c r="A72" s="4" t="s">
        <v>2081</v>
      </c>
      <c r="B72" s="5" t="s">
        <v>1811</v>
      </c>
      <c r="C72" s="4" t="s">
        <v>157</v>
      </c>
      <c r="D72" s="5" t="s">
        <v>2082</v>
      </c>
      <c r="E72" s="5">
        <v>12275</v>
      </c>
      <c r="G72" s="6">
        <f t="shared" si="2"/>
        <v>12275</v>
      </c>
      <c r="H72" s="6"/>
    </row>
    <row r="73" spans="1:9" x14ac:dyDescent="0.3">
      <c r="A73" s="5" t="s">
        <v>183</v>
      </c>
      <c r="B73" s="5" t="s">
        <v>183</v>
      </c>
      <c r="C73" s="4" t="s">
        <v>157</v>
      </c>
      <c r="D73" s="5" t="s">
        <v>180</v>
      </c>
      <c r="E73" s="5">
        <v>300</v>
      </c>
      <c r="G73" s="6">
        <f t="shared" si="2"/>
        <v>300</v>
      </c>
      <c r="H73" s="6"/>
      <c r="I73" s="4">
        <v>300</v>
      </c>
    </row>
    <row r="74" spans="1:9" x14ac:dyDescent="0.3">
      <c r="A74" s="4" t="s">
        <v>160</v>
      </c>
      <c r="B74" s="5" t="s">
        <v>161</v>
      </c>
      <c r="C74" s="4" t="s">
        <v>162</v>
      </c>
      <c r="D74" s="4" t="s">
        <v>163</v>
      </c>
      <c r="E74" s="5">
        <v>10000</v>
      </c>
      <c r="G74" s="6">
        <f t="shared" si="2"/>
        <v>10000</v>
      </c>
      <c r="H74" s="6"/>
      <c r="I74" s="4">
        <v>5000</v>
      </c>
    </row>
    <row r="75" spans="1:9" ht="37.5" x14ac:dyDescent="0.3">
      <c r="A75" s="31" t="s">
        <v>818</v>
      </c>
      <c r="B75" s="32" t="s">
        <v>819</v>
      </c>
      <c r="C75" s="4" t="s">
        <v>1477</v>
      </c>
      <c r="D75" s="32" t="s">
        <v>529</v>
      </c>
      <c r="E75" s="32">
        <v>199</v>
      </c>
      <c r="F75" s="32"/>
      <c r="G75" s="6">
        <f t="shared" si="2"/>
        <v>199</v>
      </c>
      <c r="H75" s="6"/>
    </row>
    <row r="76" spans="1:9" x14ac:dyDescent="0.3">
      <c r="A76" s="4" t="s">
        <v>160</v>
      </c>
      <c r="B76" s="5" t="s">
        <v>161</v>
      </c>
      <c r="C76" s="4" t="s">
        <v>164</v>
      </c>
      <c r="D76" s="5" t="s">
        <v>165</v>
      </c>
      <c r="E76" s="6">
        <v>20000</v>
      </c>
      <c r="G76" s="6">
        <f t="shared" si="2"/>
        <v>20000</v>
      </c>
      <c r="H76" s="6"/>
      <c r="I76" s="4">
        <v>10000</v>
      </c>
    </row>
    <row r="77" spans="1:9" x14ac:dyDescent="0.3">
      <c r="A77" s="4" t="s">
        <v>2078</v>
      </c>
      <c r="B77" s="5" t="s">
        <v>182</v>
      </c>
      <c r="C77" s="4" t="s">
        <v>2076</v>
      </c>
      <c r="D77" s="5" t="s">
        <v>180</v>
      </c>
      <c r="E77" s="6">
        <v>1677</v>
      </c>
      <c r="G77" s="6">
        <f t="shared" si="2"/>
        <v>1677</v>
      </c>
      <c r="H77" s="6"/>
    </row>
    <row r="78" spans="1:9" x14ac:dyDescent="0.3">
      <c r="A78" s="4" t="s">
        <v>2074</v>
      </c>
      <c r="B78" s="5" t="s">
        <v>2075</v>
      </c>
      <c r="C78" s="4" t="s">
        <v>2076</v>
      </c>
      <c r="D78" s="5" t="s">
        <v>169</v>
      </c>
      <c r="E78" s="6">
        <v>9800</v>
      </c>
      <c r="F78" s="4">
        <v>9800</v>
      </c>
      <c r="G78" s="6">
        <f t="shared" si="2"/>
        <v>0</v>
      </c>
      <c r="H78" s="6" t="s">
        <v>2106</v>
      </c>
    </row>
    <row r="79" spans="1:9" x14ac:dyDescent="0.3">
      <c r="A79" s="4" t="s">
        <v>166</v>
      </c>
      <c r="B79" s="5" t="s">
        <v>167</v>
      </c>
      <c r="C79" s="4" t="s">
        <v>168</v>
      </c>
      <c r="D79" s="5" t="s">
        <v>169</v>
      </c>
      <c r="E79" s="5">
        <v>3200</v>
      </c>
      <c r="G79" s="6">
        <f t="shared" si="2"/>
        <v>3200</v>
      </c>
      <c r="H79" s="6"/>
      <c r="I79" s="4">
        <v>3200</v>
      </c>
    </row>
    <row r="80" spans="1:9" x14ac:dyDescent="0.3">
      <c r="A80" s="4" t="s">
        <v>170</v>
      </c>
      <c r="B80" s="5" t="s">
        <v>171</v>
      </c>
      <c r="C80" s="4" t="s">
        <v>172</v>
      </c>
      <c r="D80" s="4" t="s">
        <v>2071</v>
      </c>
      <c r="E80" s="5">
        <v>336</v>
      </c>
      <c r="G80" s="6">
        <f t="shared" si="2"/>
        <v>336</v>
      </c>
      <c r="H80" s="6"/>
    </row>
    <row r="81" spans="1:9" x14ac:dyDescent="0.3">
      <c r="A81" s="5" t="s">
        <v>1426</v>
      </c>
      <c r="B81" s="5" t="s">
        <v>1130</v>
      </c>
      <c r="C81" s="4" t="s">
        <v>172</v>
      </c>
      <c r="D81" s="6" t="s">
        <v>815</v>
      </c>
      <c r="E81" s="5">
        <v>30</v>
      </c>
      <c r="G81" s="5">
        <f t="shared" si="2"/>
        <v>30</v>
      </c>
    </row>
    <row r="82" spans="1:9" x14ac:dyDescent="0.3">
      <c r="A82" s="5" t="s">
        <v>173</v>
      </c>
      <c r="B82" s="5" t="s">
        <v>174</v>
      </c>
      <c r="C82" s="4" t="s">
        <v>175</v>
      </c>
      <c r="D82" s="5" t="s">
        <v>29</v>
      </c>
      <c r="E82" s="6">
        <v>30790</v>
      </c>
      <c r="G82" s="6">
        <f t="shared" si="2"/>
        <v>30790</v>
      </c>
      <c r="H82" s="6"/>
      <c r="I82" s="4">
        <v>30790</v>
      </c>
    </row>
    <row r="83" spans="1:9" x14ac:dyDescent="0.3">
      <c r="A83" s="5" t="s">
        <v>2050</v>
      </c>
      <c r="B83" s="5" t="s">
        <v>2051</v>
      </c>
      <c r="C83" s="4" t="s">
        <v>175</v>
      </c>
      <c r="D83" s="5" t="s">
        <v>12</v>
      </c>
      <c r="E83" s="6">
        <v>58265</v>
      </c>
      <c r="G83" s="6">
        <f t="shared" si="2"/>
        <v>58265</v>
      </c>
      <c r="H83" s="6"/>
    </row>
    <row r="84" spans="1:9" x14ac:dyDescent="0.3">
      <c r="A84" s="4" t="s">
        <v>176</v>
      </c>
      <c r="B84" s="5" t="s">
        <v>177</v>
      </c>
      <c r="C84" s="4" t="s">
        <v>175</v>
      </c>
      <c r="D84" s="5" t="s">
        <v>131</v>
      </c>
      <c r="E84" s="6">
        <v>12074</v>
      </c>
      <c r="G84" s="6">
        <f t="shared" si="2"/>
        <v>12074</v>
      </c>
      <c r="H84" s="6"/>
      <c r="I84" s="4">
        <v>12074</v>
      </c>
    </row>
    <row r="85" spans="1:9" x14ac:dyDescent="0.3">
      <c r="A85" s="4" t="s">
        <v>1863</v>
      </c>
      <c r="B85" s="5" t="s">
        <v>1977</v>
      </c>
      <c r="C85" s="4" t="s">
        <v>1829</v>
      </c>
      <c r="D85" s="5" t="s">
        <v>1918</v>
      </c>
      <c r="E85" s="6">
        <v>53680</v>
      </c>
      <c r="F85" s="4">
        <v>24680</v>
      </c>
      <c r="G85" s="6">
        <f t="shared" si="2"/>
        <v>29000</v>
      </c>
      <c r="H85" s="6" t="s">
        <v>426</v>
      </c>
      <c r="I85" s="4">
        <v>3500</v>
      </c>
    </row>
    <row r="86" spans="1:9" x14ac:dyDescent="0.3">
      <c r="A86" s="4" t="s">
        <v>2079</v>
      </c>
      <c r="B86" s="5" t="s">
        <v>1812</v>
      </c>
      <c r="C86" s="4" t="s">
        <v>1829</v>
      </c>
      <c r="D86" s="5" t="s">
        <v>169</v>
      </c>
      <c r="E86" s="5">
        <v>7225</v>
      </c>
      <c r="G86" s="6">
        <f t="shared" si="2"/>
        <v>7225</v>
      </c>
      <c r="H86" s="6"/>
    </row>
    <row r="87" spans="1:9" x14ac:dyDescent="0.3">
      <c r="A87" s="4" t="s">
        <v>1828</v>
      </c>
      <c r="B87" s="5" t="s">
        <v>1812</v>
      </c>
      <c r="C87" s="4" t="s">
        <v>1829</v>
      </c>
      <c r="D87" s="5" t="s">
        <v>180</v>
      </c>
      <c r="E87" s="6">
        <v>2120</v>
      </c>
      <c r="G87" s="6">
        <f t="shared" si="2"/>
        <v>2120</v>
      </c>
      <c r="H87" s="6"/>
    </row>
    <row r="88" spans="1:9" x14ac:dyDescent="0.3">
      <c r="A88" s="5" t="s">
        <v>1837</v>
      </c>
      <c r="B88" s="5" t="s">
        <v>1805</v>
      </c>
      <c r="C88" s="4" t="s">
        <v>1829</v>
      </c>
      <c r="D88" s="4" t="s">
        <v>169</v>
      </c>
      <c r="E88" s="5">
        <v>2000</v>
      </c>
      <c r="F88" s="4">
        <v>2000</v>
      </c>
      <c r="G88" s="5">
        <f t="shared" si="2"/>
        <v>0</v>
      </c>
    </row>
    <row r="89" spans="1:9" x14ac:dyDescent="0.3">
      <c r="A89" s="4" t="s">
        <v>1882</v>
      </c>
      <c r="B89" s="5" t="s">
        <v>1930</v>
      </c>
      <c r="C89" s="4" t="s">
        <v>186</v>
      </c>
      <c r="D89" s="5" t="s">
        <v>529</v>
      </c>
      <c r="E89" s="6">
        <v>5000</v>
      </c>
      <c r="G89" s="6">
        <f t="shared" si="2"/>
        <v>5000</v>
      </c>
      <c r="H89" s="6"/>
    </row>
    <row r="90" spans="1:9" ht="37.5" x14ac:dyDescent="0.3">
      <c r="A90" s="4" t="s">
        <v>184</v>
      </c>
      <c r="B90" s="5" t="s">
        <v>185</v>
      </c>
      <c r="C90" s="4" t="s">
        <v>186</v>
      </c>
      <c r="D90" s="5" t="s">
        <v>46</v>
      </c>
      <c r="E90" s="6">
        <v>3800</v>
      </c>
      <c r="F90" s="4">
        <v>3140</v>
      </c>
      <c r="G90" s="6">
        <f t="shared" si="2"/>
        <v>660</v>
      </c>
      <c r="H90" s="6" t="s">
        <v>29</v>
      </c>
      <c r="I90" s="4">
        <v>660</v>
      </c>
    </row>
    <row r="91" spans="1:9" x14ac:dyDescent="0.3">
      <c r="A91" s="5" t="s">
        <v>187</v>
      </c>
      <c r="B91" s="4" t="s">
        <v>188</v>
      </c>
      <c r="C91" s="4" t="s">
        <v>186</v>
      </c>
      <c r="D91" s="5" t="s">
        <v>46</v>
      </c>
      <c r="E91" s="6">
        <v>6150</v>
      </c>
      <c r="F91" s="4">
        <v>4875</v>
      </c>
      <c r="G91" s="6">
        <f t="shared" si="2"/>
        <v>1275</v>
      </c>
      <c r="H91" s="6" t="s">
        <v>29</v>
      </c>
      <c r="I91" s="4">
        <v>1275</v>
      </c>
    </row>
    <row r="92" spans="1:9" x14ac:dyDescent="0.3">
      <c r="A92" s="5" t="s">
        <v>2164</v>
      </c>
      <c r="B92" s="5" t="s">
        <v>2077</v>
      </c>
      <c r="C92" s="4" t="s">
        <v>186</v>
      </c>
      <c r="D92" s="11" t="s">
        <v>529</v>
      </c>
      <c r="E92" s="6">
        <v>3400</v>
      </c>
      <c r="F92" s="70"/>
      <c r="G92" s="5">
        <f t="shared" si="2"/>
        <v>3400</v>
      </c>
    </row>
    <row r="93" spans="1:9" x14ac:dyDescent="0.3">
      <c r="A93" s="5" t="s">
        <v>2163</v>
      </c>
      <c r="B93" s="5" t="s">
        <v>2165</v>
      </c>
      <c r="C93" s="4" t="s">
        <v>186</v>
      </c>
      <c r="D93" s="11" t="s">
        <v>180</v>
      </c>
      <c r="E93" s="6">
        <v>5500</v>
      </c>
      <c r="F93" s="70"/>
      <c r="G93" s="5">
        <f t="shared" si="2"/>
        <v>5500</v>
      </c>
    </row>
    <row r="94" spans="1:9" ht="37.5" x14ac:dyDescent="0.3">
      <c r="A94" s="5" t="s">
        <v>2053</v>
      </c>
      <c r="B94" s="5" t="s">
        <v>413</v>
      </c>
      <c r="C94" s="4" t="s">
        <v>2048</v>
      </c>
      <c r="D94" s="11" t="s">
        <v>83</v>
      </c>
      <c r="E94" s="6">
        <v>790390</v>
      </c>
      <c r="F94" s="70"/>
      <c r="G94" s="5">
        <f t="shared" si="2"/>
        <v>790390</v>
      </c>
    </row>
    <row r="95" spans="1:9" x14ac:dyDescent="0.3">
      <c r="A95" s="5" t="s">
        <v>1858</v>
      </c>
      <c r="B95" s="4" t="s">
        <v>1859</v>
      </c>
      <c r="C95" s="4" t="s">
        <v>190</v>
      </c>
      <c r="D95" s="5" t="s">
        <v>19</v>
      </c>
      <c r="E95" s="6">
        <v>10230</v>
      </c>
      <c r="G95" s="6">
        <v>10230</v>
      </c>
      <c r="H95" s="6"/>
    </row>
    <row r="96" spans="1:9" x14ac:dyDescent="0.3">
      <c r="A96" s="5" t="s">
        <v>1857</v>
      </c>
      <c r="B96" s="4" t="s">
        <v>77</v>
      </c>
      <c r="C96" s="4" t="s">
        <v>190</v>
      </c>
      <c r="D96" s="5" t="s">
        <v>19</v>
      </c>
      <c r="E96" s="6">
        <v>10320</v>
      </c>
      <c r="G96" s="6">
        <v>10320</v>
      </c>
      <c r="H96" s="6"/>
    </row>
    <row r="97" spans="1:9" x14ac:dyDescent="0.3">
      <c r="A97" s="5" t="s">
        <v>1968</v>
      </c>
      <c r="B97" s="5" t="s">
        <v>1836</v>
      </c>
      <c r="C97" s="4" t="s">
        <v>190</v>
      </c>
      <c r="D97" s="5" t="s">
        <v>38</v>
      </c>
      <c r="E97" s="5">
        <v>9500</v>
      </c>
      <c r="G97" s="5">
        <f>E97-F97</f>
        <v>9500</v>
      </c>
    </row>
    <row r="98" spans="1:9" x14ac:dyDescent="0.3">
      <c r="A98" s="4" t="s">
        <v>194</v>
      </c>
      <c r="B98" s="5" t="s">
        <v>195</v>
      </c>
      <c r="C98" s="4" t="s">
        <v>196</v>
      </c>
      <c r="D98" s="5" t="s">
        <v>131</v>
      </c>
      <c r="E98" s="5">
        <v>7000</v>
      </c>
      <c r="G98" s="6">
        <f>E98-F98</f>
        <v>7000</v>
      </c>
      <c r="H98" s="6"/>
      <c r="I98" s="4">
        <v>7000</v>
      </c>
    </row>
    <row r="99" spans="1:9" x14ac:dyDescent="0.3">
      <c r="A99" s="4" t="s">
        <v>197</v>
      </c>
      <c r="B99" s="5" t="s">
        <v>103</v>
      </c>
      <c r="C99" s="4" t="s">
        <v>196</v>
      </c>
      <c r="D99" s="5" t="s">
        <v>131</v>
      </c>
      <c r="E99" s="5">
        <v>4000</v>
      </c>
      <c r="G99" s="6">
        <f>E99-F99</f>
        <v>4000</v>
      </c>
      <c r="H99" s="6"/>
      <c r="I99" s="4">
        <v>4000</v>
      </c>
    </row>
    <row r="100" spans="1:9" x14ac:dyDescent="0.3">
      <c r="A100" s="8"/>
      <c r="B100" s="9"/>
      <c r="C100" s="8"/>
      <c r="D100" s="9"/>
      <c r="E100" s="9"/>
      <c r="F100" s="8"/>
      <c r="G100" s="39"/>
      <c r="H100" s="39"/>
      <c r="I100" s="8"/>
    </row>
    <row r="101" spans="1:9" x14ac:dyDescent="0.3">
      <c r="A101" s="5" t="s">
        <v>198</v>
      </c>
      <c r="B101" s="5" t="s">
        <v>199</v>
      </c>
      <c r="C101" s="4" t="s">
        <v>200</v>
      </c>
      <c r="D101" s="5" t="s">
        <v>38</v>
      </c>
      <c r="E101" s="5">
        <v>7000</v>
      </c>
      <c r="G101" s="5">
        <f t="shared" ref="G101:G112" si="3">E101-F101</f>
        <v>7000</v>
      </c>
      <c r="I101" s="4">
        <v>3500</v>
      </c>
    </row>
    <row r="102" spans="1:9" x14ac:dyDescent="0.3">
      <c r="A102" s="5" t="s">
        <v>201</v>
      </c>
      <c r="B102" s="5" t="s">
        <v>202</v>
      </c>
      <c r="C102" s="4" t="s">
        <v>200</v>
      </c>
      <c r="D102" s="5" t="s">
        <v>76</v>
      </c>
      <c r="E102" s="6">
        <v>6000</v>
      </c>
      <c r="G102" s="5">
        <f t="shared" si="3"/>
        <v>6000</v>
      </c>
      <c r="I102" s="4">
        <v>1500</v>
      </c>
    </row>
    <row r="103" spans="1:9" x14ac:dyDescent="0.3">
      <c r="A103" s="5" t="s">
        <v>2117</v>
      </c>
      <c r="B103" s="5" t="s">
        <v>203</v>
      </c>
      <c r="C103" s="4" t="s">
        <v>200</v>
      </c>
      <c r="D103" s="5" t="s">
        <v>2043</v>
      </c>
      <c r="E103" s="6">
        <v>70500</v>
      </c>
      <c r="F103" s="4">
        <v>13500</v>
      </c>
      <c r="G103" s="5">
        <f t="shared" si="3"/>
        <v>57000</v>
      </c>
      <c r="H103" s="5" t="s">
        <v>2168</v>
      </c>
      <c r="I103" s="4">
        <v>1500</v>
      </c>
    </row>
    <row r="104" spans="1:9" x14ac:dyDescent="0.3">
      <c r="A104" s="5" t="s">
        <v>1712</v>
      </c>
      <c r="B104" s="5" t="s">
        <v>206</v>
      </c>
      <c r="C104" s="4" t="s">
        <v>207</v>
      </c>
      <c r="D104" s="5" t="s">
        <v>100</v>
      </c>
      <c r="E104" s="6">
        <v>8400</v>
      </c>
      <c r="F104" s="4">
        <v>2230</v>
      </c>
      <c r="G104" s="5">
        <f t="shared" si="3"/>
        <v>6170</v>
      </c>
      <c r="H104" s="5" t="s">
        <v>12</v>
      </c>
      <c r="I104" s="4">
        <v>700</v>
      </c>
    </row>
    <row r="105" spans="1:9" x14ac:dyDescent="0.3">
      <c r="A105" s="5" t="s">
        <v>208</v>
      </c>
      <c r="B105" s="5" t="s">
        <v>209</v>
      </c>
      <c r="C105" s="4" t="s">
        <v>207</v>
      </c>
      <c r="D105" s="5" t="s">
        <v>88</v>
      </c>
      <c r="E105" s="6">
        <v>52500</v>
      </c>
      <c r="G105" s="5">
        <f t="shared" si="3"/>
        <v>52500</v>
      </c>
      <c r="H105" s="5" t="s">
        <v>88</v>
      </c>
      <c r="I105" s="4">
        <v>2500</v>
      </c>
    </row>
    <row r="106" spans="1:9" x14ac:dyDescent="0.3">
      <c r="A106" s="5" t="s">
        <v>2052</v>
      </c>
      <c r="B106" s="5" t="s">
        <v>221</v>
      </c>
      <c r="C106" s="4" t="s">
        <v>207</v>
      </c>
      <c r="D106" s="5" t="s">
        <v>2085</v>
      </c>
      <c r="E106" s="6">
        <v>37500</v>
      </c>
      <c r="F106" s="4">
        <v>15000</v>
      </c>
      <c r="G106" s="5">
        <f t="shared" si="3"/>
        <v>22500</v>
      </c>
      <c r="H106" s="5" t="s">
        <v>12</v>
      </c>
      <c r="I106" s="4">
        <v>2500</v>
      </c>
    </row>
    <row r="107" spans="1:9" x14ac:dyDescent="0.3">
      <c r="A107" s="5" t="s">
        <v>210</v>
      </c>
      <c r="B107" s="5" t="s">
        <v>211</v>
      </c>
      <c r="C107" s="4" t="s">
        <v>212</v>
      </c>
      <c r="D107" s="4" t="s">
        <v>213</v>
      </c>
      <c r="E107" s="6">
        <v>174660</v>
      </c>
      <c r="F107" s="80">
        <v>133660</v>
      </c>
      <c r="G107" s="5">
        <f t="shared" si="3"/>
        <v>41000</v>
      </c>
      <c r="H107" s="5" t="s">
        <v>47</v>
      </c>
      <c r="I107" s="4">
        <v>1000</v>
      </c>
    </row>
    <row r="108" spans="1:9" x14ac:dyDescent="0.3">
      <c r="A108" s="5" t="s">
        <v>214</v>
      </c>
      <c r="B108" s="5" t="s">
        <v>215</v>
      </c>
      <c r="C108" s="4" t="s">
        <v>216</v>
      </c>
      <c r="D108" s="4" t="s">
        <v>45</v>
      </c>
      <c r="E108" s="6">
        <v>175000</v>
      </c>
      <c r="F108" s="4">
        <v>10000</v>
      </c>
      <c r="G108" s="5">
        <f t="shared" si="3"/>
        <v>165000</v>
      </c>
      <c r="H108" s="5" t="s">
        <v>83</v>
      </c>
      <c r="I108" s="4">
        <v>5000</v>
      </c>
    </row>
    <row r="109" spans="1:9" x14ac:dyDescent="0.3">
      <c r="A109" s="5" t="s">
        <v>219</v>
      </c>
      <c r="B109" s="5" t="s">
        <v>220</v>
      </c>
      <c r="C109" s="4" t="s">
        <v>216</v>
      </c>
      <c r="D109" s="5" t="s">
        <v>29</v>
      </c>
      <c r="E109" s="5">
        <v>411</v>
      </c>
      <c r="G109" s="5">
        <f t="shared" si="3"/>
        <v>411</v>
      </c>
      <c r="I109" s="4">
        <v>411</v>
      </c>
    </row>
    <row r="110" spans="1:9" x14ac:dyDescent="0.3">
      <c r="A110" s="5" t="s">
        <v>224</v>
      </c>
      <c r="B110" s="5" t="s">
        <v>225</v>
      </c>
      <c r="C110" s="4" t="s">
        <v>222</v>
      </c>
      <c r="D110" s="5" t="s">
        <v>20</v>
      </c>
      <c r="E110" s="6">
        <v>48000</v>
      </c>
      <c r="F110" s="4">
        <v>16000</v>
      </c>
      <c r="G110" s="5">
        <f t="shared" si="3"/>
        <v>32000</v>
      </c>
      <c r="H110" s="5" t="s">
        <v>76</v>
      </c>
      <c r="I110" s="4">
        <v>8000</v>
      </c>
    </row>
    <row r="111" spans="1:9" x14ac:dyDescent="0.3">
      <c r="A111" s="5" t="s">
        <v>226</v>
      </c>
      <c r="B111" s="5" t="s">
        <v>227</v>
      </c>
      <c r="C111" s="4" t="s">
        <v>222</v>
      </c>
      <c r="D111" s="5" t="s">
        <v>70</v>
      </c>
      <c r="E111" s="6">
        <v>64000</v>
      </c>
      <c r="F111" s="4">
        <v>48000</v>
      </c>
      <c r="G111" s="5">
        <f t="shared" si="3"/>
        <v>16000</v>
      </c>
      <c r="H111" s="5" t="s">
        <v>76</v>
      </c>
      <c r="I111" s="4">
        <v>4000</v>
      </c>
    </row>
    <row r="112" spans="1:9" x14ac:dyDescent="0.3">
      <c r="A112" s="5" t="s">
        <v>1802</v>
      </c>
      <c r="B112" s="5" t="s">
        <v>1803</v>
      </c>
      <c r="C112" s="4" t="s">
        <v>222</v>
      </c>
      <c r="D112" s="5" t="s">
        <v>20</v>
      </c>
      <c r="E112" s="6">
        <v>3000</v>
      </c>
      <c r="F112" s="4">
        <v>2000</v>
      </c>
      <c r="G112" s="5">
        <f t="shared" si="3"/>
        <v>1000</v>
      </c>
      <c r="H112" s="5" t="s">
        <v>38</v>
      </c>
      <c r="I112" s="4">
        <v>500</v>
      </c>
    </row>
    <row r="113" spans="1:9" x14ac:dyDescent="0.3">
      <c r="A113" s="5" t="s">
        <v>228</v>
      </c>
      <c r="B113" s="5" t="s">
        <v>229</v>
      </c>
      <c r="C113" s="4" t="s">
        <v>230</v>
      </c>
      <c r="D113" s="5" t="s">
        <v>231</v>
      </c>
      <c r="E113" s="6">
        <v>65480</v>
      </c>
      <c r="F113" s="4">
        <v>19790</v>
      </c>
      <c r="G113" s="5">
        <f t="shared" ref="G113:G131" si="4">E113-F113</f>
        <v>45690</v>
      </c>
      <c r="H113" s="5" t="s">
        <v>1978</v>
      </c>
      <c r="I113" s="4">
        <v>350</v>
      </c>
    </row>
    <row r="114" spans="1:9" x14ac:dyDescent="0.3">
      <c r="A114" s="4" t="s">
        <v>232</v>
      </c>
      <c r="B114" s="5" t="s">
        <v>233</v>
      </c>
      <c r="C114" s="4" t="s">
        <v>234</v>
      </c>
      <c r="D114" s="5" t="s">
        <v>235</v>
      </c>
      <c r="E114" s="6">
        <v>15000</v>
      </c>
      <c r="F114" s="4">
        <v>1250</v>
      </c>
      <c r="G114" s="5">
        <f t="shared" si="4"/>
        <v>13750</v>
      </c>
      <c r="H114" s="5" t="s">
        <v>380</v>
      </c>
      <c r="I114" s="4">
        <v>1250</v>
      </c>
    </row>
    <row r="115" spans="1:9" x14ac:dyDescent="0.3">
      <c r="A115" s="4" t="s">
        <v>236</v>
      </c>
      <c r="B115" s="5" t="s">
        <v>237</v>
      </c>
      <c r="C115" s="4" t="s">
        <v>234</v>
      </c>
      <c r="D115" s="5" t="s">
        <v>238</v>
      </c>
      <c r="E115" s="6">
        <v>14500</v>
      </c>
      <c r="G115" s="5">
        <f t="shared" si="4"/>
        <v>14500</v>
      </c>
      <c r="I115" s="4">
        <v>2900</v>
      </c>
    </row>
    <row r="116" spans="1:9" x14ac:dyDescent="0.3">
      <c r="A116" s="4" t="s">
        <v>239</v>
      </c>
      <c r="B116" s="5" t="s">
        <v>240</v>
      </c>
      <c r="C116" s="4" t="s">
        <v>234</v>
      </c>
      <c r="D116" s="5" t="s">
        <v>241</v>
      </c>
      <c r="E116" s="6">
        <v>3456</v>
      </c>
      <c r="F116" s="4">
        <v>768</v>
      </c>
      <c r="G116" s="5">
        <f t="shared" si="4"/>
        <v>2688</v>
      </c>
      <c r="H116" s="5" t="s">
        <v>399</v>
      </c>
      <c r="I116" s="4">
        <v>192</v>
      </c>
    </row>
    <row r="117" spans="1:9" x14ac:dyDescent="0.3">
      <c r="A117" s="5" t="s">
        <v>242</v>
      </c>
      <c r="B117" s="5" t="s">
        <v>243</v>
      </c>
      <c r="C117" s="4" t="s">
        <v>244</v>
      </c>
      <c r="D117" s="5" t="s">
        <v>29</v>
      </c>
      <c r="E117" s="5">
        <v>9354</v>
      </c>
      <c r="G117" s="5">
        <f t="shared" si="4"/>
        <v>9354</v>
      </c>
      <c r="I117" s="4">
        <v>9354</v>
      </c>
    </row>
    <row r="118" spans="1:9" x14ac:dyDescent="0.3">
      <c r="A118" s="5" t="s">
        <v>245</v>
      </c>
      <c r="B118" s="5" t="s">
        <v>246</v>
      </c>
      <c r="C118" s="4" t="s">
        <v>244</v>
      </c>
      <c r="D118" s="5" t="s">
        <v>29</v>
      </c>
      <c r="E118" s="5">
        <v>375</v>
      </c>
      <c r="G118" s="5">
        <f t="shared" si="4"/>
        <v>375</v>
      </c>
      <c r="I118" s="4">
        <v>375</v>
      </c>
    </row>
    <row r="119" spans="1:9" x14ac:dyDescent="0.3">
      <c r="A119" s="4" t="s">
        <v>247</v>
      </c>
      <c r="B119" s="5" t="s">
        <v>248</v>
      </c>
      <c r="C119" s="4" t="s">
        <v>244</v>
      </c>
      <c r="D119" s="5" t="s">
        <v>1451</v>
      </c>
      <c r="E119" s="6">
        <v>14711</v>
      </c>
      <c r="F119" s="4">
        <v>4645</v>
      </c>
      <c r="G119" s="5">
        <f t="shared" si="4"/>
        <v>10066</v>
      </c>
      <c r="H119" s="5" t="s">
        <v>241</v>
      </c>
      <c r="I119" s="4">
        <v>357</v>
      </c>
    </row>
    <row r="120" spans="1:9" ht="37.5" x14ac:dyDescent="0.3">
      <c r="A120" s="5" t="s">
        <v>249</v>
      </c>
      <c r="B120" s="5" t="s">
        <v>250</v>
      </c>
      <c r="C120" s="4" t="s">
        <v>251</v>
      </c>
      <c r="D120" s="4" t="s">
        <v>252</v>
      </c>
      <c r="E120" s="5">
        <v>4100</v>
      </c>
      <c r="F120" s="7">
        <v>3100</v>
      </c>
      <c r="G120" s="5">
        <f t="shared" si="4"/>
        <v>1000</v>
      </c>
      <c r="H120" s="5" t="s">
        <v>1162</v>
      </c>
      <c r="I120" s="4" t="s">
        <v>1422</v>
      </c>
    </row>
    <row r="121" spans="1:9" x14ac:dyDescent="0.3">
      <c r="A121" s="5" t="s">
        <v>1721</v>
      </c>
      <c r="B121" s="5" t="s">
        <v>211</v>
      </c>
      <c r="C121" s="4" t="s">
        <v>251</v>
      </c>
      <c r="D121" s="5" t="s">
        <v>1720</v>
      </c>
      <c r="E121" s="5">
        <v>104436</v>
      </c>
      <c r="F121" s="4">
        <v>6800</v>
      </c>
      <c r="G121" s="5">
        <f t="shared" si="4"/>
        <v>97636</v>
      </c>
      <c r="H121" s="5" t="s">
        <v>1750</v>
      </c>
      <c r="I121" s="4">
        <v>1700</v>
      </c>
    </row>
    <row r="122" spans="1:9" x14ac:dyDescent="0.3">
      <c r="A122" s="5" t="s">
        <v>2111</v>
      </c>
      <c r="B122" s="5" t="s">
        <v>2112</v>
      </c>
      <c r="C122" s="4" t="s">
        <v>1766</v>
      </c>
      <c r="D122" s="5" t="s">
        <v>271</v>
      </c>
      <c r="E122" s="5">
        <v>12300</v>
      </c>
      <c r="G122" s="5">
        <f t="shared" si="4"/>
        <v>12300</v>
      </c>
      <c r="H122" s="5" t="s">
        <v>271</v>
      </c>
    </row>
    <row r="123" spans="1:9" x14ac:dyDescent="0.3">
      <c r="A123" s="5" t="s">
        <v>1218</v>
      </c>
      <c r="B123" s="5" t="s">
        <v>1219</v>
      </c>
      <c r="C123" s="4" t="s">
        <v>1766</v>
      </c>
      <c r="D123" s="4" t="s">
        <v>238</v>
      </c>
      <c r="E123" s="5">
        <v>3550</v>
      </c>
      <c r="F123" s="4">
        <v>837</v>
      </c>
      <c r="G123" s="5">
        <f t="shared" si="4"/>
        <v>2713</v>
      </c>
      <c r="H123" s="5">
        <v>4</v>
      </c>
      <c r="I123" s="4" t="s">
        <v>1809</v>
      </c>
    </row>
    <row r="124" spans="1:9" x14ac:dyDescent="0.3">
      <c r="A124" s="5" t="s">
        <v>1864</v>
      </c>
      <c r="B124" s="5" t="s">
        <v>248</v>
      </c>
      <c r="C124" s="4" t="s">
        <v>255</v>
      </c>
      <c r="D124" s="5" t="s">
        <v>1903</v>
      </c>
      <c r="E124" s="5">
        <v>33600</v>
      </c>
      <c r="F124" s="4">
        <v>8875</v>
      </c>
      <c r="G124" s="5">
        <f t="shared" si="4"/>
        <v>24725</v>
      </c>
      <c r="H124" s="5" t="s">
        <v>2167</v>
      </c>
      <c r="I124" s="4">
        <v>355</v>
      </c>
    </row>
    <row r="125" spans="1:9" x14ac:dyDescent="0.3">
      <c r="A125" s="5" t="s">
        <v>257</v>
      </c>
      <c r="B125" s="5" t="s">
        <v>258</v>
      </c>
      <c r="C125" s="4" t="s">
        <v>259</v>
      </c>
      <c r="D125" s="5" t="s">
        <v>260</v>
      </c>
      <c r="E125" s="6">
        <v>16600</v>
      </c>
      <c r="F125" s="4">
        <v>2500</v>
      </c>
      <c r="G125" s="5">
        <f t="shared" si="4"/>
        <v>14100</v>
      </c>
      <c r="H125" s="5" t="s">
        <v>265</v>
      </c>
      <c r="I125" s="4">
        <v>2500</v>
      </c>
    </row>
    <row r="126" spans="1:9" x14ac:dyDescent="0.3">
      <c r="A126" s="5" t="s">
        <v>261</v>
      </c>
      <c r="B126" s="5" t="s">
        <v>262</v>
      </c>
      <c r="C126" s="4" t="s">
        <v>259</v>
      </c>
      <c r="D126" s="5" t="s">
        <v>260</v>
      </c>
      <c r="E126" s="6">
        <v>18000</v>
      </c>
      <c r="F126" s="4">
        <v>2650</v>
      </c>
      <c r="G126" s="5">
        <f t="shared" si="4"/>
        <v>15350</v>
      </c>
      <c r="I126" s="4">
        <v>4500</v>
      </c>
    </row>
    <row r="127" spans="1:9" x14ac:dyDescent="0.3">
      <c r="A127" s="5" t="s">
        <v>263</v>
      </c>
      <c r="B127" s="5" t="s">
        <v>264</v>
      </c>
      <c r="C127" s="4" t="s">
        <v>259</v>
      </c>
      <c r="D127" s="5" t="s">
        <v>265</v>
      </c>
      <c r="E127" s="6">
        <v>3900</v>
      </c>
      <c r="F127" s="4">
        <v>200</v>
      </c>
      <c r="G127" s="5">
        <f t="shared" si="4"/>
        <v>3700</v>
      </c>
      <c r="I127" s="4">
        <v>1300</v>
      </c>
    </row>
    <row r="128" spans="1:9" x14ac:dyDescent="0.3">
      <c r="A128" s="5" t="s">
        <v>1739</v>
      </c>
      <c r="B128" s="5" t="s">
        <v>1738</v>
      </c>
      <c r="C128" s="4" t="s">
        <v>268</v>
      </c>
      <c r="D128" s="5" t="s">
        <v>260</v>
      </c>
      <c r="E128" s="6">
        <v>18900</v>
      </c>
      <c r="F128" s="4">
        <v>1500</v>
      </c>
      <c r="G128" s="5">
        <f t="shared" si="4"/>
        <v>17400</v>
      </c>
      <c r="H128" s="5" t="s">
        <v>260</v>
      </c>
      <c r="I128" s="4">
        <v>4725</v>
      </c>
    </row>
    <row r="129" spans="1:9" x14ac:dyDescent="0.3">
      <c r="A129" s="5" t="s">
        <v>269</v>
      </c>
      <c r="B129" s="5" t="s">
        <v>270</v>
      </c>
      <c r="C129" s="4" t="s">
        <v>268</v>
      </c>
      <c r="D129" s="5" t="s">
        <v>271</v>
      </c>
      <c r="E129" s="6">
        <v>25800</v>
      </c>
      <c r="F129" s="4">
        <v>8400</v>
      </c>
      <c r="G129" s="5">
        <f t="shared" si="4"/>
        <v>17400</v>
      </c>
      <c r="H129" s="5" t="s">
        <v>238</v>
      </c>
      <c r="I129" s="4">
        <v>3225</v>
      </c>
    </row>
    <row r="130" spans="1:9" x14ac:dyDescent="0.3">
      <c r="A130" s="5" t="s">
        <v>272</v>
      </c>
      <c r="B130" s="5" t="s">
        <v>273</v>
      </c>
      <c r="C130" s="4" t="s">
        <v>268</v>
      </c>
      <c r="D130" s="5" t="s">
        <v>252</v>
      </c>
      <c r="E130" s="6">
        <v>82500</v>
      </c>
      <c r="F130" s="4">
        <v>26250</v>
      </c>
      <c r="G130" s="5">
        <f t="shared" si="4"/>
        <v>56250</v>
      </c>
      <c r="H130" s="5" t="s">
        <v>276</v>
      </c>
      <c r="I130" s="4">
        <v>3750</v>
      </c>
    </row>
    <row r="131" spans="1:9" x14ac:dyDescent="0.3">
      <c r="A131" s="5" t="s">
        <v>274</v>
      </c>
      <c r="B131" s="5" t="s">
        <v>275</v>
      </c>
      <c r="C131" s="4" t="s">
        <v>1765</v>
      </c>
      <c r="D131" s="5" t="s">
        <v>1855</v>
      </c>
      <c r="E131" s="5">
        <v>108164</v>
      </c>
      <c r="F131" s="4">
        <v>86004</v>
      </c>
      <c r="G131" s="5">
        <f t="shared" si="4"/>
        <v>22160</v>
      </c>
      <c r="H131" s="5" t="s">
        <v>399</v>
      </c>
      <c r="I131" s="4">
        <v>1287</v>
      </c>
    </row>
    <row r="132" spans="1:9" x14ac:dyDescent="0.3">
      <c r="A132" s="5" t="s">
        <v>1333</v>
      </c>
      <c r="B132" s="5" t="s">
        <v>211</v>
      </c>
      <c r="C132" s="4" t="s">
        <v>1765</v>
      </c>
      <c r="D132" s="5" t="s">
        <v>1750</v>
      </c>
      <c r="E132" s="5">
        <v>100425</v>
      </c>
      <c r="G132" s="5">
        <v>100425</v>
      </c>
    </row>
    <row r="133" spans="1:9" x14ac:dyDescent="0.3">
      <c r="A133" s="5" t="s">
        <v>2109</v>
      </c>
      <c r="B133" s="5" t="s">
        <v>331</v>
      </c>
      <c r="C133" s="4" t="s">
        <v>277</v>
      </c>
      <c r="D133" s="5" t="s">
        <v>265</v>
      </c>
      <c r="E133" s="5">
        <v>6350</v>
      </c>
      <c r="F133" s="4">
        <v>2130</v>
      </c>
      <c r="G133" s="5">
        <v>4210</v>
      </c>
    </row>
    <row r="134" spans="1:9" x14ac:dyDescent="0.3">
      <c r="A134" s="5" t="s">
        <v>253</v>
      </c>
      <c r="B134" s="5" t="s">
        <v>248</v>
      </c>
      <c r="C134" s="4" t="s">
        <v>277</v>
      </c>
      <c r="D134" s="4" t="s">
        <v>241</v>
      </c>
      <c r="E134" s="6">
        <v>6750</v>
      </c>
      <c r="F134" s="4">
        <v>5250</v>
      </c>
      <c r="G134" s="5">
        <f>E134-F134</f>
        <v>1500</v>
      </c>
      <c r="H134" s="5" t="s">
        <v>260</v>
      </c>
      <c r="I134" s="4">
        <v>375</v>
      </c>
    </row>
    <row r="135" spans="1:9" x14ac:dyDescent="0.3">
      <c r="A135" s="5" t="s">
        <v>280</v>
      </c>
      <c r="B135" s="5" t="s">
        <v>1490</v>
      </c>
      <c r="C135" s="4" t="s">
        <v>279</v>
      </c>
      <c r="D135" s="5" t="s">
        <v>169</v>
      </c>
      <c r="E135" s="5">
        <v>2781</v>
      </c>
      <c r="F135" s="4">
        <v>450</v>
      </c>
      <c r="G135" s="5">
        <f>E135-F135</f>
        <v>2331</v>
      </c>
      <c r="I135" s="4">
        <v>733</v>
      </c>
    </row>
    <row r="136" spans="1:9" x14ac:dyDescent="0.3">
      <c r="A136" s="5" t="s">
        <v>374</v>
      </c>
      <c r="B136" s="5" t="s">
        <v>375</v>
      </c>
      <c r="C136" s="4" t="s">
        <v>279</v>
      </c>
      <c r="D136" s="4" t="s">
        <v>271</v>
      </c>
      <c r="E136" s="6">
        <v>12700</v>
      </c>
      <c r="F136" s="4">
        <v>700</v>
      </c>
      <c r="G136" s="5">
        <f>E136-F136</f>
        <v>12000</v>
      </c>
      <c r="I136" s="4" t="s">
        <v>1479</v>
      </c>
    </row>
    <row r="137" spans="1:9" x14ac:dyDescent="0.3">
      <c r="A137" s="5" t="s">
        <v>1220</v>
      </c>
      <c r="B137" s="5" t="s">
        <v>1221</v>
      </c>
      <c r="C137" s="4" t="s">
        <v>279</v>
      </c>
      <c r="D137" s="4" t="s">
        <v>380</v>
      </c>
      <c r="E137" s="6">
        <v>6050</v>
      </c>
      <c r="F137" s="4">
        <v>700</v>
      </c>
      <c r="G137" s="5">
        <f>E137-F137</f>
        <v>5350</v>
      </c>
      <c r="H137" s="5" t="s">
        <v>1516</v>
      </c>
      <c r="I137" s="4">
        <v>587</v>
      </c>
    </row>
    <row r="138" spans="1:9" x14ac:dyDescent="0.3">
      <c r="A138" s="5" t="s">
        <v>1480</v>
      </c>
      <c r="B138" s="5" t="s">
        <v>1481</v>
      </c>
      <c r="C138" s="4" t="s">
        <v>279</v>
      </c>
      <c r="D138" s="4" t="s">
        <v>235</v>
      </c>
      <c r="E138" s="6">
        <v>1270</v>
      </c>
      <c r="F138" s="4">
        <v>1060</v>
      </c>
      <c r="G138" s="5">
        <f t="shared" ref="G138:G146" si="5">E138-F138</f>
        <v>210</v>
      </c>
      <c r="H138" s="5" t="s">
        <v>165</v>
      </c>
      <c r="I138" s="4">
        <v>106</v>
      </c>
    </row>
    <row r="139" spans="1:9" x14ac:dyDescent="0.3">
      <c r="A139" s="5" t="s">
        <v>281</v>
      </c>
      <c r="B139" s="5" t="s">
        <v>278</v>
      </c>
      <c r="C139" s="4" t="s">
        <v>282</v>
      </c>
      <c r="D139" s="4" t="s">
        <v>1931</v>
      </c>
      <c r="E139" s="5">
        <v>63129</v>
      </c>
      <c r="F139" s="4">
        <v>4722</v>
      </c>
      <c r="G139" s="5">
        <f t="shared" si="5"/>
        <v>58407</v>
      </c>
      <c r="H139" s="5" t="s">
        <v>2155</v>
      </c>
      <c r="I139" s="4" t="s">
        <v>1806</v>
      </c>
    </row>
    <row r="140" spans="1:9" x14ac:dyDescent="0.3">
      <c r="A140" s="5" t="s">
        <v>283</v>
      </c>
      <c r="B140" s="5" t="s">
        <v>284</v>
      </c>
      <c r="C140" s="4" t="s">
        <v>285</v>
      </c>
      <c r="D140" s="5" t="s">
        <v>235</v>
      </c>
      <c r="E140" s="6">
        <v>1500</v>
      </c>
      <c r="G140" s="5">
        <f t="shared" si="5"/>
        <v>1500</v>
      </c>
      <c r="I140" s="4">
        <v>125</v>
      </c>
    </row>
    <row r="141" spans="1:9" x14ac:dyDescent="0.3">
      <c r="A141" s="5" t="s">
        <v>286</v>
      </c>
      <c r="B141" s="5" t="s">
        <v>287</v>
      </c>
      <c r="C141" s="4" t="s">
        <v>285</v>
      </c>
      <c r="D141" s="5" t="s">
        <v>165</v>
      </c>
      <c r="E141" s="6">
        <v>250</v>
      </c>
      <c r="G141" s="5">
        <f t="shared" si="5"/>
        <v>250</v>
      </c>
      <c r="I141" s="4">
        <v>200</v>
      </c>
    </row>
    <row r="142" spans="1:9" x14ac:dyDescent="0.3">
      <c r="A142" s="5" t="s">
        <v>288</v>
      </c>
      <c r="B142" s="5" t="s">
        <v>289</v>
      </c>
      <c r="C142" s="4" t="s">
        <v>285</v>
      </c>
      <c r="D142" s="5" t="s">
        <v>135</v>
      </c>
      <c r="E142" s="6">
        <v>2700</v>
      </c>
      <c r="G142" s="5">
        <f t="shared" si="5"/>
        <v>2700</v>
      </c>
      <c r="I142" s="4">
        <v>335</v>
      </c>
    </row>
    <row r="143" spans="1:9" x14ac:dyDescent="0.3">
      <c r="A143" s="5" t="s">
        <v>290</v>
      </c>
      <c r="B143" s="5" t="s">
        <v>291</v>
      </c>
      <c r="C143" s="4" t="s">
        <v>292</v>
      </c>
      <c r="D143" s="5" t="s">
        <v>238</v>
      </c>
      <c r="E143" s="6">
        <v>2750</v>
      </c>
      <c r="G143" s="5">
        <f t="shared" si="5"/>
        <v>2750</v>
      </c>
      <c r="I143" s="4">
        <v>550</v>
      </c>
    </row>
    <row r="144" spans="1:9" x14ac:dyDescent="0.3">
      <c r="A144" s="5" t="s">
        <v>293</v>
      </c>
      <c r="B144" s="5" t="s">
        <v>294</v>
      </c>
      <c r="C144" s="4" t="s">
        <v>292</v>
      </c>
      <c r="D144" s="5" t="s">
        <v>295</v>
      </c>
      <c r="E144" s="6">
        <v>6992</v>
      </c>
      <c r="F144" s="4">
        <v>1311</v>
      </c>
      <c r="G144" s="5">
        <f t="shared" si="5"/>
        <v>5681</v>
      </c>
      <c r="H144" s="5" t="s">
        <v>1225</v>
      </c>
      <c r="I144" s="4">
        <v>437</v>
      </c>
    </row>
    <row r="145" spans="1:9" x14ac:dyDescent="0.3">
      <c r="A145" s="5" t="s">
        <v>296</v>
      </c>
      <c r="B145" s="5" t="s">
        <v>297</v>
      </c>
      <c r="C145" s="4" t="s">
        <v>292</v>
      </c>
      <c r="D145" s="5" t="s">
        <v>276</v>
      </c>
      <c r="E145" s="6">
        <v>21307</v>
      </c>
      <c r="F145" s="4">
        <v>2938</v>
      </c>
      <c r="G145" s="5">
        <f t="shared" si="5"/>
        <v>18369</v>
      </c>
      <c r="H145" s="5" t="s">
        <v>1225</v>
      </c>
      <c r="I145" s="4">
        <v>1469</v>
      </c>
    </row>
    <row r="146" spans="1:9" x14ac:dyDescent="0.3">
      <c r="A146" s="5" t="s">
        <v>298</v>
      </c>
      <c r="B146" s="5" t="s">
        <v>299</v>
      </c>
      <c r="C146" s="4" t="s">
        <v>300</v>
      </c>
      <c r="D146" s="17" t="s">
        <v>1767</v>
      </c>
      <c r="E146" s="6">
        <v>123400</v>
      </c>
      <c r="F146" s="4">
        <v>23125</v>
      </c>
      <c r="G146" s="5">
        <f t="shared" si="5"/>
        <v>100275</v>
      </c>
      <c r="H146" s="5" t="s">
        <v>2135</v>
      </c>
      <c r="I146" s="4">
        <v>2775</v>
      </c>
    </row>
    <row r="147" spans="1:9" x14ac:dyDescent="0.3">
      <c r="A147" s="4" t="s">
        <v>302</v>
      </c>
      <c r="B147" s="5" t="s">
        <v>303</v>
      </c>
      <c r="C147" s="4" t="s">
        <v>304</v>
      </c>
      <c r="D147" s="5" t="s">
        <v>276</v>
      </c>
      <c r="E147" s="6">
        <v>15630</v>
      </c>
      <c r="F147" s="4">
        <v>14588</v>
      </c>
      <c r="G147" s="5">
        <v>6240</v>
      </c>
      <c r="H147" s="5" t="s">
        <v>135</v>
      </c>
      <c r="I147" s="4">
        <v>1042</v>
      </c>
    </row>
    <row r="148" spans="1:9" x14ac:dyDescent="0.3">
      <c r="A148" s="4" t="s">
        <v>305</v>
      </c>
      <c r="B148" s="5" t="s">
        <v>306</v>
      </c>
      <c r="C148" s="4" t="s">
        <v>304</v>
      </c>
      <c r="D148" s="5" t="s">
        <v>265</v>
      </c>
      <c r="E148" s="6">
        <v>500</v>
      </c>
      <c r="G148" s="5">
        <f t="shared" ref="G148:G179" si="6">E148-F148</f>
        <v>500</v>
      </c>
      <c r="I148" s="4">
        <v>165</v>
      </c>
    </row>
    <row r="149" spans="1:9" x14ac:dyDescent="0.3">
      <c r="A149" s="4" t="s">
        <v>307</v>
      </c>
      <c r="B149" s="5" t="s">
        <v>308</v>
      </c>
      <c r="C149" s="4" t="s">
        <v>304</v>
      </c>
      <c r="D149" s="5" t="s">
        <v>169</v>
      </c>
      <c r="E149" s="6">
        <v>150</v>
      </c>
      <c r="G149" s="5">
        <f t="shared" si="6"/>
        <v>150</v>
      </c>
      <c r="I149" s="4">
        <v>330</v>
      </c>
    </row>
    <row r="150" spans="1:9" x14ac:dyDescent="0.3">
      <c r="A150" s="5" t="s">
        <v>309</v>
      </c>
      <c r="B150" s="5" t="s">
        <v>310</v>
      </c>
      <c r="C150" s="4" t="s">
        <v>311</v>
      </c>
      <c r="D150" s="5" t="s">
        <v>351</v>
      </c>
      <c r="E150" s="6">
        <v>13800</v>
      </c>
      <c r="F150" s="4">
        <v>1120</v>
      </c>
      <c r="G150" s="5">
        <f t="shared" si="6"/>
        <v>12680</v>
      </c>
      <c r="H150" s="5">
        <v>23</v>
      </c>
      <c r="I150" s="4">
        <v>560</v>
      </c>
    </row>
    <row r="151" spans="1:9" x14ac:dyDescent="0.3">
      <c r="A151" s="5" t="s">
        <v>313</v>
      </c>
      <c r="B151" s="5" t="s">
        <v>314</v>
      </c>
      <c r="C151" s="4" t="s">
        <v>311</v>
      </c>
      <c r="D151" s="5" t="s">
        <v>360</v>
      </c>
      <c r="E151" s="6">
        <v>22100</v>
      </c>
      <c r="G151" s="5">
        <f t="shared" si="6"/>
        <v>22100</v>
      </c>
      <c r="I151" s="4">
        <v>1300</v>
      </c>
    </row>
    <row r="152" spans="1:9" x14ac:dyDescent="0.3">
      <c r="A152" s="5" t="s">
        <v>315</v>
      </c>
      <c r="B152" s="5" t="s">
        <v>316</v>
      </c>
      <c r="C152" s="4" t="s">
        <v>311</v>
      </c>
      <c r="D152" s="5" t="s">
        <v>256</v>
      </c>
      <c r="E152" s="6">
        <v>47000</v>
      </c>
      <c r="F152" s="4">
        <v>11250</v>
      </c>
      <c r="G152" s="5">
        <f t="shared" si="6"/>
        <v>35750</v>
      </c>
      <c r="H152" s="5" t="s">
        <v>312</v>
      </c>
      <c r="I152" s="4">
        <v>1825</v>
      </c>
    </row>
    <row r="153" spans="1:9" x14ac:dyDescent="0.3">
      <c r="A153" s="33" t="s">
        <v>1491</v>
      </c>
      <c r="B153" s="5" t="s">
        <v>317</v>
      </c>
      <c r="C153" s="4" t="s">
        <v>318</v>
      </c>
      <c r="D153" s="5" t="s">
        <v>1423</v>
      </c>
      <c r="E153" s="6">
        <v>7550</v>
      </c>
      <c r="F153" s="4">
        <v>1160</v>
      </c>
      <c r="G153" s="5">
        <f t="shared" si="6"/>
        <v>6390</v>
      </c>
      <c r="H153" s="5" t="s">
        <v>1798</v>
      </c>
      <c r="I153" s="4">
        <v>145</v>
      </c>
    </row>
    <row r="154" spans="1:9" x14ac:dyDescent="0.3">
      <c r="A154" s="5" t="s">
        <v>319</v>
      </c>
      <c r="B154" s="5" t="s">
        <v>320</v>
      </c>
      <c r="C154" s="4" t="s">
        <v>321</v>
      </c>
      <c r="D154" s="4" t="s">
        <v>322</v>
      </c>
      <c r="E154" s="6">
        <v>11650</v>
      </c>
      <c r="G154" s="5">
        <f t="shared" si="6"/>
        <v>11650</v>
      </c>
      <c r="I154" s="4">
        <v>575</v>
      </c>
    </row>
    <row r="155" spans="1:9" x14ac:dyDescent="0.3">
      <c r="A155" s="5" t="s">
        <v>323</v>
      </c>
      <c r="B155" s="5" t="s">
        <v>324</v>
      </c>
      <c r="C155" s="4" t="s">
        <v>321</v>
      </c>
      <c r="D155" s="4" t="s">
        <v>325</v>
      </c>
      <c r="E155" s="6">
        <v>2085</v>
      </c>
      <c r="G155" s="5">
        <f t="shared" si="6"/>
        <v>2085</v>
      </c>
    </row>
    <row r="156" spans="1:9" x14ac:dyDescent="0.3">
      <c r="A156" s="4" t="s">
        <v>326</v>
      </c>
      <c r="B156" s="5" t="s">
        <v>327</v>
      </c>
      <c r="C156" s="4" t="s">
        <v>328</v>
      </c>
      <c r="D156" s="5" t="s">
        <v>329</v>
      </c>
      <c r="E156" s="6">
        <v>17450</v>
      </c>
      <c r="F156" s="4">
        <v>1710</v>
      </c>
      <c r="G156" s="5">
        <f t="shared" si="6"/>
        <v>15740</v>
      </c>
      <c r="H156" s="5" t="s">
        <v>1450</v>
      </c>
      <c r="I156" s="4">
        <v>342</v>
      </c>
    </row>
    <row r="157" spans="1:9" x14ac:dyDescent="0.3">
      <c r="A157" s="5" t="s">
        <v>332</v>
      </c>
      <c r="B157" s="5" t="s">
        <v>333</v>
      </c>
      <c r="C157" s="4" t="s">
        <v>334</v>
      </c>
      <c r="D157" s="5" t="s">
        <v>2128</v>
      </c>
      <c r="E157" s="6">
        <v>53795</v>
      </c>
      <c r="G157" s="5">
        <f t="shared" si="6"/>
        <v>53795</v>
      </c>
      <c r="H157" s="5" t="s">
        <v>2128</v>
      </c>
      <c r="I157" s="4">
        <v>1537</v>
      </c>
    </row>
    <row r="158" spans="1:9" x14ac:dyDescent="0.3">
      <c r="A158" s="5" t="s">
        <v>1865</v>
      </c>
      <c r="B158" s="5" t="s">
        <v>349</v>
      </c>
      <c r="C158" s="4" t="s">
        <v>334</v>
      </c>
      <c r="D158" s="5" t="s">
        <v>1866</v>
      </c>
      <c r="E158" s="6">
        <v>54000</v>
      </c>
      <c r="F158" s="4">
        <v>9010</v>
      </c>
      <c r="G158" s="5">
        <f t="shared" si="6"/>
        <v>44990</v>
      </c>
      <c r="H158" s="5" t="s">
        <v>2049</v>
      </c>
      <c r="I158" s="4">
        <v>931</v>
      </c>
    </row>
    <row r="159" spans="1:9" x14ac:dyDescent="0.3">
      <c r="A159" s="5" t="s">
        <v>1932</v>
      </c>
      <c r="B159" s="5" t="s">
        <v>1933</v>
      </c>
      <c r="C159" s="4" t="s">
        <v>337</v>
      </c>
      <c r="D159" s="5" t="s">
        <v>169</v>
      </c>
      <c r="E159" s="6"/>
      <c r="G159" s="5">
        <f t="shared" si="6"/>
        <v>0</v>
      </c>
    </row>
    <row r="160" spans="1:9" x14ac:dyDescent="0.3">
      <c r="A160" s="5" t="s">
        <v>335</v>
      </c>
      <c r="B160" s="5" t="s">
        <v>336</v>
      </c>
      <c r="C160" s="4" t="s">
        <v>337</v>
      </c>
      <c r="D160" s="5" t="s">
        <v>134</v>
      </c>
      <c r="E160" s="6">
        <v>5876</v>
      </c>
      <c r="F160" s="4">
        <v>750</v>
      </c>
      <c r="G160" s="5">
        <f t="shared" si="6"/>
        <v>5126</v>
      </c>
      <c r="H160" s="5" t="s">
        <v>271</v>
      </c>
      <c r="I160" s="4">
        <v>650</v>
      </c>
    </row>
    <row r="161" spans="1:9" x14ac:dyDescent="0.3">
      <c r="A161" s="5" t="s">
        <v>338</v>
      </c>
      <c r="B161" s="5" t="s">
        <v>339</v>
      </c>
      <c r="C161" s="4" t="s">
        <v>337</v>
      </c>
      <c r="D161" s="5" t="s">
        <v>165</v>
      </c>
      <c r="E161" s="6">
        <v>550</v>
      </c>
      <c r="G161" s="5">
        <f t="shared" si="6"/>
        <v>550</v>
      </c>
      <c r="I161" s="4">
        <v>275</v>
      </c>
    </row>
    <row r="162" spans="1:9" x14ac:dyDescent="0.3">
      <c r="A162" s="5" t="s">
        <v>340</v>
      </c>
      <c r="B162" s="5" t="s">
        <v>341</v>
      </c>
      <c r="C162" s="4" t="s">
        <v>337</v>
      </c>
      <c r="D162" s="5" t="s">
        <v>260</v>
      </c>
      <c r="E162" s="6">
        <v>2665</v>
      </c>
      <c r="G162" s="5">
        <f t="shared" si="6"/>
        <v>2665</v>
      </c>
      <c r="I162" s="4" t="s">
        <v>342</v>
      </c>
    </row>
    <row r="163" spans="1:9" x14ac:dyDescent="0.3">
      <c r="A163" s="5" t="s">
        <v>345</v>
      </c>
      <c r="B163" s="5" t="s">
        <v>1504</v>
      </c>
      <c r="C163" s="4" t="s">
        <v>344</v>
      </c>
      <c r="D163" s="5" t="s">
        <v>169</v>
      </c>
      <c r="E163" s="6"/>
      <c r="G163" s="5">
        <f t="shared" si="6"/>
        <v>0</v>
      </c>
    </row>
    <row r="164" spans="1:9" x14ac:dyDescent="0.3">
      <c r="A164" s="5" t="s">
        <v>343</v>
      </c>
      <c r="B164" s="5" t="s">
        <v>229</v>
      </c>
      <c r="C164" s="4" t="s">
        <v>1981</v>
      </c>
      <c r="D164" s="5" t="s">
        <v>1982</v>
      </c>
      <c r="E164" s="6">
        <v>116390</v>
      </c>
      <c r="G164" s="5">
        <f t="shared" si="6"/>
        <v>116390</v>
      </c>
      <c r="I164" s="4">
        <v>500</v>
      </c>
    </row>
    <row r="165" spans="1:9" ht="56.25" x14ac:dyDescent="0.3">
      <c r="A165" s="5" t="s">
        <v>348</v>
      </c>
      <c r="B165" s="5" t="s">
        <v>349</v>
      </c>
      <c r="C165" s="4" t="s">
        <v>350</v>
      </c>
      <c r="D165" s="5" t="s">
        <v>351</v>
      </c>
      <c r="E165" s="6">
        <v>34400</v>
      </c>
      <c r="F165" s="4">
        <v>10700</v>
      </c>
      <c r="G165" s="5">
        <f t="shared" si="6"/>
        <v>23700</v>
      </c>
      <c r="H165" s="5" t="s">
        <v>1225</v>
      </c>
      <c r="I165" s="34" t="s">
        <v>1424</v>
      </c>
    </row>
    <row r="166" spans="1:9" x14ac:dyDescent="0.3">
      <c r="A166" s="5" t="s">
        <v>352</v>
      </c>
      <c r="B166" s="5" t="s">
        <v>353</v>
      </c>
      <c r="C166" s="4" t="s">
        <v>350</v>
      </c>
      <c r="D166" s="5" t="s">
        <v>165</v>
      </c>
      <c r="E166" s="6">
        <v>2000</v>
      </c>
      <c r="G166" s="5">
        <f t="shared" si="6"/>
        <v>2000</v>
      </c>
    </row>
    <row r="167" spans="1:9" x14ac:dyDescent="0.3">
      <c r="A167" s="5" t="s">
        <v>1484</v>
      </c>
      <c r="B167" s="5" t="s">
        <v>1485</v>
      </c>
      <c r="C167" s="4" t="s">
        <v>350</v>
      </c>
      <c r="D167" s="5" t="s">
        <v>165</v>
      </c>
      <c r="E167" s="6">
        <v>1000</v>
      </c>
      <c r="G167" s="5">
        <f t="shared" si="6"/>
        <v>1000</v>
      </c>
    </row>
    <row r="168" spans="1:9" x14ac:dyDescent="0.3">
      <c r="A168" s="5" t="s">
        <v>356</v>
      </c>
      <c r="B168" s="5" t="s">
        <v>357</v>
      </c>
      <c r="C168" s="4" t="s">
        <v>354</v>
      </c>
      <c r="D168" s="5" t="s">
        <v>358</v>
      </c>
      <c r="E168" s="6">
        <v>9598</v>
      </c>
      <c r="F168" s="4">
        <v>1600</v>
      </c>
      <c r="G168" s="5">
        <f t="shared" si="6"/>
        <v>7998</v>
      </c>
      <c r="H168" s="5" t="s">
        <v>98</v>
      </c>
      <c r="I168" s="4">
        <v>400</v>
      </c>
    </row>
    <row r="169" spans="1:9" x14ac:dyDescent="0.3">
      <c r="A169" s="5" t="s">
        <v>359</v>
      </c>
      <c r="B169" s="5" t="s">
        <v>254</v>
      </c>
      <c r="C169" s="4" t="s">
        <v>354</v>
      </c>
      <c r="D169" s="5" t="s">
        <v>1824</v>
      </c>
      <c r="E169" s="6">
        <v>163000</v>
      </c>
      <c r="F169" s="4">
        <v>3125</v>
      </c>
      <c r="G169" s="5">
        <f t="shared" si="6"/>
        <v>159875</v>
      </c>
      <c r="H169" s="5" t="s">
        <v>1798</v>
      </c>
      <c r="I169" s="4">
        <v>3125</v>
      </c>
    </row>
    <row r="170" spans="1:9" x14ac:dyDescent="0.3">
      <c r="A170" s="5" t="s">
        <v>361</v>
      </c>
      <c r="B170" s="5" t="s">
        <v>1492</v>
      </c>
      <c r="C170" s="4" t="s">
        <v>362</v>
      </c>
      <c r="D170" s="5" t="s">
        <v>301</v>
      </c>
      <c r="E170" s="6">
        <v>3720</v>
      </c>
      <c r="F170" s="4">
        <v>3000</v>
      </c>
      <c r="G170" s="5">
        <f t="shared" si="6"/>
        <v>720</v>
      </c>
      <c r="I170" s="4">
        <v>720</v>
      </c>
    </row>
    <row r="171" spans="1:9" x14ac:dyDescent="0.3">
      <c r="A171" s="5" t="s">
        <v>363</v>
      </c>
      <c r="B171" s="5" t="s">
        <v>364</v>
      </c>
      <c r="C171" s="4" t="s">
        <v>362</v>
      </c>
      <c r="D171" s="4" t="s">
        <v>365</v>
      </c>
      <c r="E171" s="6">
        <v>3515</v>
      </c>
      <c r="F171" s="4">
        <v>2965</v>
      </c>
      <c r="G171" s="5">
        <f t="shared" si="6"/>
        <v>550</v>
      </c>
      <c r="H171" s="5" t="s">
        <v>1452</v>
      </c>
      <c r="I171" s="4">
        <v>55</v>
      </c>
    </row>
    <row r="172" spans="1:9" x14ac:dyDescent="0.3">
      <c r="A172" s="5" t="s">
        <v>366</v>
      </c>
      <c r="B172" s="5" t="s">
        <v>367</v>
      </c>
      <c r="C172" s="4" t="s">
        <v>368</v>
      </c>
      <c r="D172" s="4" t="s">
        <v>135</v>
      </c>
      <c r="E172" s="6">
        <v>50950</v>
      </c>
      <c r="F172" s="4">
        <v>22525</v>
      </c>
      <c r="G172" s="5">
        <f t="shared" si="6"/>
        <v>28425</v>
      </c>
      <c r="H172" s="5" t="s">
        <v>265</v>
      </c>
      <c r="I172" s="4">
        <v>9475</v>
      </c>
    </row>
    <row r="173" spans="1:9" x14ac:dyDescent="0.3">
      <c r="A173" s="5" t="s">
        <v>369</v>
      </c>
      <c r="B173" s="5" t="s">
        <v>370</v>
      </c>
      <c r="C173" s="4" t="s">
        <v>368</v>
      </c>
      <c r="D173" s="4" t="s">
        <v>1453</v>
      </c>
      <c r="E173" s="6">
        <v>82350</v>
      </c>
      <c r="F173" s="4">
        <v>7100</v>
      </c>
      <c r="G173" s="5">
        <f t="shared" si="6"/>
        <v>75250</v>
      </c>
      <c r="H173" s="5" t="s">
        <v>351</v>
      </c>
      <c r="I173" s="4">
        <v>3050</v>
      </c>
    </row>
    <row r="174" spans="1:9" x14ac:dyDescent="0.3">
      <c r="A174" s="5" t="s">
        <v>2132</v>
      </c>
      <c r="B174" s="5" t="s">
        <v>2133</v>
      </c>
      <c r="C174" s="4" t="s">
        <v>373</v>
      </c>
      <c r="D174" s="4" t="s">
        <v>135</v>
      </c>
      <c r="E174" s="6">
        <v>22600</v>
      </c>
      <c r="G174" s="5">
        <f t="shared" si="6"/>
        <v>22600</v>
      </c>
      <c r="H174" s="5" t="s">
        <v>135</v>
      </c>
    </row>
    <row r="175" spans="1:9" x14ac:dyDescent="0.3">
      <c r="A175" s="5" t="s">
        <v>371</v>
      </c>
      <c r="B175" s="5" t="s">
        <v>372</v>
      </c>
      <c r="C175" s="4" t="s">
        <v>373</v>
      </c>
      <c r="D175" s="4" t="s">
        <v>355</v>
      </c>
      <c r="E175" s="6">
        <v>31050</v>
      </c>
      <c r="F175" s="4">
        <v>13500</v>
      </c>
      <c r="G175" s="5">
        <f t="shared" si="6"/>
        <v>17550</v>
      </c>
      <c r="H175" s="5" t="s">
        <v>399</v>
      </c>
      <c r="I175" s="4">
        <v>1350</v>
      </c>
    </row>
    <row r="176" spans="1:9" x14ac:dyDescent="0.3">
      <c r="A176" s="5" t="s">
        <v>2129</v>
      </c>
      <c r="B176" s="5" t="s">
        <v>1514</v>
      </c>
      <c r="C176" s="4" t="s">
        <v>373</v>
      </c>
      <c r="D176" s="5" t="s">
        <v>20</v>
      </c>
      <c r="E176" s="5">
        <v>10067</v>
      </c>
      <c r="G176" s="5">
        <f t="shared" si="6"/>
        <v>10067</v>
      </c>
      <c r="I176" s="4">
        <v>1850</v>
      </c>
    </row>
    <row r="177" spans="1:9" x14ac:dyDescent="0.3">
      <c r="A177" s="5" t="s">
        <v>1300</v>
      </c>
      <c r="B177" s="5" t="s">
        <v>376</v>
      </c>
      <c r="C177" s="4" t="s">
        <v>1980</v>
      </c>
      <c r="D177" s="5" t="s">
        <v>1979</v>
      </c>
      <c r="E177" s="5">
        <v>32070</v>
      </c>
      <c r="G177" s="5">
        <f t="shared" si="6"/>
        <v>32070</v>
      </c>
      <c r="I177" s="4" t="s">
        <v>1842</v>
      </c>
    </row>
    <row r="178" spans="1:9" x14ac:dyDescent="0.3">
      <c r="A178" s="5" t="s">
        <v>1198</v>
      </c>
      <c r="B178" s="5" t="s">
        <v>1199</v>
      </c>
      <c r="C178" s="4" t="s">
        <v>379</v>
      </c>
      <c r="D178" s="5" t="s">
        <v>271</v>
      </c>
      <c r="E178" s="5">
        <v>4350</v>
      </c>
      <c r="F178" s="4">
        <v>560</v>
      </c>
      <c r="G178" s="5">
        <f t="shared" si="6"/>
        <v>3790</v>
      </c>
      <c r="H178" s="5" t="s">
        <v>1162</v>
      </c>
      <c r="I178" s="4">
        <v>560</v>
      </c>
    </row>
    <row r="179" spans="1:9" x14ac:dyDescent="0.3">
      <c r="A179" s="5" t="s">
        <v>381</v>
      </c>
      <c r="B179" s="5" t="s">
        <v>382</v>
      </c>
      <c r="C179" s="4" t="s">
        <v>379</v>
      </c>
      <c r="D179" s="5" t="s">
        <v>19</v>
      </c>
      <c r="E179" s="6">
        <v>22137</v>
      </c>
      <c r="G179" s="5">
        <f t="shared" si="6"/>
        <v>22137</v>
      </c>
      <c r="I179" s="4">
        <v>2000</v>
      </c>
    </row>
    <row r="180" spans="1:9" x14ac:dyDescent="0.3">
      <c r="A180" s="5" t="s">
        <v>383</v>
      </c>
      <c r="B180" s="5" t="s">
        <v>384</v>
      </c>
      <c r="C180" s="4" t="s">
        <v>379</v>
      </c>
      <c r="D180" s="5" t="s">
        <v>169</v>
      </c>
      <c r="E180" s="6">
        <v>100</v>
      </c>
      <c r="G180" s="5">
        <f t="shared" ref="G180:G212" si="7">E180-F180</f>
        <v>100</v>
      </c>
      <c r="I180" s="4">
        <v>400</v>
      </c>
    </row>
    <row r="181" spans="1:9" x14ac:dyDescent="0.3">
      <c r="A181" s="5" t="s">
        <v>2025</v>
      </c>
      <c r="B181" s="5" t="s">
        <v>754</v>
      </c>
      <c r="C181" s="4" t="s">
        <v>379</v>
      </c>
      <c r="D181" s="5" t="s">
        <v>444</v>
      </c>
      <c r="E181" s="6">
        <v>20300</v>
      </c>
      <c r="G181" s="5">
        <f t="shared" si="7"/>
        <v>20300</v>
      </c>
    </row>
    <row r="182" spans="1:9" x14ac:dyDescent="0.3">
      <c r="A182" s="5" t="s">
        <v>386</v>
      </c>
      <c r="B182" s="5" t="s">
        <v>387</v>
      </c>
      <c r="C182" s="4" t="s">
        <v>385</v>
      </c>
      <c r="D182" s="5" t="s">
        <v>60</v>
      </c>
      <c r="E182" s="6">
        <v>13000</v>
      </c>
      <c r="F182" s="4">
        <v>9700</v>
      </c>
      <c r="G182" s="5">
        <f t="shared" si="7"/>
        <v>3300</v>
      </c>
      <c r="H182" s="5" t="s">
        <v>76</v>
      </c>
      <c r="I182" s="4">
        <v>1000</v>
      </c>
    </row>
    <row r="183" spans="1:9" x14ac:dyDescent="0.3">
      <c r="A183" s="5" t="s">
        <v>388</v>
      </c>
      <c r="B183" s="5" t="s">
        <v>389</v>
      </c>
      <c r="C183" s="4" t="s">
        <v>385</v>
      </c>
      <c r="D183" s="5" t="s">
        <v>38</v>
      </c>
      <c r="E183" s="6">
        <v>600</v>
      </c>
      <c r="G183" s="5">
        <f t="shared" si="7"/>
        <v>600</v>
      </c>
      <c r="I183" s="4">
        <v>300</v>
      </c>
    </row>
    <row r="184" spans="1:9" x14ac:dyDescent="0.3">
      <c r="A184" s="5" t="s">
        <v>390</v>
      </c>
      <c r="B184" s="5" t="s">
        <v>391</v>
      </c>
      <c r="C184" s="4" t="s">
        <v>385</v>
      </c>
      <c r="D184" s="4" t="s">
        <v>131</v>
      </c>
      <c r="E184" s="6">
        <v>81</v>
      </c>
      <c r="F184" s="4">
        <v>76</v>
      </c>
      <c r="G184" s="5">
        <f t="shared" si="7"/>
        <v>5</v>
      </c>
      <c r="I184" s="4">
        <v>6</v>
      </c>
    </row>
    <row r="185" spans="1:9" x14ac:dyDescent="0.3">
      <c r="A185" s="5" t="s">
        <v>392</v>
      </c>
      <c r="B185" s="5" t="s">
        <v>393</v>
      </c>
      <c r="C185" s="4" t="s">
        <v>385</v>
      </c>
      <c r="D185" s="4" t="s">
        <v>131</v>
      </c>
      <c r="E185" s="6">
        <v>81</v>
      </c>
      <c r="F185" s="4">
        <v>75</v>
      </c>
      <c r="G185" s="5">
        <f t="shared" si="7"/>
        <v>6</v>
      </c>
      <c r="I185" s="4">
        <v>6</v>
      </c>
    </row>
    <row r="186" spans="1:9" x14ac:dyDescent="0.3">
      <c r="A186" s="5" t="s">
        <v>394</v>
      </c>
      <c r="B186" s="5" t="s">
        <v>395</v>
      </c>
      <c r="C186" s="4" t="s">
        <v>385</v>
      </c>
      <c r="D186" s="4" t="s">
        <v>131</v>
      </c>
      <c r="E186" s="5">
        <v>2500</v>
      </c>
      <c r="G186" s="5">
        <f t="shared" si="7"/>
        <v>2500</v>
      </c>
    </row>
    <row r="187" spans="1:9" x14ac:dyDescent="0.3">
      <c r="A187" s="5" t="s">
        <v>396</v>
      </c>
      <c r="B187" s="5" t="s">
        <v>397</v>
      </c>
      <c r="C187" s="4" t="s">
        <v>398</v>
      </c>
      <c r="D187" s="5" t="s">
        <v>399</v>
      </c>
      <c r="E187" s="6">
        <v>5450</v>
      </c>
      <c r="F187" s="4">
        <v>4370</v>
      </c>
      <c r="G187" s="5">
        <f t="shared" si="7"/>
        <v>1080</v>
      </c>
      <c r="H187" s="5" t="s">
        <v>265</v>
      </c>
      <c r="I187" s="4">
        <v>387</v>
      </c>
    </row>
    <row r="188" spans="1:9" x14ac:dyDescent="0.3">
      <c r="A188" s="5" t="s">
        <v>1823</v>
      </c>
      <c r="B188" s="5" t="s">
        <v>1815</v>
      </c>
      <c r="C188" s="4" t="s">
        <v>398</v>
      </c>
      <c r="D188" s="5" t="s">
        <v>20</v>
      </c>
      <c r="E188" s="5">
        <v>5100</v>
      </c>
      <c r="F188" s="4">
        <v>850</v>
      </c>
      <c r="G188" s="5">
        <f t="shared" si="7"/>
        <v>4250</v>
      </c>
      <c r="H188" s="5" t="s">
        <v>46</v>
      </c>
      <c r="I188" s="4">
        <v>850</v>
      </c>
    </row>
    <row r="189" spans="1:9" x14ac:dyDescent="0.3">
      <c r="A189" s="5" t="s">
        <v>1967</v>
      </c>
      <c r="B189" s="5" t="s">
        <v>1718</v>
      </c>
      <c r="C189" s="4" t="s">
        <v>398</v>
      </c>
      <c r="D189" s="5" t="s">
        <v>9</v>
      </c>
      <c r="E189" s="5">
        <v>20105</v>
      </c>
      <c r="G189" s="5">
        <f t="shared" si="7"/>
        <v>20105</v>
      </c>
    </row>
    <row r="190" spans="1:9" x14ac:dyDescent="0.3">
      <c r="A190" s="5" t="s">
        <v>400</v>
      </c>
      <c r="B190" s="5" t="s">
        <v>401</v>
      </c>
      <c r="C190" s="4" t="s">
        <v>402</v>
      </c>
      <c r="D190" s="5" t="s">
        <v>12</v>
      </c>
      <c r="E190" s="5">
        <v>9000</v>
      </c>
      <c r="F190" s="4">
        <v>8100</v>
      </c>
      <c r="G190" s="5">
        <f t="shared" si="7"/>
        <v>900</v>
      </c>
      <c r="H190" s="5" t="s">
        <v>29</v>
      </c>
      <c r="I190" s="4">
        <v>1000</v>
      </c>
    </row>
    <row r="191" spans="1:9" x14ac:dyDescent="0.3">
      <c r="A191" s="5" t="s">
        <v>403</v>
      </c>
      <c r="B191" s="5" t="s">
        <v>404</v>
      </c>
      <c r="C191" s="4" t="s">
        <v>402</v>
      </c>
      <c r="D191" s="5" t="s">
        <v>46</v>
      </c>
      <c r="E191" s="5">
        <v>5000</v>
      </c>
      <c r="G191" s="5">
        <f t="shared" si="7"/>
        <v>5000</v>
      </c>
      <c r="I191" s="4">
        <v>1000</v>
      </c>
    </row>
    <row r="192" spans="1:9" x14ac:dyDescent="0.3">
      <c r="A192" s="5" t="s">
        <v>319</v>
      </c>
      <c r="B192" s="5" t="s">
        <v>320</v>
      </c>
      <c r="C192" s="4" t="s">
        <v>402</v>
      </c>
      <c r="D192" s="5" t="s">
        <v>1486</v>
      </c>
      <c r="E192" s="5">
        <v>10500</v>
      </c>
      <c r="G192" s="5">
        <f t="shared" si="7"/>
        <v>10500</v>
      </c>
    </row>
    <row r="193" spans="1:9" x14ac:dyDescent="0.3">
      <c r="A193" s="5" t="s">
        <v>405</v>
      </c>
      <c r="B193" s="5" t="s">
        <v>406</v>
      </c>
      <c r="C193" s="4" t="s">
        <v>407</v>
      </c>
      <c r="D193" s="5" t="s">
        <v>46</v>
      </c>
      <c r="E193" s="6">
        <v>4000</v>
      </c>
      <c r="G193" s="5">
        <f t="shared" si="7"/>
        <v>4000</v>
      </c>
      <c r="I193" s="4">
        <v>785</v>
      </c>
    </row>
    <row r="194" spans="1:9" x14ac:dyDescent="0.3">
      <c r="A194" s="5" t="s">
        <v>408</v>
      </c>
      <c r="B194" s="5" t="s">
        <v>409</v>
      </c>
      <c r="C194" s="4" t="s">
        <v>407</v>
      </c>
      <c r="D194" s="5" t="s">
        <v>360</v>
      </c>
      <c r="E194" s="6">
        <v>84000</v>
      </c>
      <c r="F194" s="4">
        <v>65595</v>
      </c>
      <c r="G194" s="5">
        <f t="shared" si="7"/>
        <v>18405</v>
      </c>
      <c r="H194" s="5" t="s">
        <v>260</v>
      </c>
      <c r="I194" s="4">
        <v>5045</v>
      </c>
    </row>
    <row r="195" spans="1:9" x14ac:dyDescent="0.3">
      <c r="A195" s="5" t="s">
        <v>410</v>
      </c>
      <c r="B195" s="5" t="s">
        <v>411</v>
      </c>
      <c r="C195" s="4" t="s">
        <v>407</v>
      </c>
      <c r="D195" s="5" t="s">
        <v>38</v>
      </c>
      <c r="E195" s="6">
        <v>3400</v>
      </c>
      <c r="G195" s="5">
        <f t="shared" si="7"/>
        <v>3400</v>
      </c>
      <c r="I195" s="4">
        <v>1650</v>
      </c>
    </row>
    <row r="196" spans="1:9" x14ac:dyDescent="0.3">
      <c r="A196" s="5" t="s">
        <v>412</v>
      </c>
      <c r="B196" s="5" t="s">
        <v>413</v>
      </c>
      <c r="C196" s="4" t="s">
        <v>407</v>
      </c>
      <c r="D196" s="4" t="s">
        <v>414</v>
      </c>
      <c r="E196" s="6">
        <v>22127</v>
      </c>
      <c r="F196" s="4">
        <v>2250</v>
      </c>
      <c r="G196" s="5">
        <f t="shared" si="7"/>
        <v>19877</v>
      </c>
    </row>
    <row r="197" spans="1:9" x14ac:dyDescent="0.3">
      <c r="A197" s="5" t="s">
        <v>377</v>
      </c>
      <c r="B197" s="5" t="s">
        <v>378</v>
      </c>
      <c r="C197" s="4" t="s">
        <v>415</v>
      </c>
      <c r="D197" s="4" t="s">
        <v>1824</v>
      </c>
      <c r="E197" s="5">
        <v>24600</v>
      </c>
      <c r="F197" s="4">
        <v>3850</v>
      </c>
      <c r="G197" s="5">
        <f t="shared" si="7"/>
        <v>20750</v>
      </c>
      <c r="H197" s="5" t="s">
        <v>1825</v>
      </c>
      <c r="I197" s="4">
        <v>550</v>
      </c>
    </row>
    <row r="198" spans="1:9" x14ac:dyDescent="0.3">
      <c r="A198" s="5" t="s">
        <v>1488</v>
      </c>
      <c r="B198" s="5" t="s">
        <v>416</v>
      </c>
      <c r="C198" s="4" t="s">
        <v>417</v>
      </c>
      <c r="D198" s="5" t="s">
        <v>418</v>
      </c>
      <c r="E198" s="6">
        <v>42000</v>
      </c>
      <c r="F198" s="4">
        <v>2000</v>
      </c>
      <c r="G198" s="5">
        <f t="shared" si="7"/>
        <v>40000</v>
      </c>
      <c r="H198" s="5" t="s">
        <v>628</v>
      </c>
      <c r="I198" s="4">
        <v>10000</v>
      </c>
    </row>
    <row r="199" spans="1:9" x14ac:dyDescent="0.3">
      <c r="A199" s="5" t="s">
        <v>419</v>
      </c>
      <c r="B199" s="5" t="s">
        <v>420</v>
      </c>
      <c r="C199" s="4" t="s">
        <v>421</v>
      </c>
      <c r="D199" s="5" t="s">
        <v>260</v>
      </c>
      <c r="E199" s="6">
        <v>1150</v>
      </c>
      <c r="F199" s="4">
        <v>220</v>
      </c>
      <c r="G199" s="5">
        <f t="shared" si="7"/>
        <v>930</v>
      </c>
      <c r="I199" s="4">
        <v>285</v>
      </c>
    </row>
    <row r="200" spans="1:9" x14ac:dyDescent="0.3">
      <c r="A200" s="5" t="s">
        <v>422</v>
      </c>
      <c r="B200" s="5" t="s">
        <v>423</v>
      </c>
      <c r="C200" s="4" t="s">
        <v>421</v>
      </c>
      <c r="D200" s="5" t="s">
        <v>60</v>
      </c>
      <c r="E200" s="6">
        <v>10000</v>
      </c>
      <c r="G200" s="5">
        <f t="shared" si="7"/>
        <v>10000</v>
      </c>
      <c r="I200" s="4">
        <v>800</v>
      </c>
    </row>
    <row r="201" spans="1:9" x14ac:dyDescent="0.3">
      <c r="A201" s="4" t="s">
        <v>424</v>
      </c>
      <c r="B201" s="5" t="s">
        <v>425</v>
      </c>
      <c r="C201" s="4" t="s">
        <v>421</v>
      </c>
      <c r="D201" s="5" t="s">
        <v>426</v>
      </c>
      <c r="E201" s="6">
        <v>4536</v>
      </c>
      <c r="G201" s="5">
        <f t="shared" si="7"/>
        <v>4536</v>
      </c>
      <c r="I201" s="4">
        <v>567</v>
      </c>
    </row>
    <row r="202" spans="1:9" x14ac:dyDescent="0.3">
      <c r="A202" s="5" t="s">
        <v>1133</v>
      </c>
      <c r="B202" s="5" t="s">
        <v>416</v>
      </c>
      <c r="C202" s="4" t="s">
        <v>1936</v>
      </c>
      <c r="D202" s="5" t="s">
        <v>1487</v>
      </c>
      <c r="E202" s="5">
        <v>174000</v>
      </c>
      <c r="G202" s="5">
        <f t="shared" si="7"/>
        <v>174000</v>
      </c>
      <c r="I202" s="4">
        <v>1000</v>
      </c>
    </row>
    <row r="203" spans="1:9" x14ac:dyDescent="0.3">
      <c r="A203" s="4" t="s">
        <v>1939</v>
      </c>
      <c r="B203" s="5" t="s">
        <v>1885</v>
      </c>
      <c r="C203" s="4" t="s">
        <v>1497</v>
      </c>
      <c r="D203" s="5" t="s">
        <v>165</v>
      </c>
      <c r="E203" s="6">
        <v>600</v>
      </c>
      <c r="G203" s="5">
        <f t="shared" si="7"/>
        <v>600</v>
      </c>
    </row>
    <row r="204" spans="1:9" x14ac:dyDescent="0.3">
      <c r="A204" s="4" t="s">
        <v>1938</v>
      </c>
      <c r="B204" s="5" t="s">
        <v>1896</v>
      </c>
      <c r="C204" s="4" t="s">
        <v>1497</v>
      </c>
      <c r="D204" s="5" t="s">
        <v>2009</v>
      </c>
      <c r="E204" s="6">
        <v>1947</v>
      </c>
      <c r="F204" s="4">
        <v>12</v>
      </c>
      <c r="G204" s="5">
        <f t="shared" si="7"/>
        <v>1935</v>
      </c>
    </row>
    <row r="205" spans="1:9" x14ac:dyDescent="0.3">
      <c r="A205" s="4" t="s">
        <v>1940</v>
      </c>
      <c r="B205" s="5" t="s">
        <v>1886</v>
      </c>
      <c r="C205" s="4" t="s">
        <v>1497</v>
      </c>
      <c r="D205" s="5" t="s">
        <v>169</v>
      </c>
      <c r="E205" s="6">
        <v>50</v>
      </c>
      <c r="G205" s="5">
        <f t="shared" si="7"/>
        <v>50</v>
      </c>
    </row>
    <row r="206" spans="1:9" x14ac:dyDescent="0.3">
      <c r="A206" s="4" t="s">
        <v>1941</v>
      </c>
      <c r="B206" s="5" t="s">
        <v>1887</v>
      </c>
      <c r="C206" s="4" t="s">
        <v>1497</v>
      </c>
      <c r="D206" s="5" t="s">
        <v>260</v>
      </c>
      <c r="E206" s="6">
        <v>550</v>
      </c>
      <c r="G206" s="5">
        <f t="shared" si="7"/>
        <v>550</v>
      </c>
    </row>
    <row r="207" spans="1:9" x14ac:dyDescent="0.3">
      <c r="A207" s="4" t="s">
        <v>1942</v>
      </c>
      <c r="B207" s="5" t="s">
        <v>1310</v>
      </c>
      <c r="C207" s="4" t="s">
        <v>1497</v>
      </c>
      <c r="D207" s="5" t="s">
        <v>1162</v>
      </c>
      <c r="E207" s="6">
        <v>700</v>
      </c>
      <c r="G207" s="5">
        <f t="shared" si="7"/>
        <v>700</v>
      </c>
    </row>
    <row r="208" spans="1:9" x14ac:dyDescent="0.3">
      <c r="A208" s="4" t="s">
        <v>2150</v>
      </c>
      <c r="B208" s="5" t="s">
        <v>2149</v>
      </c>
      <c r="C208" s="4" t="s">
        <v>1497</v>
      </c>
      <c r="D208" s="5" t="s">
        <v>529</v>
      </c>
      <c r="E208" s="6">
        <v>19</v>
      </c>
      <c r="G208" s="5">
        <f t="shared" si="7"/>
        <v>19</v>
      </c>
    </row>
    <row r="209" spans="1:9" x14ac:dyDescent="0.3">
      <c r="A209" s="5" t="s">
        <v>427</v>
      </c>
      <c r="B209" s="5" t="s">
        <v>428</v>
      </c>
      <c r="C209" s="4" t="s">
        <v>429</v>
      </c>
      <c r="D209" s="5" t="s">
        <v>60</v>
      </c>
      <c r="E209" s="6">
        <v>13000</v>
      </c>
      <c r="F209" s="4">
        <v>7000</v>
      </c>
      <c r="G209" s="5">
        <f t="shared" si="7"/>
        <v>6000</v>
      </c>
      <c r="H209" s="5" t="s">
        <v>20</v>
      </c>
      <c r="I209" s="4">
        <v>1000</v>
      </c>
    </row>
    <row r="210" spans="1:9" x14ac:dyDescent="0.3">
      <c r="A210" s="5" t="s">
        <v>430</v>
      </c>
      <c r="B210" s="5" t="s">
        <v>431</v>
      </c>
      <c r="C210" s="4" t="s">
        <v>429</v>
      </c>
      <c r="D210" s="5" t="s">
        <v>38</v>
      </c>
      <c r="E210" s="6">
        <v>4375</v>
      </c>
      <c r="G210" s="5">
        <f t="shared" si="7"/>
        <v>4375</v>
      </c>
      <c r="I210" s="4">
        <v>2185</v>
      </c>
    </row>
    <row r="211" spans="1:9" x14ac:dyDescent="0.3">
      <c r="A211" s="5" t="s">
        <v>432</v>
      </c>
      <c r="B211" s="5" t="s">
        <v>433</v>
      </c>
      <c r="C211" s="4" t="s">
        <v>429</v>
      </c>
      <c r="D211" s="5" t="s">
        <v>20</v>
      </c>
      <c r="E211" s="6">
        <v>4500</v>
      </c>
      <c r="F211" s="4">
        <v>750</v>
      </c>
      <c r="G211" s="5">
        <f t="shared" si="7"/>
        <v>3750</v>
      </c>
      <c r="H211" s="5" t="s">
        <v>46</v>
      </c>
      <c r="I211" s="4">
        <v>750</v>
      </c>
    </row>
    <row r="212" spans="1:9" x14ac:dyDescent="0.3">
      <c r="A212" s="5" t="s">
        <v>434</v>
      </c>
      <c r="B212" s="5" t="s">
        <v>435</v>
      </c>
      <c r="C212" s="4" t="s">
        <v>429</v>
      </c>
      <c r="D212" s="4" t="s">
        <v>38</v>
      </c>
      <c r="E212" s="6">
        <v>1200</v>
      </c>
      <c r="G212" s="5">
        <f t="shared" si="7"/>
        <v>1200</v>
      </c>
      <c r="I212" s="4">
        <v>600</v>
      </c>
    </row>
    <row r="213" spans="1:9" x14ac:dyDescent="0.3">
      <c r="A213" s="5" t="s">
        <v>436</v>
      </c>
      <c r="B213" s="5" t="s">
        <v>437</v>
      </c>
      <c r="C213" s="4" t="s">
        <v>438</v>
      </c>
      <c r="D213" s="5" t="s">
        <v>439</v>
      </c>
      <c r="E213" s="5">
        <v>1800</v>
      </c>
      <c r="G213" s="5">
        <f t="shared" ref="G213:G222" si="8">E213-F213</f>
        <v>1800</v>
      </c>
    </row>
    <row r="214" spans="1:9" x14ac:dyDescent="0.3">
      <c r="A214" s="5" t="s">
        <v>440</v>
      </c>
      <c r="B214" s="5" t="s">
        <v>441</v>
      </c>
      <c r="C214" s="4" t="s">
        <v>438</v>
      </c>
      <c r="D214" s="5" t="s">
        <v>60</v>
      </c>
      <c r="E214" s="6">
        <v>6654</v>
      </c>
      <c r="G214" s="5">
        <f t="shared" si="8"/>
        <v>6654</v>
      </c>
      <c r="I214" s="4">
        <v>510</v>
      </c>
    </row>
    <row r="215" spans="1:9" x14ac:dyDescent="0.3">
      <c r="A215" s="5" t="s">
        <v>442</v>
      </c>
      <c r="B215" s="5" t="s">
        <v>443</v>
      </c>
      <c r="C215" s="4" t="s">
        <v>438</v>
      </c>
      <c r="D215" s="5" t="s">
        <v>444</v>
      </c>
      <c r="E215" s="6">
        <v>14000</v>
      </c>
      <c r="F215" s="4">
        <v>3000</v>
      </c>
      <c r="G215" s="5">
        <f t="shared" si="8"/>
        <v>11000</v>
      </c>
      <c r="H215" s="5" t="s">
        <v>19</v>
      </c>
      <c r="I215" s="4">
        <v>1000</v>
      </c>
    </row>
    <row r="216" spans="1:9" x14ac:dyDescent="0.3">
      <c r="A216" s="5" t="s">
        <v>445</v>
      </c>
      <c r="B216" s="5" t="s">
        <v>446</v>
      </c>
      <c r="C216" s="4" t="s">
        <v>438</v>
      </c>
      <c r="D216" s="5" t="s">
        <v>1427</v>
      </c>
      <c r="E216" s="5">
        <v>1500</v>
      </c>
      <c r="G216" s="5">
        <f t="shared" si="8"/>
        <v>1500</v>
      </c>
    </row>
    <row r="217" spans="1:9" x14ac:dyDescent="0.3">
      <c r="A217" s="5" t="s">
        <v>447</v>
      </c>
      <c r="B217" s="5" t="s">
        <v>448</v>
      </c>
      <c r="C217" s="4" t="s">
        <v>449</v>
      </c>
      <c r="D217" s="5" t="s">
        <v>301</v>
      </c>
      <c r="E217" s="6">
        <v>200</v>
      </c>
      <c r="G217" s="5">
        <f t="shared" si="8"/>
        <v>200</v>
      </c>
      <c r="I217" s="4">
        <v>100</v>
      </c>
    </row>
    <row r="218" spans="1:9" x14ac:dyDescent="0.3">
      <c r="A218" s="5" t="s">
        <v>450</v>
      </c>
      <c r="B218" s="5" t="s">
        <v>451</v>
      </c>
      <c r="C218" s="4" t="s">
        <v>449</v>
      </c>
      <c r="D218" s="5" t="s">
        <v>131</v>
      </c>
      <c r="E218" s="6">
        <v>260</v>
      </c>
      <c r="G218" s="5">
        <f t="shared" si="8"/>
        <v>260</v>
      </c>
    </row>
    <row r="219" spans="1:9" x14ac:dyDescent="0.3">
      <c r="A219" s="5" t="s">
        <v>452</v>
      </c>
      <c r="B219" s="5" t="s">
        <v>453</v>
      </c>
      <c r="C219" s="4" t="s">
        <v>449</v>
      </c>
      <c r="D219" s="4" t="s">
        <v>131</v>
      </c>
      <c r="E219" s="6">
        <v>60</v>
      </c>
      <c r="G219" s="5">
        <f t="shared" si="8"/>
        <v>60</v>
      </c>
      <c r="I219" s="4">
        <v>25</v>
      </c>
    </row>
    <row r="220" spans="1:9" x14ac:dyDescent="0.3">
      <c r="A220" s="5" t="s">
        <v>2000</v>
      </c>
      <c r="B220" s="5" t="s">
        <v>1970</v>
      </c>
      <c r="C220" s="4" t="s">
        <v>1881</v>
      </c>
      <c r="D220" s="4" t="s">
        <v>169</v>
      </c>
      <c r="E220" s="6">
        <v>1000</v>
      </c>
      <c r="G220" s="5">
        <f t="shared" si="8"/>
        <v>1000</v>
      </c>
    </row>
    <row r="221" spans="1:9" x14ac:dyDescent="0.3">
      <c r="A221" s="5" t="s">
        <v>1879</v>
      </c>
      <c r="B221" s="5" t="s">
        <v>1880</v>
      </c>
      <c r="C221" s="4" t="s">
        <v>1881</v>
      </c>
      <c r="D221" s="4" t="s">
        <v>29</v>
      </c>
      <c r="E221" s="6">
        <v>260</v>
      </c>
      <c r="G221" s="5">
        <f t="shared" si="8"/>
        <v>260</v>
      </c>
    </row>
    <row r="222" spans="1:9" x14ac:dyDescent="0.3">
      <c r="A222" s="5" t="s">
        <v>1996</v>
      </c>
      <c r="B222" s="5" t="s">
        <v>1997</v>
      </c>
      <c r="C222" s="4" t="s">
        <v>1990</v>
      </c>
      <c r="D222" s="4" t="s">
        <v>169</v>
      </c>
      <c r="E222" s="6">
        <v>104</v>
      </c>
      <c r="G222" s="5">
        <f t="shared" si="8"/>
        <v>104</v>
      </c>
    </row>
    <row r="223" spans="1:9" x14ac:dyDescent="0.3">
      <c r="A223" s="5" t="s">
        <v>1989</v>
      </c>
      <c r="B223" s="5" t="s">
        <v>1969</v>
      </c>
      <c r="C223" s="4" t="s">
        <v>1990</v>
      </c>
      <c r="D223" s="4" t="s">
        <v>169</v>
      </c>
      <c r="E223" s="6">
        <v>110</v>
      </c>
      <c r="G223" s="5">
        <v>110</v>
      </c>
    </row>
    <row r="224" spans="1:9" x14ac:dyDescent="0.3">
      <c r="A224" s="5" t="s">
        <v>1993</v>
      </c>
      <c r="B224" s="5" t="s">
        <v>1323</v>
      </c>
      <c r="C224" s="4" t="s">
        <v>458</v>
      </c>
      <c r="D224" s="4" t="s">
        <v>169</v>
      </c>
      <c r="E224" s="6">
        <v>104</v>
      </c>
      <c r="G224" s="5">
        <v>104</v>
      </c>
    </row>
    <row r="225" spans="1:9" x14ac:dyDescent="0.3">
      <c r="A225" s="5" t="s">
        <v>2114</v>
      </c>
      <c r="B225" s="5" t="s">
        <v>932</v>
      </c>
      <c r="C225" s="4" t="s">
        <v>2113</v>
      </c>
      <c r="D225" s="4" t="s">
        <v>2115</v>
      </c>
      <c r="E225" s="6">
        <v>1500</v>
      </c>
      <c r="F225" s="4">
        <v>100</v>
      </c>
      <c r="G225" s="5">
        <f>E225-F225</f>
        <v>1400</v>
      </c>
      <c r="I225" s="4" t="s">
        <v>2116</v>
      </c>
    </row>
    <row r="226" spans="1:9" x14ac:dyDescent="0.3">
      <c r="A226" s="5" t="s">
        <v>1994</v>
      </c>
      <c r="B226" s="5" t="s">
        <v>1995</v>
      </c>
      <c r="C226" s="4" t="s">
        <v>2113</v>
      </c>
      <c r="D226" s="4" t="s">
        <v>169</v>
      </c>
      <c r="E226" s="6">
        <v>106</v>
      </c>
      <c r="G226" s="5">
        <v>106</v>
      </c>
    </row>
    <row r="227" spans="1:9" x14ac:dyDescent="0.3">
      <c r="A227" s="5" t="s">
        <v>2012</v>
      </c>
      <c r="B227" s="5" t="s">
        <v>2013</v>
      </c>
      <c r="C227" s="4" t="s">
        <v>2014</v>
      </c>
      <c r="D227" s="4" t="s">
        <v>169</v>
      </c>
      <c r="E227" s="6">
        <v>765</v>
      </c>
      <c r="F227" s="4">
        <v>765</v>
      </c>
    </row>
    <row r="228" spans="1:9" x14ac:dyDescent="0.3">
      <c r="A228" s="5" t="s">
        <v>2058</v>
      </c>
      <c r="B228" s="5" t="s">
        <v>1971</v>
      </c>
      <c r="C228" s="4" t="s">
        <v>2014</v>
      </c>
      <c r="D228" s="5" t="s">
        <v>131</v>
      </c>
      <c r="E228" s="5">
        <v>200</v>
      </c>
      <c r="G228" s="5">
        <v>200</v>
      </c>
    </row>
    <row r="229" spans="1:9" x14ac:dyDescent="0.3">
      <c r="A229" s="5" t="s">
        <v>2015</v>
      </c>
      <c r="B229" s="5" t="s">
        <v>2016</v>
      </c>
      <c r="C229" s="4" t="s">
        <v>2014</v>
      </c>
      <c r="D229" s="4" t="s">
        <v>29</v>
      </c>
      <c r="E229" s="6">
        <v>2000</v>
      </c>
      <c r="F229" s="4">
        <v>2000</v>
      </c>
    </row>
    <row r="230" spans="1:9" x14ac:dyDescent="0.3">
      <c r="A230" s="5" t="s">
        <v>1726</v>
      </c>
      <c r="B230" s="5" t="s">
        <v>695</v>
      </c>
      <c r="C230" s="4" t="s">
        <v>461</v>
      </c>
      <c r="D230" s="5" t="s">
        <v>100</v>
      </c>
      <c r="E230" s="5">
        <v>9775</v>
      </c>
      <c r="G230" s="5">
        <v>9775</v>
      </c>
    </row>
    <row r="231" spans="1:9" x14ac:dyDescent="0.3">
      <c r="A231" s="5" t="s">
        <v>1937</v>
      </c>
      <c r="C231" s="4" t="s">
        <v>461</v>
      </c>
      <c r="D231" s="4" t="s">
        <v>529</v>
      </c>
      <c r="E231" s="6"/>
      <c r="G231" s="5">
        <f t="shared" ref="G231:G238" si="9">E231-F231</f>
        <v>0</v>
      </c>
    </row>
    <row r="232" spans="1:9" x14ac:dyDescent="0.3">
      <c r="A232" s="5" t="s">
        <v>2147</v>
      </c>
      <c r="B232" s="5" t="s">
        <v>2148</v>
      </c>
      <c r="C232" s="4" t="s">
        <v>2047</v>
      </c>
      <c r="D232" s="4" t="s">
        <v>180</v>
      </c>
      <c r="E232" s="6">
        <v>345</v>
      </c>
      <c r="G232" s="5">
        <f t="shared" si="9"/>
        <v>345</v>
      </c>
    </row>
    <row r="233" spans="1:9" x14ac:dyDescent="0.3">
      <c r="A233" s="5" t="s">
        <v>2123</v>
      </c>
      <c r="B233" s="5" t="s">
        <v>2124</v>
      </c>
      <c r="C233" s="4" t="s">
        <v>2047</v>
      </c>
      <c r="D233" s="4" t="s">
        <v>169</v>
      </c>
      <c r="E233" s="6">
        <v>250</v>
      </c>
      <c r="G233" s="5">
        <f t="shared" si="9"/>
        <v>250</v>
      </c>
    </row>
    <row r="234" spans="1:9" x14ac:dyDescent="0.3">
      <c r="A234" s="5" t="s">
        <v>459</v>
      </c>
      <c r="B234" s="5" t="s">
        <v>460</v>
      </c>
      <c r="C234" s="4" t="s">
        <v>2047</v>
      </c>
      <c r="D234" s="4" t="s">
        <v>165</v>
      </c>
      <c r="E234" s="6">
        <v>600</v>
      </c>
      <c r="G234" s="5">
        <f t="shared" si="9"/>
        <v>600</v>
      </c>
      <c r="I234" s="4">
        <v>300</v>
      </c>
    </row>
    <row r="235" spans="1:9" x14ac:dyDescent="0.3">
      <c r="A235" s="4" t="s">
        <v>527</v>
      </c>
      <c r="B235" s="5" t="s">
        <v>528</v>
      </c>
      <c r="C235" s="4" t="s">
        <v>1934</v>
      </c>
      <c r="D235" s="5" t="s">
        <v>1944</v>
      </c>
      <c r="E235" s="6">
        <v>180</v>
      </c>
      <c r="G235" s="5">
        <f t="shared" si="9"/>
        <v>180</v>
      </c>
    </row>
    <row r="236" spans="1:9" x14ac:dyDescent="0.3">
      <c r="A236" s="4" t="s">
        <v>1499</v>
      </c>
      <c r="B236" s="5" t="s">
        <v>1495</v>
      </c>
      <c r="C236" s="4" t="s">
        <v>1934</v>
      </c>
      <c r="D236" s="5" t="s">
        <v>29</v>
      </c>
      <c r="E236" s="6">
        <v>160</v>
      </c>
      <c r="G236" s="5">
        <f t="shared" si="9"/>
        <v>160</v>
      </c>
    </row>
    <row r="237" spans="1:9" x14ac:dyDescent="0.3">
      <c r="A237" s="4" t="s">
        <v>1935</v>
      </c>
      <c r="B237" s="5" t="s">
        <v>684</v>
      </c>
      <c r="C237" s="4" t="s">
        <v>1934</v>
      </c>
      <c r="D237" s="5" t="s">
        <v>29</v>
      </c>
      <c r="E237" s="6"/>
      <c r="G237" s="5">
        <f t="shared" si="9"/>
        <v>0</v>
      </c>
    </row>
    <row r="238" spans="1:9" x14ac:dyDescent="0.3">
      <c r="A238" s="4" t="s">
        <v>2130</v>
      </c>
      <c r="B238" s="5" t="s">
        <v>745</v>
      </c>
      <c r="C238" s="4" t="s">
        <v>2131</v>
      </c>
      <c r="D238" s="5" t="s">
        <v>169</v>
      </c>
      <c r="E238" s="6">
        <v>100</v>
      </c>
      <c r="G238" s="5">
        <f t="shared" si="9"/>
        <v>100</v>
      </c>
    </row>
    <row r="239" spans="1:9" x14ac:dyDescent="0.3">
      <c r="A239" s="4" t="s">
        <v>2003</v>
      </c>
      <c r="B239" s="5" t="s">
        <v>622</v>
      </c>
      <c r="C239" s="4" t="s">
        <v>2004</v>
      </c>
      <c r="D239" s="5" t="s">
        <v>2005</v>
      </c>
      <c r="E239" s="6">
        <v>900</v>
      </c>
      <c r="G239" s="5">
        <v>900</v>
      </c>
    </row>
    <row r="240" spans="1:9" x14ac:dyDescent="0.3">
      <c r="A240" s="4" t="s">
        <v>2006</v>
      </c>
      <c r="B240" s="5" t="s">
        <v>387</v>
      </c>
      <c r="C240" s="4" t="s">
        <v>2004</v>
      </c>
      <c r="D240" s="5" t="s">
        <v>529</v>
      </c>
      <c r="E240" s="6">
        <v>100</v>
      </c>
      <c r="G240" s="5">
        <v>100</v>
      </c>
    </row>
    <row r="241" spans="1:9" x14ac:dyDescent="0.3">
      <c r="A241" s="4" t="s">
        <v>2007</v>
      </c>
      <c r="B241" s="5" t="s">
        <v>416</v>
      </c>
      <c r="C241" s="4" t="s">
        <v>2004</v>
      </c>
      <c r="D241" s="5" t="s">
        <v>529</v>
      </c>
      <c r="E241" s="6">
        <v>100</v>
      </c>
      <c r="G241" s="5">
        <v>100</v>
      </c>
    </row>
    <row r="242" spans="1:9" x14ac:dyDescent="0.3">
      <c r="A242" s="4" t="s">
        <v>2008</v>
      </c>
      <c r="B242" s="5" t="s">
        <v>525</v>
      </c>
      <c r="C242" s="4" t="s">
        <v>2004</v>
      </c>
      <c r="D242" s="5" t="s">
        <v>685</v>
      </c>
      <c r="E242" s="6">
        <v>50</v>
      </c>
      <c r="G242" s="5">
        <v>50</v>
      </c>
    </row>
    <row r="243" spans="1:9" x14ac:dyDescent="0.3">
      <c r="A243" s="4" t="s">
        <v>2158</v>
      </c>
      <c r="C243" s="4" t="s">
        <v>472</v>
      </c>
      <c r="D243" s="5" t="s">
        <v>180</v>
      </c>
      <c r="E243" s="6">
        <v>220</v>
      </c>
      <c r="G243" s="6">
        <f>E243-F243</f>
        <v>220</v>
      </c>
    </row>
    <row r="244" spans="1:9" x14ac:dyDescent="0.3">
      <c r="A244" s="4" t="s">
        <v>2057</v>
      </c>
      <c r="B244" s="5" t="s">
        <v>2056</v>
      </c>
      <c r="C244" s="4" t="s">
        <v>472</v>
      </c>
      <c r="D244" s="5" t="s">
        <v>169</v>
      </c>
      <c r="E244" s="6">
        <v>80</v>
      </c>
      <c r="G244" s="5">
        <v>80</v>
      </c>
    </row>
    <row r="245" spans="1:9" x14ac:dyDescent="0.3">
      <c r="A245" s="5" t="s">
        <v>473</v>
      </c>
      <c r="B245" s="5" t="s">
        <v>474</v>
      </c>
      <c r="C245" s="4" t="s">
        <v>472</v>
      </c>
      <c r="D245" s="5" t="s">
        <v>169</v>
      </c>
      <c r="E245" s="6">
        <v>250</v>
      </c>
      <c r="G245" s="5">
        <f t="shared" ref="G245:G264" si="10">E245-F245</f>
        <v>250</v>
      </c>
      <c r="I245" s="4">
        <v>250</v>
      </c>
    </row>
    <row r="246" spans="1:9" x14ac:dyDescent="0.3">
      <c r="A246" s="5" t="s">
        <v>475</v>
      </c>
      <c r="B246" s="5" t="s">
        <v>476</v>
      </c>
      <c r="C246" s="4" t="s">
        <v>472</v>
      </c>
      <c r="D246" s="5" t="s">
        <v>265</v>
      </c>
      <c r="E246" s="5">
        <v>750</v>
      </c>
      <c r="G246" s="5">
        <f t="shared" si="10"/>
        <v>750</v>
      </c>
      <c r="I246" s="4">
        <v>250</v>
      </c>
    </row>
    <row r="247" spans="1:9" x14ac:dyDescent="0.3">
      <c r="A247" s="5" t="s">
        <v>477</v>
      </c>
      <c r="B247" s="5" t="s">
        <v>478</v>
      </c>
      <c r="C247" s="4" t="s">
        <v>472</v>
      </c>
      <c r="D247" s="5" t="s">
        <v>169</v>
      </c>
      <c r="E247" s="5">
        <v>19</v>
      </c>
      <c r="G247" s="5">
        <f t="shared" si="10"/>
        <v>19</v>
      </c>
      <c r="I247" s="4">
        <v>19</v>
      </c>
    </row>
    <row r="248" spans="1:9" x14ac:dyDescent="0.3">
      <c r="A248" s="5" t="s">
        <v>479</v>
      </c>
      <c r="B248" s="5" t="s">
        <v>480</v>
      </c>
      <c r="C248" s="4" t="s">
        <v>472</v>
      </c>
      <c r="E248" s="5">
        <v>273</v>
      </c>
      <c r="F248" s="4">
        <v>50</v>
      </c>
      <c r="G248" s="5">
        <f t="shared" si="10"/>
        <v>223</v>
      </c>
      <c r="I248" s="4">
        <v>273</v>
      </c>
    </row>
    <row r="249" spans="1:9" x14ac:dyDescent="0.3">
      <c r="A249" s="5" t="s">
        <v>2104</v>
      </c>
      <c r="B249" s="5" t="s">
        <v>2105</v>
      </c>
      <c r="C249" s="4" t="s">
        <v>472</v>
      </c>
      <c r="D249" s="5" t="s">
        <v>169</v>
      </c>
      <c r="E249" s="5">
        <v>20</v>
      </c>
      <c r="G249" s="5">
        <f t="shared" si="10"/>
        <v>20</v>
      </c>
    </row>
    <row r="250" spans="1:9" x14ac:dyDescent="0.3">
      <c r="A250" s="5" t="s">
        <v>481</v>
      </c>
      <c r="B250" s="5" t="s">
        <v>482</v>
      </c>
      <c r="C250" s="4" t="s">
        <v>472</v>
      </c>
      <c r="D250" s="5" t="s">
        <v>169</v>
      </c>
      <c r="E250" s="5">
        <v>2308</v>
      </c>
      <c r="G250" s="5">
        <f t="shared" si="10"/>
        <v>2308</v>
      </c>
      <c r="I250" s="4">
        <v>2308</v>
      </c>
    </row>
    <row r="251" spans="1:9" x14ac:dyDescent="0.3">
      <c r="A251" s="5" t="s">
        <v>483</v>
      </c>
      <c r="B251" s="5" t="s">
        <v>484</v>
      </c>
      <c r="C251" s="4" t="s">
        <v>472</v>
      </c>
      <c r="D251" s="5" t="s">
        <v>1428</v>
      </c>
      <c r="E251" s="5">
        <v>2296</v>
      </c>
      <c r="G251" s="5">
        <f t="shared" si="10"/>
        <v>2296</v>
      </c>
    </row>
    <row r="252" spans="1:9" x14ac:dyDescent="0.3">
      <c r="A252" s="5" t="s">
        <v>485</v>
      </c>
      <c r="B252" s="5" t="s">
        <v>486</v>
      </c>
      <c r="C252" s="4" t="s">
        <v>472</v>
      </c>
      <c r="D252" s="6" t="s">
        <v>29</v>
      </c>
      <c r="E252" s="5">
        <v>47</v>
      </c>
      <c r="G252" s="5">
        <f t="shared" si="10"/>
        <v>47</v>
      </c>
      <c r="I252" s="4">
        <v>47</v>
      </c>
    </row>
    <row r="253" spans="1:9" x14ac:dyDescent="0.3">
      <c r="A253" s="5" t="s">
        <v>487</v>
      </c>
      <c r="B253" s="5" t="s">
        <v>488</v>
      </c>
      <c r="C253" s="4" t="s">
        <v>472</v>
      </c>
      <c r="D253" s="5" t="s">
        <v>265</v>
      </c>
      <c r="E253" s="5">
        <v>3000</v>
      </c>
      <c r="F253" s="4">
        <v>2000</v>
      </c>
      <c r="G253" s="5">
        <f t="shared" si="10"/>
        <v>1000</v>
      </c>
      <c r="I253" s="4">
        <v>1500</v>
      </c>
    </row>
    <row r="254" spans="1:9" x14ac:dyDescent="0.3">
      <c r="A254" s="5" t="s">
        <v>1734</v>
      </c>
      <c r="B254" s="5" t="s">
        <v>1735</v>
      </c>
      <c r="C254" s="4" t="s">
        <v>472</v>
      </c>
      <c r="D254" s="5" t="s">
        <v>169</v>
      </c>
      <c r="E254" s="5">
        <v>300</v>
      </c>
      <c r="G254" s="5">
        <f t="shared" si="10"/>
        <v>300</v>
      </c>
    </row>
    <row r="255" spans="1:9" x14ac:dyDescent="0.3">
      <c r="A255" s="5" t="s">
        <v>1158</v>
      </c>
      <c r="B255" s="5" t="s">
        <v>1950</v>
      </c>
      <c r="C255" s="4" t="s">
        <v>472</v>
      </c>
      <c r="D255" s="5" t="s">
        <v>131</v>
      </c>
      <c r="E255" s="5">
        <v>328</v>
      </c>
      <c r="G255" s="5">
        <f t="shared" si="10"/>
        <v>328</v>
      </c>
    </row>
    <row r="256" spans="1:9" x14ac:dyDescent="0.3">
      <c r="A256" s="5" t="s">
        <v>489</v>
      </c>
      <c r="B256" s="5" t="s">
        <v>490</v>
      </c>
      <c r="C256" s="4" t="s">
        <v>491</v>
      </c>
      <c r="D256" s="5" t="s">
        <v>131</v>
      </c>
      <c r="E256" s="5">
        <v>350</v>
      </c>
      <c r="G256" s="5">
        <f t="shared" si="10"/>
        <v>350</v>
      </c>
      <c r="I256" s="4">
        <v>350</v>
      </c>
    </row>
    <row r="257" spans="1:9" x14ac:dyDescent="0.3">
      <c r="A257" s="5" t="s">
        <v>492</v>
      </c>
      <c r="B257" s="5" t="s">
        <v>493</v>
      </c>
      <c r="C257" s="4" t="s">
        <v>491</v>
      </c>
      <c r="D257" s="5" t="s">
        <v>165</v>
      </c>
      <c r="E257" s="5">
        <v>106</v>
      </c>
      <c r="F257" s="4">
        <v>60</v>
      </c>
      <c r="G257" s="5">
        <f t="shared" si="10"/>
        <v>46</v>
      </c>
      <c r="H257" s="5" t="s">
        <v>169</v>
      </c>
      <c r="I257" s="4">
        <v>53</v>
      </c>
    </row>
    <row r="258" spans="1:9" x14ac:dyDescent="0.3">
      <c r="A258" s="5" t="s">
        <v>494</v>
      </c>
      <c r="B258" s="5" t="s">
        <v>495</v>
      </c>
      <c r="C258" s="4" t="s">
        <v>491</v>
      </c>
      <c r="D258" s="4" t="s">
        <v>260</v>
      </c>
      <c r="E258" s="6">
        <v>500</v>
      </c>
      <c r="F258" s="4">
        <v>160</v>
      </c>
      <c r="G258" s="5">
        <f t="shared" si="10"/>
        <v>340</v>
      </c>
      <c r="H258" s="5" t="s">
        <v>265</v>
      </c>
      <c r="I258" s="4">
        <v>125</v>
      </c>
    </row>
    <row r="259" spans="1:9" x14ac:dyDescent="0.3">
      <c r="A259" s="5" t="s">
        <v>496</v>
      </c>
      <c r="B259" s="5" t="s">
        <v>497</v>
      </c>
      <c r="C259" s="4" t="s">
        <v>491</v>
      </c>
      <c r="D259" s="4" t="s">
        <v>165</v>
      </c>
      <c r="E259" s="6">
        <v>305</v>
      </c>
      <c r="G259" s="5">
        <f t="shared" si="10"/>
        <v>305</v>
      </c>
      <c r="I259" s="4">
        <v>150</v>
      </c>
    </row>
    <row r="260" spans="1:9" x14ac:dyDescent="0.3">
      <c r="A260" s="5" t="s">
        <v>498</v>
      </c>
      <c r="B260" s="5" t="s">
        <v>499</v>
      </c>
      <c r="C260" s="4" t="s">
        <v>491</v>
      </c>
      <c r="D260" s="4" t="s">
        <v>165</v>
      </c>
      <c r="E260" s="6">
        <v>116</v>
      </c>
      <c r="F260" s="4">
        <v>25</v>
      </c>
      <c r="G260" s="5">
        <f t="shared" si="10"/>
        <v>91</v>
      </c>
      <c r="I260" s="4">
        <v>58</v>
      </c>
    </row>
    <row r="261" spans="1:9" x14ac:dyDescent="0.3">
      <c r="A261" s="5" t="s">
        <v>500</v>
      </c>
      <c r="B261" s="5" t="s">
        <v>501</v>
      </c>
      <c r="C261" s="4" t="s">
        <v>491</v>
      </c>
      <c r="D261" s="4" t="s">
        <v>1429</v>
      </c>
      <c r="E261" s="6">
        <v>381</v>
      </c>
      <c r="G261" s="5">
        <f t="shared" si="10"/>
        <v>381</v>
      </c>
    </row>
    <row r="262" spans="1:9" ht="37.5" x14ac:dyDescent="0.3">
      <c r="A262" s="5" t="s">
        <v>502</v>
      </c>
      <c r="B262" s="5" t="s">
        <v>503</v>
      </c>
      <c r="C262" s="4" t="s">
        <v>491</v>
      </c>
      <c r="D262" s="4" t="s">
        <v>504</v>
      </c>
      <c r="E262" s="5">
        <v>45032</v>
      </c>
      <c r="F262" s="4">
        <v>35000</v>
      </c>
      <c r="G262" s="5">
        <f t="shared" si="10"/>
        <v>10032</v>
      </c>
      <c r="H262" s="5" t="s">
        <v>131</v>
      </c>
      <c r="I262" s="4" t="s">
        <v>1737</v>
      </c>
    </row>
    <row r="263" spans="1:9" x14ac:dyDescent="0.3">
      <c r="A263" s="5" t="s">
        <v>1470</v>
      </c>
      <c r="B263" s="5" t="s">
        <v>1471</v>
      </c>
      <c r="C263" s="4" t="s">
        <v>506</v>
      </c>
      <c r="D263" s="5" t="s">
        <v>131</v>
      </c>
      <c r="E263" s="5">
        <v>330</v>
      </c>
      <c r="G263" s="5">
        <f t="shared" si="10"/>
        <v>330</v>
      </c>
      <c r="I263" s="4">
        <v>330</v>
      </c>
    </row>
    <row r="264" spans="1:9" x14ac:dyDescent="0.3">
      <c r="A264" s="5" t="s">
        <v>507</v>
      </c>
      <c r="B264" s="5" t="s">
        <v>508</v>
      </c>
      <c r="C264" s="4" t="s">
        <v>506</v>
      </c>
      <c r="D264" s="5" t="s">
        <v>131</v>
      </c>
      <c r="E264" s="5">
        <v>423</v>
      </c>
      <c r="F264" s="4">
        <v>400</v>
      </c>
      <c r="G264" s="5">
        <f t="shared" si="10"/>
        <v>23</v>
      </c>
    </row>
    <row r="265" spans="1:9" x14ac:dyDescent="0.3">
      <c r="A265" s="5" t="s">
        <v>1998</v>
      </c>
      <c r="B265" s="5" t="s">
        <v>1999</v>
      </c>
      <c r="C265" s="4" t="s">
        <v>506</v>
      </c>
      <c r="D265" s="5" t="s">
        <v>271</v>
      </c>
      <c r="E265" s="5">
        <v>500</v>
      </c>
      <c r="F265" s="4">
        <v>70</v>
      </c>
      <c r="G265" s="5">
        <v>430</v>
      </c>
    </row>
    <row r="266" spans="1:9" x14ac:dyDescent="0.3">
      <c r="B266" s="5" t="s">
        <v>1943</v>
      </c>
      <c r="C266" s="4" t="s">
        <v>510</v>
      </c>
      <c r="D266" s="5" t="s">
        <v>165</v>
      </c>
      <c r="G266" s="5">
        <f t="shared" ref="G266:G279" si="11">E266-F266</f>
        <v>0</v>
      </c>
    </row>
    <row r="267" spans="1:9" x14ac:dyDescent="0.3">
      <c r="A267" s="5" t="s">
        <v>1233</v>
      </c>
      <c r="B267" s="5" t="s">
        <v>1234</v>
      </c>
      <c r="C267" s="4" t="s">
        <v>510</v>
      </c>
      <c r="D267" s="5" t="s">
        <v>271</v>
      </c>
      <c r="E267" s="5">
        <v>3400</v>
      </c>
      <c r="F267" s="4">
        <v>1880</v>
      </c>
      <c r="G267" s="5">
        <f t="shared" si="11"/>
        <v>1520</v>
      </c>
      <c r="H267" s="5" t="s">
        <v>260</v>
      </c>
      <c r="I267" s="4">
        <v>410</v>
      </c>
    </row>
    <row r="268" spans="1:9" x14ac:dyDescent="0.3">
      <c r="A268" s="5" t="s">
        <v>1819</v>
      </c>
      <c r="B268" s="5" t="s">
        <v>1432</v>
      </c>
      <c r="C268" s="4" t="s">
        <v>510</v>
      </c>
      <c r="D268" s="5" t="s">
        <v>165</v>
      </c>
      <c r="E268" s="5">
        <v>350</v>
      </c>
      <c r="F268" s="4">
        <v>50</v>
      </c>
      <c r="G268" s="5">
        <f t="shared" si="11"/>
        <v>300</v>
      </c>
      <c r="I268" s="4">
        <v>150</v>
      </c>
    </row>
    <row r="269" spans="1:9" x14ac:dyDescent="0.3">
      <c r="A269" s="5" t="s">
        <v>1799</v>
      </c>
      <c r="B269" s="5" t="s">
        <v>1772</v>
      </c>
      <c r="C269" s="4" t="s">
        <v>510</v>
      </c>
      <c r="D269" s="5" t="s">
        <v>265</v>
      </c>
      <c r="E269" s="5">
        <v>498</v>
      </c>
      <c r="F269" s="4">
        <v>50</v>
      </c>
      <c r="G269" s="5">
        <f t="shared" si="11"/>
        <v>448</v>
      </c>
    </row>
    <row r="270" spans="1:9" x14ac:dyDescent="0.3">
      <c r="A270" s="5" t="s">
        <v>1214</v>
      </c>
      <c r="B270" s="5" t="s">
        <v>1215</v>
      </c>
      <c r="C270" s="4" t="s">
        <v>510</v>
      </c>
      <c r="D270" s="5" t="s">
        <v>169</v>
      </c>
      <c r="E270" s="5">
        <v>250</v>
      </c>
      <c r="G270" s="5">
        <f t="shared" si="11"/>
        <v>250</v>
      </c>
    </row>
    <row r="271" spans="1:9" x14ac:dyDescent="0.3">
      <c r="A271" s="5" t="s">
        <v>516</v>
      </c>
      <c r="B271" s="5" t="s">
        <v>517</v>
      </c>
      <c r="C271" s="4" t="s">
        <v>515</v>
      </c>
      <c r="D271" s="5" t="s">
        <v>260</v>
      </c>
      <c r="E271" s="6">
        <v>300</v>
      </c>
      <c r="G271" s="5">
        <f t="shared" si="11"/>
        <v>300</v>
      </c>
      <c r="I271" s="4">
        <v>75</v>
      </c>
    </row>
    <row r="272" spans="1:9" x14ac:dyDescent="0.3">
      <c r="A272" s="5" t="s">
        <v>518</v>
      </c>
      <c r="B272" s="5" t="s">
        <v>519</v>
      </c>
      <c r="C272" s="4" t="s">
        <v>515</v>
      </c>
      <c r="D272" s="5" t="s">
        <v>131</v>
      </c>
      <c r="E272" s="6">
        <v>222</v>
      </c>
      <c r="G272" s="5">
        <f t="shared" si="11"/>
        <v>222</v>
      </c>
      <c r="I272" s="4">
        <v>222</v>
      </c>
    </row>
    <row r="273" spans="1:9" x14ac:dyDescent="0.3">
      <c r="A273" s="5" t="s">
        <v>520</v>
      </c>
      <c r="B273" s="5" t="s">
        <v>521</v>
      </c>
      <c r="C273" s="4" t="s">
        <v>515</v>
      </c>
      <c r="D273" s="5" t="s">
        <v>169</v>
      </c>
      <c r="E273" s="6">
        <v>75</v>
      </c>
      <c r="F273" s="4">
        <v>48</v>
      </c>
      <c r="G273" s="5">
        <f t="shared" si="11"/>
        <v>27</v>
      </c>
      <c r="I273" s="4">
        <v>27</v>
      </c>
    </row>
    <row r="274" spans="1:9" x14ac:dyDescent="0.3">
      <c r="A274" s="5" t="s">
        <v>522</v>
      </c>
      <c r="B274" s="5" t="s">
        <v>523</v>
      </c>
      <c r="C274" s="4" t="s">
        <v>515</v>
      </c>
      <c r="D274" s="5" t="s">
        <v>131</v>
      </c>
      <c r="E274" s="6">
        <v>100</v>
      </c>
      <c r="G274" s="5">
        <f t="shared" si="11"/>
        <v>100</v>
      </c>
      <c r="I274" s="4">
        <v>100</v>
      </c>
    </row>
    <row r="275" spans="1:9" x14ac:dyDescent="0.3">
      <c r="A275" s="5" t="s">
        <v>524</v>
      </c>
      <c r="B275" s="5" t="s">
        <v>525</v>
      </c>
      <c r="C275" s="4" t="s">
        <v>526</v>
      </c>
      <c r="D275" s="4" t="s">
        <v>12</v>
      </c>
      <c r="E275" s="6">
        <v>10263</v>
      </c>
      <c r="F275" s="4">
        <v>4900</v>
      </c>
      <c r="G275" s="5">
        <f t="shared" si="11"/>
        <v>5363</v>
      </c>
      <c r="H275" s="5" t="s">
        <v>76</v>
      </c>
      <c r="I275" s="4">
        <v>1200</v>
      </c>
    </row>
    <row r="276" spans="1:9" x14ac:dyDescent="0.3">
      <c r="A276" s="5" t="s">
        <v>1786</v>
      </c>
      <c r="B276" s="5" t="s">
        <v>1816</v>
      </c>
      <c r="C276" s="4" t="s">
        <v>526</v>
      </c>
      <c r="D276" s="4" t="s">
        <v>46</v>
      </c>
      <c r="E276" s="5">
        <v>5149</v>
      </c>
      <c r="F276" s="4">
        <v>5149</v>
      </c>
      <c r="G276" s="5">
        <f t="shared" si="11"/>
        <v>0</v>
      </c>
      <c r="I276" s="4">
        <v>1000</v>
      </c>
    </row>
    <row r="277" spans="1:9" x14ac:dyDescent="0.3">
      <c r="A277" s="5" t="s">
        <v>514</v>
      </c>
      <c r="B277" s="5" t="s">
        <v>514</v>
      </c>
      <c r="C277" s="4" t="s">
        <v>530</v>
      </c>
      <c r="D277" s="4" t="s">
        <v>260</v>
      </c>
      <c r="E277" s="5">
        <v>1340</v>
      </c>
      <c r="G277" s="5">
        <f t="shared" si="11"/>
        <v>1340</v>
      </c>
    </row>
    <row r="278" spans="1:9" x14ac:dyDescent="0.3">
      <c r="A278" s="5" t="s">
        <v>531</v>
      </c>
      <c r="B278" s="5" t="s">
        <v>532</v>
      </c>
      <c r="C278" s="4" t="s">
        <v>530</v>
      </c>
      <c r="D278" s="4" t="s">
        <v>533</v>
      </c>
      <c r="E278" s="6">
        <v>250</v>
      </c>
      <c r="F278" s="4">
        <v>250</v>
      </c>
      <c r="G278" s="5">
        <f t="shared" si="11"/>
        <v>0</v>
      </c>
      <c r="I278" s="4">
        <v>80</v>
      </c>
    </row>
    <row r="279" spans="1:9" x14ac:dyDescent="0.3">
      <c r="A279" s="5" t="s">
        <v>534</v>
      </c>
      <c r="B279" s="5" t="s">
        <v>535</v>
      </c>
      <c r="C279" s="4" t="s">
        <v>536</v>
      </c>
      <c r="D279" s="5" t="s">
        <v>533</v>
      </c>
      <c r="E279" s="6">
        <v>6500</v>
      </c>
      <c r="F279" s="4">
        <v>50</v>
      </c>
      <c r="G279" s="5">
        <f t="shared" si="11"/>
        <v>6450</v>
      </c>
    </row>
    <row r="280" spans="1:9" x14ac:dyDescent="0.3">
      <c r="A280" s="5" t="s">
        <v>539</v>
      </c>
      <c r="B280" s="5" t="s">
        <v>540</v>
      </c>
      <c r="C280" s="4" t="s">
        <v>526</v>
      </c>
      <c r="D280" s="5" t="s">
        <v>12</v>
      </c>
      <c r="E280" s="6">
        <v>13500</v>
      </c>
      <c r="G280" s="5">
        <v>13500</v>
      </c>
      <c r="I280" s="4">
        <v>1500</v>
      </c>
    </row>
    <row r="281" spans="1:9" x14ac:dyDescent="0.3">
      <c r="A281" s="5" t="s">
        <v>623</v>
      </c>
      <c r="B281" s="5" t="s">
        <v>624</v>
      </c>
      <c r="C281" s="4" t="s">
        <v>541</v>
      </c>
      <c r="D281" s="4" t="s">
        <v>20</v>
      </c>
      <c r="E281" s="5">
        <v>5086</v>
      </c>
      <c r="F281" s="4">
        <v>1000</v>
      </c>
      <c r="G281" s="5">
        <f t="shared" ref="G281:G292" si="12">E281-F281</f>
        <v>4086</v>
      </c>
    </row>
    <row r="282" spans="1:9" x14ac:dyDescent="0.3">
      <c r="A282" s="5" t="s">
        <v>543</v>
      </c>
      <c r="B282" s="5" t="s">
        <v>544</v>
      </c>
      <c r="C282" s="4" t="s">
        <v>545</v>
      </c>
      <c r="D282" s="5" t="s">
        <v>131</v>
      </c>
      <c r="E282" s="5">
        <v>1300</v>
      </c>
      <c r="F282" s="4">
        <v>700</v>
      </c>
      <c r="G282" s="5">
        <f t="shared" si="12"/>
        <v>600</v>
      </c>
      <c r="I282" s="4">
        <v>1300</v>
      </c>
    </row>
    <row r="283" spans="1:9" x14ac:dyDescent="0.3">
      <c r="A283" s="5" t="s">
        <v>1796</v>
      </c>
      <c r="B283" s="5" t="s">
        <v>1795</v>
      </c>
      <c r="C283" s="4" t="s">
        <v>545</v>
      </c>
      <c r="D283" s="5" t="s">
        <v>169</v>
      </c>
      <c r="E283" s="6">
        <v>50</v>
      </c>
      <c r="G283" s="5">
        <f t="shared" si="12"/>
        <v>50</v>
      </c>
    </row>
    <row r="284" spans="1:9" x14ac:dyDescent="0.3">
      <c r="A284" s="5" t="s">
        <v>548</v>
      </c>
      <c r="B284" s="5" t="s">
        <v>549</v>
      </c>
      <c r="C284" s="4" t="s">
        <v>550</v>
      </c>
      <c r="D284" s="5" t="s">
        <v>131</v>
      </c>
      <c r="E284" s="6">
        <v>1600</v>
      </c>
      <c r="F284" s="4">
        <v>1494</v>
      </c>
      <c r="G284" s="5">
        <f t="shared" si="12"/>
        <v>106</v>
      </c>
    </row>
    <row r="285" spans="1:9" x14ac:dyDescent="0.3">
      <c r="A285" s="5" t="s">
        <v>548</v>
      </c>
      <c r="B285" s="5" t="s">
        <v>551</v>
      </c>
      <c r="C285" s="4" t="s">
        <v>550</v>
      </c>
      <c r="D285" s="5" t="s">
        <v>131</v>
      </c>
      <c r="E285" s="6">
        <v>950</v>
      </c>
      <c r="F285" s="4">
        <v>848</v>
      </c>
      <c r="G285" s="5">
        <f t="shared" si="12"/>
        <v>102</v>
      </c>
    </row>
    <row r="286" spans="1:9" x14ac:dyDescent="0.3">
      <c r="A286" s="5" t="s">
        <v>552</v>
      </c>
      <c r="B286" s="5" t="s">
        <v>553</v>
      </c>
      <c r="C286" s="4" t="s">
        <v>554</v>
      </c>
      <c r="D286" s="4" t="s">
        <v>1439</v>
      </c>
      <c r="E286" s="6">
        <v>26278</v>
      </c>
      <c r="F286" s="4">
        <v>1500</v>
      </c>
      <c r="G286" s="5">
        <f t="shared" si="12"/>
        <v>24778</v>
      </c>
      <c r="H286" s="5" t="s">
        <v>223</v>
      </c>
      <c r="I286" s="4">
        <v>1500</v>
      </c>
    </row>
    <row r="287" spans="1:9" x14ac:dyDescent="0.3">
      <c r="A287" s="5" t="s">
        <v>1776</v>
      </c>
      <c r="B287" s="5" t="s">
        <v>555</v>
      </c>
      <c r="C287" s="4" t="s">
        <v>554</v>
      </c>
      <c r="D287" s="4" t="s">
        <v>9</v>
      </c>
      <c r="E287" s="6">
        <v>16800</v>
      </c>
      <c r="F287" s="4">
        <v>12500</v>
      </c>
      <c r="G287" s="5">
        <f t="shared" si="12"/>
        <v>4300</v>
      </c>
      <c r="H287" s="5" t="s">
        <v>29</v>
      </c>
      <c r="I287" s="4">
        <v>2400</v>
      </c>
    </row>
    <row r="288" spans="1:9" x14ac:dyDescent="0.3">
      <c r="A288" s="5" t="s">
        <v>556</v>
      </c>
      <c r="B288" s="5" t="s">
        <v>557</v>
      </c>
      <c r="C288" s="4" t="s">
        <v>554</v>
      </c>
      <c r="E288" s="5">
        <v>51</v>
      </c>
      <c r="G288" s="5">
        <f t="shared" si="12"/>
        <v>51</v>
      </c>
      <c r="I288" s="4">
        <v>51</v>
      </c>
    </row>
    <row r="289" spans="1:9" x14ac:dyDescent="0.3">
      <c r="A289" s="5" t="s">
        <v>1778</v>
      </c>
      <c r="B289" s="5" t="s">
        <v>1779</v>
      </c>
      <c r="C289" s="4" t="s">
        <v>560</v>
      </c>
      <c r="D289" s="5" t="s">
        <v>685</v>
      </c>
      <c r="E289" s="5">
        <v>450</v>
      </c>
      <c r="G289" s="5">
        <f t="shared" si="12"/>
        <v>450</v>
      </c>
    </row>
    <row r="290" spans="1:9" x14ac:dyDescent="0.3">
      <c r="A290" s="5" t="s">
        <v>558</v>
      </c>
      <c r="B290" s="5" t="s">
        <v>559</v>
      </c>
      <c r="C290" s="4" t="s">
        <v>560</v>
      </c>
      <c r="E290" s="5">
        <v>138</v>
      </c>
      <c r="G290" s="5">
        <f t="shared" si="12"/>
        <v>138</v>
      </c>
      <c r="I290" s="4">
        <v>138</v>
      </c>
    </row>
    <row r="291" spans="1:9" x14ac:dyDescent="0.3">
      <c r="A291" s="5" t="s">
        <v>561</v>
      </c>
      <c r="B291" s="5" t="s">
        <v>562</v>
      </c>
      <c r="C291" s="4" t="s">
        <v>560</v>
      </c>
      <c r="D291" s="5" t="s">
        <v>131</v>
      </c>
      <c r="E291" s="5">
        <v>21</v>
      </c>
      <c r="G291" s="5">
        <f t="shared" si="12"/>
        <v>21</v>
      </c>
      <c r="I291" s="4">
        <v>21</v>
      </c>
    </row>
    <row r="292" spans="1:9" x14ac:dyDescent="0.3">
      <c r="A292" s="5" t="s">
        <v>2083</v>
      </c>
      <c r="B292" s="5" t="s">
        <v>2084</v>
      </c>
      <c r="C292" s="4" t="s">
        <v>2002</v>
      </c>
      <c r="D292" s="5" t="s">
        <v>131</v>
      </c>
      <c r="E292" s="5">
        <v>723</v>
      </c>
      <c r="G292" s="5">
        <f t="shared" si="12"/>
        <v>723</v>
      </c>
    </row>
    <row r="293" spans="1:9" x14ac:dyDescent="0.3">
      <c r="A293" s="5" t="s">
        <v>1603</v>
      </c>
      <c r="B293" s="5" t="s">
        <v>2001</v>
      </c>
      <c r="C293" s="4" t="s">
        <v>2002</v>
      </c>
      <c r="D293" s="5" t="s">
        <v>131</v>
      </c>
    </row>
    <row r="294" spans="1:9" x14ac:dyDescent="0.3">
      <c r="A294" s="5" t="s">
        <v>564</v>
      </c>
      <c r="B294" s="5" t="s">
        <v>565</v>
      </c>
      <c r="C294" s="4" t="s">
        <v>566</v>
      </c>
      <c r="D294" s="5" t="s">
        <v>29</v>
      </c>
      <c r="E294" s="5">
        <v>108</v>
      </c>
      <c r="F294" s="4">
        <v>74</v>
      </c>
      <c r="G294" s="5">
        <f t="shared" ref="G294:G323" si="13">E294-F294</f>
        <v>34</v>
      </c>
      <c r="I294" s="4">
        <v>34</v>
      </c>
    </row>
    <row r="295" spans="1:9" x14ac:dyDescent="0.3">
      <c r="A295" s="5" t="s">
        <v>567</v>
      </c>
      <c r="B295" s="5" t="s">
        <v>568</v>
      </c>
      <c r="C295" s="4" t="s">
        <v>569</v>
      </c>
      <c r="D295" s="5" t="s">
        <v>29</v>
      </c>
      <c r="E295" s="5">
        <v>738</v>
      </c>
      <c r="F295" s="4">
        <v>70</v>
      </c>
      <c r="G295" s="5">
        <f t="shared" si="13"/>
        <v>668</v>
      </c>
      <c r="I295" s="4">
        <v>168</v>
      </c>
    </row>
    <row r="296" spans="1:9" x14ac:dyDescent="0.3">
      <c r="A296" s="5" t="s">
        <v>1946</v>
      </c>
      <c r="B296" s="5" t="s">
        <v>1945</v>
      </c>
      <c r="C296" s="4" t="s">
        <v>569</v>
      </c>
      <c r="D296" s="5" t="s">
        <v>180</v>
      </c>
      <c r="G296" s="5">
        <f t="shared" si="13"/>
        <v>0</v>
      </c>
    </row>
    <row r="297" spans="1:9" x14ac:dyDescent="0.3">
      <c r="A297" s="5" t="s">
        <v>572</v>
      </c>
      <c r="C297" s="4" t="s">
        <v>573</v>
      </c>
      <c r="D297" s="5" t="s">
        <v>29</v>
      </c>
      <c r="G297" s="5">
        <f t="shared" si="13"/>
        <v>0</v>
      </c>
    </row>
    <row r="298" spans="1:9" x14ac:dyDescent="0.3">
      <c r="A298" s="5" t="s">
        <v>1131</v>
      </c>
      <c r="C298" s="4" t="s">
        <v>573</v>
      </c>
      <c r="D298" s="6" t="s">
        <v>815</v>
      </c>
      <c r="E298" s="5">
        <v>282</v>
      </c>
      <c r="G298" s="5">
        <f t="shared" si="13"/>
        <v>282</v>
      </c>
    </row>
    <row r="299" spans="1:9" x14ac:dyDescent="0.3">
      <c r="A299" s="5" t="s">
        <v>1890</v>
      </c>
      <c r="B299" s="5" t="s">
        <v>1891</v>
      </c>
      <c r="C299" s="4" t="s">
        <v>1892</v>
      </c>
      <c r="D299" s="6" t="s">
        <v>169</v>
      </c>
      <c r="E299" s="5">
        <v>200</v>
      </c>
      <c r="G299" s="5">
        <f t="shared" si="13"/>
        <v>200</v>
      </c>
    </row>
    <row r="300" spans="1:9" x14ac:dyDescent="0.3">
      <c r="A300" s="5" t="s">
        <v>590</v>
      </c>
      <c r="B300" s="5" t="s">
        <v>591</v>
      </c>
      <c r="C300" s="5" t="s">
        <v>574</v>
      </c>
      <c r="D300" s="5" t="s">
        <v>169</v>
      </c>
      <c r="E300" s="5">
        <v>130</v>
      </c>
      <c r="F300" s="5">
        <v>130</v>
      </c>
      <c r="G300" s="5">
        <f t="shared" si="13"/>
        <v>0</v>
      </c>
    </row>
    <row r="301" spans="1:9" x14ac:dyDescent="0.3">
      <c r="A301" s="5" t="s">
        <v>575</v>
      </c>
      <c r="B301" s="5" t="s">
        <v>576</v>
      </c>
      <c r="C301" s="4" t="s">
        <v>1835</v>
      </c>
      <c r="D301" s="5" t="s">
        <v>29</v>
      </c>
      <c r="E301" s="5">
        <v>246</v>
      </c>
      <c r="F301" s="71"/>
      <c r="G301" s="5">
        <f t="shared" si="13"/>
        <v>246</v>
      </c>
      <c r="H301" s="26"/>
      <c r="I301" s="72"/>
    </row>
    <row r="302" spans="1:9" x14ac:dyDescent="0.3">
      <c r="A302" s="5" t="s">
        <v>838</v>
      </c>
      <c r="B302" s="5" t="s">
        <v>578</v>
      </c>
      <c r="C302" s="4" t="s">
        <v>1947</v>
      </c>
      <c r="D302" s="11" t="s">
        <v>46</v>
      </c>
      <c r="E302" s="6">
        <v>5200</v>
      </c>
      <c r="F302" s="76">
        <v>717</v>
      </c>
      <c r="G302" s="5">
        <f t="shared" si="13"/>
        <v>4483</v>
      </c>
      <c r="H302" s="26"/>
      <c r="I302" s="72"/>
    </row>
    <row r="303" spans="1:9" x14ac:dyDescent="0.3">
      <c r="A303" s="5" t="s">
        <v>1902</v>
      </c>
      <c r="C303" s="4" t="s">
        <v>582</v>
      </c>
      <c r="D303" s="11" t="s">
        <v>169</v>
      </c>
      <c r="E303" s="6">
        <v>35</v>
      </c>
      <c r="F303" s="71">
        <v>35</v>
      </c>
      <c r="G303" s="5">
        <f t="shared" si="13"/>
        <v>0</v>
      </c>
      <c r="H303" s="26"/>
      <c r="I303" s="72"/>
    </row>
    <row r="304" spans="1:9" x14ac:dyDescent="0.3">
      <c r="A304" s="5" t="s">
        <v>584</v>
      </c>
      <c r="B304" s="5" t="s">
        <v>1948</v>
      </c>
      <c r="C304" s="4" t="s">
        <v>582</v>
      </c>
      <c r="D304" s="5" t="s">
        <v>29</v>
      </c>
      <c r="E304" s="5">
        <v>6000</v>
      </c>
      <c r="G304" s="5">
        <f t="shared" si="13"/>
        <v>6000</v>
      </c>
      <c r="I304" s="4">
        <v>6000</v>
      </c>
    </row>
    <row r="305" spans="1:15" x14ac:dyDescent="0.3">
      <c r="A305" s="5" t="s">
        <v>585</v>
      </c>
      <c r="B305" s="5" t="s">
        <v>586</v>
      </c>
      <c r="C305" s="4" t="s">
        <v>587</v>
      </c>
      <c r="D305" s="5" t="s">
        <v>265</v>
      </c>
      <c r="E305" s="5">
        <v>782</v>
      </c>
      <c r="G305" s="5">
        <f t="shared" si="13"/>
        <v>782</v>
      </c>
      <c r="I305" s="4">
        <v>260</v>
      </c>
    </row>
    <row r="306" spans="1:15" x14ac:dyDescent="0.3">
      <c r="A306" s="5" t="s">
        <v>593</v>
      </c>
      <c r="B306" s="5" t="s">
        <v>1431</v>
      </c>
      <c r="C306" s="5" t="s">
        <v>592</v>
      </c>
      <c r="D306" s="5" t="s">
        <v>529</v>
      </c>
      <c r="E306" s="5">
        <v>587</v>
      </c>
      <c r="F306" s="5">
        <v>5</v>
      </c>
      <c r="G306" s="5">
        <f t="shared" si="13"/>
        <v>582</v>
      </c>
      <c r="I306" s="73"/>
      <c r="J306" s="27"/>
      <c r="K306" s="27"/>
      <c r="L306" s="27"/>
      <c r="M306" s="27"/>
      <c r="N306" s="27"/>
      <c r="O306" s="27"/>
    </row>
    <row r="307" spans="1:15" x14ac:dyDescent="0.3">
      <c r="A307" s="5" t="s">
        <v>593</v>
      </c>
      <c r="B307" s="5" t="s">
        <v>1459</v>
      </c>
      <c r="C307" s="5" t="s">
        <v>592</v>
      </c>
      <c r="D307" s="5" t="s">
        <v>180</v>
      </c>
      <c r="E307" s="5">
        <v>84</v>
      </c>
      <c r="F307" s="5">
        <v>5</v>
      </c>
      <c r="G307" s="5">
        <f t="shared" si="13"/>
        <v>79</v>
      </c>
      <c r="I307" s="72"/>
    </row>
    <row r="308" spans="1:15" x14ac:dyDescent="0.3">
      <c r="A308" s="5" t="s">
        <v>1402</v>
      </c>
      <c r="B308" s="5" t="s">
        <v>726</v>
      </c>
      <c r="C308" s="4" t="s">
        <v>592</v>
      </c>
      <c r="D308" s="5" t="s">
        <v>235</v>
      </c>
      <c r="E308" s="5">
        <v>157500</v>
      </c>
      <c r="F308" s="4">
        <v>26250</v>
      </c>
      <c r="G308" s="5">
        <f t="shared" si="13"/>
        <v>131250</v>
      </c>
      <c r="H308" s="5" t="s">
        <v>1516</v>
      </c>
      <c r="I308" s="4">
        <v>13125</v>
      </c>
    </row>
    <row r="309" spans="1:15" x14ac:dyDescent="0.3">
      <c r="A309" s="5" t="s">
        <v>1949</v>
      </c>
      <c r="B309" s="5" t="s">
        <v>1410</v>
      </c>
      <c r="C309" s="5" t="s">
        <v>594</v>
      </c>
      <c r="D309" s="5" t="s">
        <v>165</v>
      </c>
      <c r="E309" s="5">
        <v>6400</v>
      </c>
      <c r="F309" s="5"/>
      <c r="G309" s="5">
        <f t="shared" si="13"/>
        <v>6400</v>
      </c>
      <c r="I309" s="72"/>
    </row>
    <row r="310" spans="1:15" x14ac:dyDescent="0.3">
      <c r="A310" s="5" t="s">
        <v>1397</v>
      </c>
      <c r="B310" s="5" t="s">
        <v>454</v>
      </c>
      <c r="C310" s="4" t="s">
        <v>594</v>
      </c>
      <c r="D310" s="5" t="s">
        <v>265</v>
      </c>
      <c r="E310" s="5">
        <v>164000</v>
      </c>
      <c r="G310" s="5">
        <f t="shared" si="13"/>
        <v>164000</v>
      </c>
      <c r="I310" s="4" t="s">
        <v>1843</v>
      </c>
    </row>
    <row r="311" spans="1:15" x14ac:dyDescent="0.3">
      <c r="A311" s="5" t="s">
        <v>580</v>
      </c>
      <c r="B311" s="5" t="s">
        <v>581</v>
      </c>
      <c r="C311" s="4" t="s">
        <v>1867</v>
      </c>
      <c r="D311" s="5" t="s">
        <v>1987</v>
      </c>
      <c r="E311" s="5">
        <v>3530</v>
      </c>
      <c r="F311" s="4">
        <v>450</v>
      </c>
      <c r="G311" s="5">
        <f t="shared" si="13"/>
        <v>3080</v>
      </c>
    </row>
    <row r="312" spans="1:15" x14ac:dyDescent="0.3">
      <c r="A312" s="5" t="s">
        <v>600</v>
      </c>
      <c r="B312" s="5" t="s">
        <v>601</v>
      </c>
      <c r="C312" s="4" t="s">
        <v>602</v>
      </c>
      <c r="D312" s="4" t="s">
        <v>169</v>
      </c>
      <c r="E312" s="6">
        <v>1050</v>
      </c>
      <c r="F312" s="4">
        <v>566</v>
      </c>
      <c r="G312" s="5">
        <f t="shared" si="13"/>
        <v>484</v>
      </c>
      <c r="I312" s="4">
        <v>1050</v>
      </c>
    </row>
    <row r="313" spans="1:15" x14ac:dyDescent="0.3">
      <c r="A313" s="5" t="s">
        <v>1465</v>
      </c>
      <c r="B313" s="5" t="s">
        <v>1710</v>
      </c>
      <c r="C313" s="5" t="s">
        <v>603</v>
      </c>
      <c r="D313" s="4" t="s">
        <v>131</v>
      </c>
      <c r="E313" s="6">
        <v>262</v>
      </c>
      <c r="F313" s="5"/>
      <c r="G313" s="5">
        <f t="shared" si="13"/>
        <v>262</v>
      </c>
      <c r="J313" s="27"/>
      <c r="K313" s="27"/>
      <c r="L313" s="27"/>
      <c r="M313" s="27"/>
      <c r="N313" s="27"/>
      <c r="O313" s="27"/>
    </row>
    <row r="314" spans="1:15" x14ac:dyDescent="0.3">
      <c r="A314" s="5" t="s">
        <v>1466</v>
      </c>
      <c r="B314" s="5" t="s">
        <v>1711</v>
      </c>
      <c r="C314" s="5" t="s">
        <v>603</v>
      </c>
      <c r="D314" s="4" t="s">
        <v>131</v>
      </c>
      <c r="E314" s="6">
        <v>1339</v>
      </c>
      <c r="F314" s="5"/>
      <c r="G314" s="5">
        <f t="shared" si="13"/>
        <v>1339</v>
      </c>
      <c r="J314" s="27"/>
      <c r="K314" s="27"/>
      <c r="L314" s="27"/>
      <c r="M314" s="27"/>
      <c r="N314" s="27"/>
      <c r="O314" s="27"/>
    </row>
    <row r="315" spans="1:15" ht="37.5" x14ac:dyDescent="0.3">
      <c r="A315" s="5" t="s">
        <v>610</v>
      </c>
      <c r="B315" s="5" t="s">
        <v>611</v>
      </c>
      <c r="C315" s="4" t="s">
        <v>1862</v>
      </c>
      <c r="D315" s="4" t="s">
        <v>612</v>
      </c>
      <c r="E315" s="5">
        <v>500</v>
      </c>
      <c r="G315" s="5">
        <f t="shared" si="13"/>
        <v>500</v>
      </c>
    </row>
    <row r="316" spans="1:15" x14ac:dyDescent="0.3">
      <c r="A316" s="5" t="s">
        <v>613</v>
      </c>
      <c r="C316" s="4" t="s">
        <v>1862</v>
      </c>
      <c r="D316" s="5" t="s">
        <v>29</v>
      </c>
      <c r="E316" s="5">
        <v>375</v>
      </c>
      <c r="G316" s="5">
        <f t="shared" si="13"/>
        <v>375</v>
      </c>
      <c r="I316" s="4">
        <v>375</v>
      </c>
    </row>
    <row r="317" spans="1:15" x14ac:dyDescent="0.3">
      <c r="A317" s="5" t="s">
        <v>1755</v>
      </c>
      <c r="B317" s="5" t="s">
        <v>463</v>
      </c>
      <c r="C317" s="4" t="s">
        <v>603</v>
      </c>
      <c r="D317" s="4" t="s">
        <v>295</v>
      </c>
      <c r="E317" s="5">
        <v>95800</v>
      </c>
      <c r="F317" s="4">
        <v>11000</v>
      </c>
      <c r="G317" s="5">
        <f t="shared" si="13"/>
        <v>84800</v>
      </c>
      <c r="H317" s="5" t="s">
        <v>399</v>
      </c>
      <c r="I317" s="4">
        <v>5500</v>
      </c>
    </row>
    <row r="318" spans="1:15" x14ac:dyDescent="0.3">
      <c r="A318" s="5" t="s">
        <v>464</v>
      </c>
      <c r="B318" s="5" t="s">
        <v>465</v>
      </c>
      <c r="C318" s="4" t="s">
        <v>603</v>
      </c>
      <c r="D318" s="4" t="s">
        <v>380</v>
      </c>
      <c r="E318" s="6">
        <v>65000</v>
      </c>
      <c r="F318" s="4">
        <v>15900</v>
      </c>
      <c r="G318" s="5">
        <f t="shared" si="13"/>
        <v>49100</v>
      </c>
      <c r="H318" s="5" t="s">
        <v>271</v>
      </c>
      <c r="I318" s="4">
        <v>5300</v>
      </c>
    </row>
    <row r="319" spans="1:15" x14ac:dyDescent="0.3">
      <c r="A319" s="5" t="s">
        <v>826</v>
      </c>
      <c r="B319" s="5" t="s">
        <v>827</v>
      </c>
      <c r="C319" s="4" t="s">
        <v>606</v>
      </c>
      <c r="D319" s="5" t="s">
        <v>131</v>
      </c>
      <c r="E319" s="6">
        <v>7800</v>
      </c>
      <c r="F319" s="4">
        <v>6150</v>
      </c>
      <c r="G319" s="5">
        <f t="shared" si="13"/>
        <v>1650</v>
      </c>
      <c r="I319" s="4">
        <v>1670</v>
      </c>
    </row>
    <row r="320" spans="1:15" x14ac:dyDescent="0.3">
      <c r="A320" s="5" t="s">
        <v>1871</v>
      </c>
      <c r="B320" s="5" t="s">
        <v>1872</v>
      </c>
      <c r="C320" s="4" t="s">
        <v>609</v>
      </c>
      <c r="D320" s="5" t="s">
        <v>134</v>
      </c>
      <c r="E320" s="5">
        <v>130000</v>
      </c>
      <c r="F320" s="4">
        <v>26400</v>
      </c>
      <c r="G320" s="5">
        <f t="shared" si="13"/>
        <v>103600</v>
      </c>
      <c r="H320" s="5" t="s">
        <v>1162</v>
      </c>
      <c r="I320" s="4">
        <v>13200</v>
      </c>
    </row>
    <row r="321" spans="1:9" x14ac:dyDescent="0.3">
      <c r="A321" s="5" t="s">
        <v>1951</v>
      </c>
      <c r="B321" s="5" t="s">
        <v>467</v>
      </c>
      <c r="C321" s="4" t="s">
        <v>609</v>
      </c>
      <c r="D321" s="5" t="s">
        <v>180</v>
      </c>
      <c r="E321" s="5">
        <v>500</v>
      </c>
      <c r="G321" s="5">
        <f t="shared" si="13"/>
        <v>500</v>
      </c>
    </row>
    <row r="322" spans="1:9" x14ac:dyDescent="0.3">
      <c r="A322" s="5" t="s">
        <v>468</v>
      </c>
      <c r="B322" s="5" t="s">
        <v>469</v>
      </c>
      <c r="C322" s="4" t="s">
        <v>609</v>
      </c>
      <c r="D322" s="4" t="s">
        <v>380</v>
      </c>
      <c r="E322" s="6">
        <v>370000</v>
      </c>
      <c r="F322" s="4">
        <v>72500</v>
      </c>
      <c r="G322" s="5">
        <f t="shared" si="13"/>
        <v>297500</v>
      </c>
      <c r="H322" s="5" t="s">
        <v>238</v>
      </c>
      <c r="I322" s="4" t="s">
        <v>1460</v>
      </c>
    </row>
    <row r="323" spans="1:9" x14ac:dyDescent="0.3">
      <c r="A323" s="5" t="s">
        <v>1952</v>
      </c>
      <c r="C323" s="4" t="s">
        <v>1870</v>
      </c>
      <c r="D323" s="4" t="s">
        <v>529</v>
      </c>
      <c r="E323" s="6">
        <v>1000</v>
      </c>
      <c r="G323" s="5">
        <f t="shared" si="13"/>
        <v>1000</v>
      </c>
    </row>
    <row r="325" spans="1:9" x14ac:dyDescent="0.3">
      <c r="A325" s="5" t="s">
        <v>466</v>
      </c>
      <c r="B325" s="5" t="s">
        <v>467</v>
      </c>
      <c r="C325" s="4" t="s">
        <v>1870</v>
      </c>
      <c r="D325" s="5" t="s">
        <v>180</v>
      </c>
      <c r="E325" s="6">
        <v>5150</v>
      </c>
      <c r="G325" s="5">
        <f t="shared" ref="G325:G345" si="14">E325-F325</f>
        <v>5150</v>
      </c>
      <c r="I325" s="4">
        <v>5150</v>
      </c>
    </row>
    <row r="326" spans="1:9" x14ac:dyDescent="0.3">
      <c r="A326" s="5" t="s">
        <v>2018</v>
      </c>
      <c r="B326" s="5" t="s">
        <v>2019</v>
      </c>
      <c r="C326" s="4" t="s">
        <v>1870</v>
      </c>
      <c r="D326" s="5" t="s">
        <v>1516</v>
      </c>
      <c r="E326" s="6">
        <v>22500</v>
      </c>
      <c r="G326" s="5">
        <f t="shared" si="14"/>
        <v>22500</v>
      </c>
      <c r="H326" s="5" t="s">
        <v>2020</v>
      </c>
    </row>
    <row r="327" spans="1:9" x14ac:dyDescent="0.3">
      <c r="A327" s="5" t="s">
        <v>2170</v>
      </c>
      <c r="B327" s="5" t="s">
        <v>1752</v>
      </c>
      <c r="C327" s="4" t="s">
        <v>2120</v>
      </c>
      <c r="D327" s="5" t="s">
        <v>131</v>
      </c>
      <c r="E327" s="6">
        <v>1090</v>
      </c>
      <c r="G327" s="5">
        <f t="shared" si="14"/>
        <v>1090</v>
      </c>
    </row>
    <row r="328" spans="1:9" x14ac:dyDescent="0.3">
      <c r="A328" s="5" t="s">
        <v>2119</v>
      </c>
      <c r="B328" s="5" t="s">
        <v>1425</v>
      </c>
      <c r="C328" s="4" t="s">
        <v>2120</v>
      </c>
      <c r="D328" s="5" t="s">
        <v>2121</v>
      </c>
      <c r="E328" s="6">
        <v>359</v>
      </c>
      <c r="G328" s="5">
        <f t="shared" si="14"/>
        <v>359</v>
      </c>
      <c r="H328" s="5" t="s">
        <v>2122</v>
      </c>
    </row>
    <row r="329" spans="1:9" x14ac:dyDescent="0.3">
      <c r="A329" s="5" t="s">
        <v>617</v>
      </c>
      <c r="B329" s="5" t="s">
        <v>618</v>
      </c>
      <c r="C329" s="4" t="s">
        <v>616</v>
      </c>
      <c r="D329" s="5" t="s">
        <v>20</v>
      </c>
      <c r="E329" s="6">
        <v>3600</v>
      </c>
      <c r="G329" s="5">
        <f t="shared" si="14"/>
        <v>3600</v>
      </c>
      <c r="I329" s="4">
        <v>600</v>
      </c>
    </row>
    <row r="330" spans="1:9" x14ac:dyDescent="0.3">
      <c r="A330" s="5" t="s">
        <v>619</v>
      </c>
      <c r="B330" s="5" t="s">
        <v>620</v>
      </c>
      <c r="C330" s="4" t="s">
        <v>616</v>
      </c>
      <c r="D330" s="5" t="s">
        <v>38</v>
      </c>
      <c r="E330" s="6">
        <v>300</v>
      </c>
      <c r="F330" s="4">
        <v>25</v>
      </c>
      <c r="G330" s="5">
        <f t="shared" si="14"/>
        <v>275</v>
      </c>
      <c r="I330" s="4">
        <v>150</v>
      </c>
    </row>
    <row r="331" spans="1:9" x14ac:dyDescent="0.3">
      <c r="A331" s="5" t="s">
        <v>621</v>
      </c>
      <c r="B331" s="5" t="s">
        <v>622</v>
      </c>
      <c r="C331" s="4" t="s">
        <v>616</v>
      </c>
      <c r="D331" s="5" t="s">
        <v>38</v>
      </c>
      <c r="E331" s="6">
        <v>7289</v>
      </c>
      <c r="G331" s="5">
        <f t="shared" si="14"/>
        <v>7289</v>
      </c>
      <c r="I331" s="4">
        <v>3645</v>
      </c>
    </row>
    <row r="332" spans="1:9" x14ac:dyDescent="0.3">
      <c r="A332" s="5" t="s">
        <v>626</v>
      </c>
      <c r="B332" s="5" t="s">
        <v>627</v>
      </c>
      <c r="C332" s="4" t="s">
        <v>625</v>
      </c>
      <c r="D332" s="5" t="s">
        <v>628</v>
      </c>
      <c r="E332" s="6">
        <v>2625</v>
      </c>
      <c r="F332" s="4">
        <v>250</v>
      </c>
      <c r="G332" s="5">
        <f t="shared" si="14"/>
        <v>2375</v>
      </c>
      <c r="H332" s="5" t="s">
        <v>1439</v>
      </c>
      <c r="I332" s="4">
        <v>125</v>
      </c>
    </row>
    <row r="333" spans="1:9" x14ac:dyDescent="0.3">
      <c r="A333" s="5" t="s">
        <v>629</v>
      </c>
      <c r="B333" s="5" t="s">
        <v>630</v>
      </c>
      <c r="C333" s="4" t="s">
        <v>625</v>
      </c>
      <c r="D333" s="5" t="s">
        <v>25</v>
      </c>
      <c r="E333" s="5">
        <v>1200</v>
      </c>
      <c r="G333" s="5">
        <f t="shared" si="14"/>
        <v>1200</v>
      </c>
      <c r="I333" s="4">
        <v>400</v>
      </c>
    </row>
    <row r="334" spans="1:9" x14ac:dyDescent="0.3">
      <c r="A334" s="5" t="s">
        <v>659</v>
      </c>
      <c r="B334" s="5" t="s">
        <v>660</v>
      </c>
      <c r="C334" s="4" t="s">
        <v>625</v>
      </c>
      <c r="D334" s="5" t="s">
        <v>29</v>
      </c>
      <c r="G334" s="5">
        <f t="shared" si="14"/>
        <v>0</v>
      </c>
    </row>
    <row r="335" spans="1:9" x14ac:dyDescent="0.3">
      <c r="A335" s="5" t="s">
        <v>631</v>
      </c>
      <c r="B335" s="5" t="s">
        <v>632</v>
      </c>
      <c r="C335" s="4" t="s">
        <v>633</v>
      </c>
      <c r="D335" s="5" t="s">
        <v>98</v>
      </c>
      <c r="E335" s="6">
        <v>30115</v>
      </c>
      <c r="F335" s="4">
        <v>19615</v>
      </c>
      <c r="G335" s="5">
        <f t="shared" si="14"/>
        <v>10500</v>
      </c>
      <c r="H335" s="5" t="s">
        <v>9</v>
      </c>
      <c r="I335" s="4">
        <v>1500</v>
      </c>
    </row>
    <row r="336" spans="1:9" x14ac:dyDescent="0.3">
      <c r="A336" s="5" t="s">
        <v>634</v>
      </c>
      <c r="B336" s="5" t="s">
        <v>632</v>
      </c>
      <c r="C336" s="4" t="s">
        <v>633</v>
      </c>
      <c r="D336" s="5" t="s">
        <v>25</v>
      </c>
      <c r="E336" s="6">
        <v>4500</v>
      </c>
      <c r="G336" s="5">
        <f t="shared" si="14"/>
        <v>4500</v>
      </c>
      <c r="I336" s="4">
        <v>1500</v>
      </c>
    </row>
    <row r="337" spans="1:9" x14ac:dyDescent="0.3">
      <c r="A337" s="5" t="s">
        <v>2108</v>
      </c>
      <c r="B337" s="5" t="s">
        <v>635</v>
      </c>
      <c r="C337" s="4" t="s">
        <v>633</v>
      </c>
      <c r="D337" s="5" t="s">
        <v>25</v>
      </c>
      <c r="E337" s="6">
        <v>1750</v>
      </c>
      <c r="G337" s="5">
        <f t="shared" si="14"/>
        <v>1750</v>
      </c>
    </row>
    <row r="338" spans="1:9" x14ac:dyDescent="0.3">
      <c r="A338" s="5" t="s">
        <v>636</v>
      </c>
      <c r="B338" s="5" t="s">
        <v>637</v>
      </c>
      <c r="C338" s="4" t="s">
        <v>638</v>
      </c>
      <c r="D338" s="4" t="s">
        <v>2126</v>
      </c>
      <c r="E338" s="6">
        <v>63000</v>
      </c>
      <c r="G338" s="5">
        <f t="shared" si="14"/>
        <v>63000</v>
      </c>
      <c r="H338" s="4" t="s">
        <v>2125</v>
      </c>
      <c r="I338" s="4">
        <v>3000</v>
      </c>
    </row>
    <row r="339" spans="1:9" x14ac:dyDescent="0.3">
      <c r="A339" s="5" t="s">
        <v>1967</v>
      </c>
      <c r="B339" s="5" t="s">
        <v>1718</v>
      </c>
      <c r="C339" s="4" t="s">
        <v>638</v>
      </c>
      <c r="D339" s="4" t="s">
        <v>260</v>
      </c>
      <c r="E339" s="6">
        <v>28000</v>
      </c>
      <c r="G339" s="5">
        <f t="shared" si="14"/>
        <v>28000</v>
      </c>
      <c r="H339" s="4"/>
    </row>
    <row r="340" spans="1:9" x14ac:dyDescent="0.3">
      <c r="A340" s="5" t="s">
        <v>639</v>
      </c>
      <c r="B340" s="5" t="s">
        <v>640</v>
      </c>
      <c r="C340" s="4" t="s">
        <v>638</v>
      </c>
      <c r="D340" s="5" t="s">
        <v>358</v>
      </c>
      <c r="E340" s="6">
        <v>35167</v>
      </c>
      <c r="G340" s="5">
        <f t="shared" si="14"/>
        <v>35167</v>
      </c>
      <c r="H340" s="5" t="s">
        <v>358</v>
      </c>
      <c r="I340" s="4">
        <v>1250</v>
      </c>
    </row>
    <row r="341" spans="1:9" x14ac:dyDescent="0.3">
      <c r="A341" s="5" t="s">
        <v>1723</v>
      </c>
      <c r="B341" s="5" t="s">
        <v>641</v>
      </c>
      <c r="C341" s="4" t="s">
        <v>642</v>
      </c>
      <c r="D341" s="5" t="s">
        <v>70</v>
      </c>
      <c r="E341" s="6">
        <v>43600</v>
      </c>
      <c r="F341" s="4">
        <v>16000</v>
      </c>
      <c r="G341" s="5">
        <f t="shared" si="14"/>
        <v>27600</v>
      </c>
      <c r="H341" s="5" t="s">
        <v>15</v>
      </c>
      <c r="I341" s="4">
        <v>3000</v>
      </c>
    </row>
    <row r="342" spans="1:9" x14ac:dyDescent="0.3">
      <c r="A342" s="5" t="s">
        <v>643</v>
      </c>
      <c r="B342" s="5" t="s">
        <v>644</v>
      </c>
      <c r="C342" s="4" t="s">
        <v>642</v>
      </c>
      <c r="D342" s="5" t="s">
        <v>12</v>
      </c>
      <c r="E342" s="6">
        <v>1700</v>
      </c>
      <c r="G342" s="5">
        <f t="shared" si="14"/>
        <v>1700</v>
      </c>
      <c r="I342" s="4">
        <v>189</v>
      </c>
    </row>
    <row r="343" spans="1:9" x14ac:dyDescent="0.3">
      <c r="A343" s="5" t="s">
        <v>645</v>
      </c>
      <c r="B343" s="5" t="s">
        <v>646</v>
      </c>
      <c r="C343" s="4" t="s">
        <v>651</v>
      </c>
      <c r="D343" s="5" t="s">
        <v>38</v>
      </c>
      <c r="E343" s="6">
        <v>2200</v>
      </c>
      <c r="G343" s="5">
        <f t="shared" si="14"/>
        <v>2200</v>
      </c>
    </row>
    <row r="344" spans="1:9" x14ac:dyDescent="0.3">
      <c r="A344" s="5" t="s">
        <v>1840</v>
      </c>
      <c r="B344" s="5" t="s">
        <v>649</v>
      </c>
      <c r="C344" s="4" t="s">
        <v>650</v>
      </c>
      <c r="D344" s="5" t="s">
        <v>38</v>
      </c>
      <c r="E344" s="6">
        <v>3750</v>
      </c>
      <c r="G344" s="5">
        <f t="shared" si="14"/>
        <v>3750</v>
      </c>
    </row>
    <row r="345" spans="1:9" x14ac:dyDescent="0.3">
      <c r="A345" s="5" t="s">
        <v>647</v>
      </c>
      <c r="B345" s="5" t="s">
        <v>648</v>
      </c>
      <c r="C345" s="4" t="s">
        <v>651</v>
      </c>
      <c r="D345" s="5" t="s">
        <v>1443</v>
      </c>
      <c r="E345" s="5">
        <v>4500</v>
      </c>
      <c r="F345" s="4">
        <v>3500</v>
      </c>
      <c r="G345" s="5">
        <f t="shared" si="14"/>
        <v>1000</v>
      </c>
      <c r="H345" s="5" t="s">
        <v>169</v>
      </c>
      <c r="I345" s="4">
        <v>100</v>
      </c>
    </row>
    <row r="346" spans="1:9" x14ac:dyDescent="0.3">
      <c r="A346" s="5" t="s">
        <v>652</v>
      </c>
      <c r="B346" s="5" t="s">
        <v>653</v>
      </c>
      <c r="C346" s="4" t="s">
        <v>651</v>
      </c>
      <c r="D346" s="5" t="s">
        <v>76</v>
      </c>
      <c r="E346" s="6">
        <v>8200</v>
      </c>
      <c r="F346" s="4">
        <v>2700</v>
      </c>
      <c r="G346" s="5">
        <v>5500</v>
      </c>
      <c r="H346" s="5" t="s">
        <v>38</v>
      </c>
      <c r="I346" s="4">
        <v>2050</v>
      </c>
    </row>
    <row r="347" spans="1:9" x14ac:dyDescent="0.3">
      <c r="A347" s="5" t="s">
        <v>654</v>
      </c>
      <c r="B347" s="5" t="s">
        <v>655</v>
      </c>
      <c r="C347" s="4" t="s">
        <v>656</v>
      </c>
      <c r="D347" s="5" t="s">
        <v>1421</v>
      </c>
      <c r="E347" s="6">
        <v>52500</v>
      </c>
      <c r="F347" s="4">
        <v>1200</v>
      </c>
      <c r="G347" s="5">
        <f t="shared" ref="G347:G362" si="15">E347-F347</f>
        <v>51300</v>
      </c>
      <c r="I347" s="4">
        <v>1750</v>
      </c>
    </row>
    <row r="348" spans="1:9" x14ac:dyDescent="0.3">
      <c r="A348" s="5" t="s">
        <v>657</v>
      </c>
      <c r="B348" s="5" t="s">
        <v>658</v>
      </c>
      <c r="C348" s="4" t="s">
        <v>656</v>
      </c>
      <c r="D348" s="5" t="s">
        <v>70</v>
      </c>
      <c r="E348" s="6">
        <v>10540</v>
      </c>
      <c r="F348" s="4">
        <v>2360</v>
      </c>
      <c r="G348" s="5">
        <f t="shared" si="15"/>
        <v>8180</v>
      </c>
      <c r="H348" s="5" t="s">
        <v>19</v>
      </c>
      <c r="I348" s="4">
        <v>700</v>
      </c>
    </row>
    <row r="349" spans="1:9" x14ac:dyDescent="0.3">
      <c r="A349" s="5" t="s">
        <v>662</v>
      </c>
      <c r="B349" s="5" t="s">
        <v>663</v>
      </c>
      <c r="C349" s="4" t="s">
        <v>661</v>
      </c>
      <c r="D349" s="4" t="s">
        <v>1472</v>
      </c>
      <c r="E349" s="6">
        <v>6250</v>
      </c>
      <c r="F349" s="4">
        <v>1700</v>
      </c>
      <c r="G349" s="5">
        <f t="shared" si="15"/>
        <v>4550</v>
      </c>
      <c r="H349" s="4" t="s">
        <v>1513</v>
      </c>
      <c r="I349" s="4" t="s">
        <v>1473</v>
      </c>
    </row>
    <row r="350" spans="1:9" x14ac:dyDescent="0.3">
      <c r="A350" s="5" t="s">
        <v>664</v>
      </c>
      <c r="B350" s="5" t="s">
        <v>203</v>
      </c>
      <c r="C350" s="4" t="s">
        <v>661</v>
      </c>
      <c r="D350" s="5" t="s">
        <v>76</v>
      </c>
      <c r="E350" s="6">
        <v>5000</v>
      </c>
      <c r="G350" s="5">
        <f t="shared" si="15"/>
        <v>5000</v>
      </c>
      <c r="I350" s="4">
        <v>1250</v>
      </c>
    </row>
    <row r="351" spans="1:9" x14ac:dyDescent="0.3">
      <c r="A351" s="5" t="s">
        <v>665</v>
      </c>
      <c r="B351" s="5" t="s">
        <v>666</v>
      </c>
      <c r="C351" s="4" t="s">
        <v>661</v>
      </c>
      <c r="D351" s="5" t="s">
        <v>38</v>
      </c>
      <c r="E351" s="6">
        <v>5000</v>
      </c>
      <c r="F351" s="4">
        <v>500</v>
      </c>
      <c r="G351" s="5">
        <f t="shared" si="15"/>
        <v>4500</v>
      </c>
      <c r="I351" s="4">
        <v>2500</v>
      </c>
    </row>
    <row r="352" spans="1:9" x14ac:dyDescent="0.3">
      <c r="A352" s="5" t="s">
        <v>1777</v>
      </c>
      <c r="B352" s="5" t="s">
        <v>690</v>
      </c>
      <c r="C352" s="4" t="s">
        <v>661</v>
      </c>
      <c r="D352" s="5" t="s">
        <v>76</v>
      </c>
      <c r="E352" s="5">
        <v>20043</v>
      </c>
      <c r="F352" s="4">
        <v>14800</v>
      </c>
      <c r="G352" s="5">
        <f t="shared" si="15"/>
        <v>5243</v>
      </c>
      <c r="H352" s="5" t="s">
        <v>38</v>
      </c>
      <c r="I352" s="4">
        <v>6000</v>
      </c>
    </row>
    <row r="353" spans="1:9" x14ac:dyDescent="0.3">
      <c r="A353" s="5" t="s">
        <v>667</v>
      </c>
      <c r="B353" s="5" t="s">
        <v>668</v>
      </c>
      <c r="C353" s="4" t="s">
        <v>669</v>
      </c>
      <c r="D353" s="5" t="s">
        <v>670</v>
      </c>
      <c r="E353" s="6">
        <v>4000</v>
      </c>
      <c r="F353" s="4">
        <v>200</v>
      </c>
      <c r="G353" s="5">
        <f t="shared" si="15"/>
        <v>3800</v>
      </c>
    </row>
    <row r="354" spans="1:9" x14ac:dyDescent="0.3">
      <c r="A354" s="5" t="s">
        <v>671</v>
      </c>
      <c r="B354" s="5" t="s">
        <v>672</v>
      </c>
      <c r="C354" s="4" t="s">
        <v>669</v>
      </c>
      <c r="D354" s="5" t="s">
        <v>53</v>
      </c>
      <c r="E354" s="6">
        <v>35000</v>
      </c>
      <c r="F354" s="4">
        <v>30000</v>
      </c>
      <c r="G354" s="5">
        <f t="shared" si="15"/>
        <v>5000</v>
      </c>
      <c r="H354" s="5" t="s">
        <v>38</v>
      </c>
      <c r="I354" s="4">
        <v>2500</v>
      </c>
    </row>
    <row r="355" spans="1:9" x14ac:dyDescent="0.3">
      <c r="A355" s="5" t="s">
        <v>673</v>
      </c>
      <c r="B355" s="5" t="s">
        <v>674</v>
      </c>
      <c r="C355" s="4" t="s">
        <v>675</v>
      </c>
      <c r="D355" s="5" t="s">
        <v>29</v>
      </c>
      <c r="E355" s="6">
        <v>126</v>
      </c>
      <c r="G355" s="5">
        <f t="shared" si="15"/>
        <v>126</v>
      </c>
      <c r="I355" s="4">
        <v>126</v>
      </c>
    </row>
    <row r="356" spans="1:9" x14ac:dyDescent="0.3">
      <c r="A356" s="5" t="s">
        <v>676</v>
      </c>
      <c r="B356" s="5" t="s">
        <v>677</v>
      </c>
      <c r="C356" s="4" t="s">
        <v>675</v>
      </c>
      <c r="D356" s="5" t="s">
        <v>29</v>
      </c>
      <c r="E356" s="6">
        <v>2650</v>
      </c>
      <c r="G356" s="5">
        <f t="shared" si="15"/>
        <v>2650</v>
      </c>
      <c r="I356" s="4">
        <v>2650</v>
      </c>
    </row>
    <row r="357" spans="1:9" x14ac:dyDescent="0.3">
      <c r="A357" s="5" t="s">
        <v>678</v>
      </c>
      <c r="B357" s="5" t="s">
        <v>679</v>
      </c>
      <c r="C357" s="4" t="s">
        <v>675</v>
      </c>
      <c r="D357" s="5" t="s">
        <v>29</v>
      </c>
      <c r="E357" s="6">
        <v>5440</v>
      </c>
      <c r="F357" s="4">
        <v>450</v>
      </c>
      <c r="G357" s="5">
        <f t="shared" si="15"/>
        <v>4990</v>
      </c>
      <c r="I357" s="4">
        <v>5440</v>
      </c>
    </row>
    <row r="358" spans="1:9" x14ac:dyDescent="0.3">
      <c r="A358" s="5" t="s">
        <v>1988</v>
      </c>
      <c r="B358" s="5" t="s">
        <v>859</v>
      </c>
      <c r="C358" s="4" t="s">
        <v>675</v>
      </c>
      <c r="D358" s="4" t="s">
        <v>180</v>
      </c>
      <c r="E358" s="5">
        <v>50</v>
      </c>
      <c r="F358" s="4">
        <v>15</v>
      </c>
      <c r="G358" s="5">
        <f t="shared" si="15"/>
        <v>35</v>
      </c>
    </row>
    <row r="359" spans="1:9" x14ac:dyDescent="0.3">
      <c r="A359" s="5" t="s">
        <v>1804</v>
      </c>
      <c r="B359" s="5" t="s">
        <v>859</v>
      </c>
      <c r="C359" s="4" t="s">
        <v>675</v>
      </c>
      <c r="D359" s="5" t="s">
        <v>529</v>
      </c>
      <c r="E359" s="5">
        <v>55</v>
      </c>
      <c r="G359" s="5">
        <f t="shared" si="15"/>
        <v>55</v>
      </c>
      <c r="I359" s="4">
        <v>572</v>
      </c>
    </row>
    <row r="360" spans="1:9" x14ac:dyDescent="0.3">
      <c r="A360" s="5" t="s">
        <v>680</v>
      </c>
      <c r="B360" s="5" t="s">
        <v>681</v>
      </c>
      <c r="C360" s="4" t="s">
        <v>682</v>
      </c>
      <c r="D360" s="5" t="s">
        <v>20</v>
      </c>
      <c r="E360" s="6">
        <v>23161</v>
      </c>
      <c r="G360" s="5">
        <f t="shared" si="15"/>
        <v>23161</v>
      </c>
      <c r="I360" s="4">
        <v>4000</v>
      </c>
    </row>
    <row r="361" spans="1:9" x14ac:dyDescent="0.3">
      <c r="A361" s="5" t="s">
        <v>2138</v>
      </c>
      <c r="B361" s="5" t="s">
        <v>2139</v>
      </c>
      <c r="C361" s="4" t="s">
        <v>2140</v>
      </c>
      <c r="D361" s="5" t="s">
        <v>29</v>
      </c>
      <c r="E361" s="6">
        <v>400</v>
      </c>
      <c r="G361" s="5">
        <f t="shared" si="15"/>
        <v>400</v>
      </c>
    </row>
    <row r="362" spans="1:9" x14ac:dyDescent="0.3">
      <c r="A362" s="5" t="s">
        <v>686</v>
      </c>
      <c r="B362" s="5" t="s">
        <v>687</v>
      </c>
      <c r="C362" s="4" t="s">
        <v>688</v>
      </c>
      <c r="D362" s="5" t="s">
        <v>265</v>
      </c>
      <c r="E362" s="6">
        <v>20500</v>
      </c>
      <c r="F362" s="4">
        <v>2000</v>
      </c>
      <c r="G362" s="5">
        <f t="shared" si="15"/>
        <v>18500</v>
      </c>
      <c r="I362" s="4" t="s">
        <v>689</v>
      </c>
    </row>
    <row r="363" spans="1:9" x14ac:dyDescent="0.3">
      <c r="A363" s="5" t="s">
        <v>2044</v>
      </c>
      <c r="B363" s="5" t="s">
        <v>806</v>
      </c>
      <c r="C363" s="4" t="s">
        <v>693</v>
      </c>
      <c r="D363" s="5" t="s">
        <v>25</v>
      </c>
      <c r="E363" s="6">
        <v>1131</v>
      </c>
      <c r="G363" s="6">
        <v>1131</v>
      </c>
    </row>
    <row r="364" spans="1:9" x14ac:dyDescent="0.3">
      <c r="A364" s="5" t="s">
        <v>1724</v>
      </c>
      <c r="B364" s="5" t="s">
        <v>692</v>
      </c>
      <c r="C364" s="4" t="s">
        <v>693</v>
      </c>
      <c r="D364" s="5" t="s">
        <v>29</v>
      </c>
      <c r="E364" s="6">
        <v>150</v>
      </c>
      <c r="G364" s="5">
        <f t="shared" ref="G364:G370" si="16">E364-F364</f>
        <v>150</v>
      </c>
      <c r="I364" s="4">
        <v>150</v>
      </c>
    </row>
    <row r="365" spans="1:9" x14ac:dyDescent="0.3">
      <c r="A365" s="5" t="s">
        <v>1725</v>
      </c>
      <c r="B365" s="5" t="s">
        <v>694</v>
      </c>
      <c r="C365" s="4" t="s">
        <v>693</v>
      </c>
      <c r="D365" s="5" t="s">
        <v>29</v>
      </c>
      <c r="E365" s="6">
        <v>10000</v>
      </c>
      <c r="G365" s="5">
        <f t="shared" si="16"/>
        <v>10000</v>
      </c>
      <c r="I365" s="4">
        <v>10000</v>
      </c>
    </row>
    <row r="366" spans="1:9" x14ac:dyDescent="0.3">
      <c r="A366" s="5" t="s">
        <v>1726</v>
      </c>
      <c r="B366" s="5" t="s">
        <v>695</v>
      </c>
      <c r="C366" s="4" t="s">
        <v>693</v>
      </c>
      <c r="D366" s="5" t="s">
        <v>29</v>
      </c>
      <c r="E366" s="6">
        <v>300</v>
      </c>
      <c r="G366" s="5">
        <f t="shared" si="16"/>
        <v>300</v>
      </c>
      <c r="I366" s="4">
        <v>100</v>
      </c>
    </row>
    <row r="367" spans="1:9" x14ac:dyDescent="0.3">
      <c r="A367" s="5" t="s">
        <v>696</v>
      </c>
      <c r="B367" s="5" t="s">
        <v>697</v>
      </c>
      <c r="C367" s="4" t="s">
        <v>698</v>
      </c>
      <c r="D367" s="5" t="s">
        <v>529</v>
      </c>
      <c r="E367" s="6">
        <v>844</v>
      </c>
      <c r="F367" s="4">
        <v>35</v>
      </c>
      <c r="G367" s="5">
        <f t="shared" si="16"/>
        <v>809</v>
      </c>
      <c r="I367" s="4">
        <v>844</v>
      </c>
    </row>
    <row r="368" spans="1:9" x14ac:dyDescent="0.3">
      <c r="A368" s="5" t="s">
        <v>699</v>
      </c>
      <c r="B368" s="5" t="s">
        <v>700</v>
      </c>
      <c r="C368" s="4" t="s">
        <v>701</v>
      </c>
      <c r="D368" s="5" t="s">
        <v>426</v>
      </c>
      <c r="E368" s="6">
        <v>24000</v>
      </c>
      <c r="F368" s="4">
        <v>6000</v>
      </c>
      <c r="G368" s="5">
        <f t="shared" si="16"/>
        <v>18000</v>
      </c>
      <c r="H368" s="5" t="s">
        <v>20</v>
      </c>
      <c r="I368" s="4">
        <v>3000</v>
      </c>
    </row>
    <row r="369" spans="1:9" x14ac:dyDescent="0.3">
      <c r="A369" s="5" t="s">
        <v>1725</v>
      </c>
      <c r="B369" s="5" t="s">
        <v>694</v>
      </c>
      <c r="C369" s="4" t="s">
        <v>702</v>
      </c>
      <c r="D369" s="5" t="s">
        <v>9</v>
      </c>
      <c r="E369" s="6">
        <v>49714</v>
      </c>
      <c r="G369" s="5">
        <f t="shared" si="16"/>
        <v>49714</v>
      </c>
      <c r="I369" s="4">
        <v>8000</v>
      </c>
    </row>
    <row r="370" spans="1:9" x14ac:dyDescent="0.3">
      <c r="A370" s="5" t="s">
        <v>2095</v>
      </c>
      <c r="B370" s="5" t="s">
        <v>708</v>
      </c>
      <c r="C370" s="4" t="s">
        <v>705</v>
      </c>
      <c r="D370" s="5" t="s">
        <v>29</v>
      </c>
      <c r="E370" s="6">
        <v>2400</v>
      </c>
      <c r="G370" s="5">
        <f t="shared" si="16"/>
        <v>2400</v>
      </c>
    </row>
    <row r="371" spans="1:9" x14ac:dyDescent="0.3">
      <c r="A371" s="5" t="s">
        <v>703</v>
      </c>
      <c r="B371" s="5" t="s">
        <v>704</v>
      </c>
      <c r="C371" s="4" t="s">
        <v>705</v>
      </c>
      <c r="D371" s="5" t="s">
        <v>426</v>
      </c>
      <c r="E371" s="6">
        <v>114000</v>
      </c>
      <c r="F371" s="4">
        <v>83129</v>
      </c>
      <c r="G371" s="5">
        <v>30258</v>
      </c>
      <c r="H371" s="5" t="s">
        <v>38</v>
      </c>
      <c r="I371" s="4">
        <v>15129</v>
      </c>
    </row>
    <row r="372" spans="1:9" x14ac:dyDescent="0.3">
      <c r="A372" s="5" t="s">
        <v>1727</v>
      </c>
      <c r="B372" s="5" t="s">
        <v>706</v>
      </c>
      <c r="C372" s="4" t="s">
        <v>691</v>
      </c>
      <c r="D372" s="5" t="s">
        <v>529</v>
      </c>
      <c r="E372" s="6">
        <v>35</v>
      </c>
      <c r="G372" s="5">
        <f t="shared" ref="G372:G391" si="17">E372-F372</f>
        <v>35</v>
      </c>
      <c r="I372" s="4">
        <v>35</v>
      </c>
    </row>
    <row r="373" spans="1:9" x14ac:dyDescent="0.3">
      <c r="A373" s="5" t="s">
        <v>1728</v>
      </c>
      <c r="B373" s="5" t="s">
        <v>707</v>
      </c>
      <c r="C373" s="4" t="s">
        <v>691</v>
      </c>
      <c r="D373" s="5" t="s">
        <v>29</v>
      </c>
      <c r="E373" s="6">
        <v>170</v>
      </c>
      <c r="G373" s="5">
        <f t="shared" si="17"/>
        <v>170</v>
      </c>
      <c r="I373" s="4">
        <v>170</v>
      </c>
    </row>
    <row r="374" spans="1:9" x14ac:dyDescent="0.3">
      <c r="A374" s="5" t="s">
        <v>1729</v>
      </c>
      <c r="B374" s="5" t="s">
        <v>708</v>
      </c>
      <c r="C374" s="4" t="s">
        <v>691</v>
      </c>
      <c r="D374" s="5" t="s">
        <v>29</v>
      </c>
      <c r="E374" s="6">
        <v>250</v>
      </c>
      <c r="G374" s="5">
        <f t="shared" si="17"/>
        <v>250</v>
      </c>
      <c r="I374" s="4">
        <v>250</v>
      </c>
    </row>
    <row r="375" spans="1:9" x14ac:dyDescent="0.3">
      <c r="A375" s="5" t="s">
        <v>1730</v>
      </c>
      <c r="B375" s="5" t="s">
        <v>709</v>
      </c>
      <c r="C375" s="4" t="s">
        <v>691</v>
      </c>
      <c r="D375" s="5" t="s">
        <v>29</v>
      </c>
      <c r="E375" s="6">
        <v>2000</v>
      </c>
      <c r="G375" s="5">
        <f t="shared" si="17"/>
        <v>2000</v>
      </c>
      <c r="I375" s="4">
        <v>2000</v>
      </c>
    </row>
    <row r="376" spans="1:9" x14ac:dyDescent="0.3">
      <c r="A376" s="5" t="s">
        <v>1731</v>
      </c>
      <c r="B376" s="5" t="s">
        <v>690</v>
      </c>
      <c r="C376" s="4" t="s">
        <v>691</v>
      </c>
      <c r="D376" s="5" t="s">
        <v>29</v>
      </c>
      <c r="E376" s="6">
        <v>200</v>
      </c>
      <c r="G376" s="5">
        <f t="shared" si="17"/>
        <v>200</v>
      </c>
      <c r="I376" s="4">
        <v>200</v>
      </c>
    </row>
    <row r="377" spans="1:9" x14ac:dyDescent="0.3">
      <c r="A377" s="5" t="s">
        <v>710</v>
      </c>
      <c r="B377" s="5" t="s">
        <v>711</v>
      </c>
      <c r="C377" s="4" t="s">
        <v>712</v>
      </c>
      <c r="D377" s="5" t="s">
        <v>29</v>
      </c>
      <c r="E377" s="6">
        <v>302</v>
      </c>
      <c r="G377" s="5">
        <f t="shared" si="17"/>
        <v>302</v>
      </c>
      <c r="I377" s="4">
        <v>302</v>
      </c>
    </row>
    <row r="378" spans="1:9" x14ac:dyDescent="0.3">
      <c r="A378" s="5" t="s">
        <v>713</v>
      </c>
      <c r="B378" s="5" t="s">
        <v>714</v>
      </c>
      <c r="C378" s="4" t="s">
        <v>712</v>
      </c>
      <c r="D378" s="5" t="s">
        <v>29</v>
      </c>
      <c r="E378" s="5">
        <v>45</v>
      </c>
      <c r="G378" s="5">
        <f t="shared" si="17"/>
        <v>45</v>
      </c>
      <c r="I378" s="4">
        <v>45</v>
      </c>
    </row>
    <row r="379" spans="1:9" x14ac:dyDescent="0.3">
      <c r="A379" s="5" t="s">
        <v>715</v>
      </c>
      <c r="B379" s="5" t="s">
        <v>555</v>
      </c>
      <c r="C379" s="4" t="s">
        <v>712</v>
      </c>
      <c r="D379" s="5" t="s">
        <v>20</v>
      </c>
      <c r="E379" s="6">
        <v>11048</v>
      </c>
      <c r="G379" s="5">
        <f t="shared" si="17"/>
        <v>11048</v>
      </c>
      <c r="I379" s="4">
        <v>2000</v>
      </c>
    </row>
    <row r="380" spans="1:9" x14ac:dyDescent="0.3">
      <c r="A380" s="5" t="s">
        <v>716</v>
      </c>
      <c r="B380" s="5" t="s">
        <v>618</v>
      </c>
      <c r="C380" s="4" t="s">
        <v>717</v>
      </c>
      <c r="D380" s="5" t="s">
        <v>204</v>
      </c>
      <c r="E380" s="6">
        <v>10117</v>
      </c>
      <c r="G380" s="5">
        <f t="shared" si="17"/>
        <v>10117</v>
      </c>
      <c r="I380" s="4">
        <v>600</v>
      </c>
    </row>
    <row r="381" spans="1:9" x14ac:dyDescent="0.3">
      <c r="A381" s="5" t="s">
        <v>718</v>
      </c>
      <c r="B381" s="5" t="s">
        <v>719</v>
      </c>
      <c r="C381" s="4" t="s">
        <v>722</v>
      </c>
      <c r="D381" s="5" t="s">
        <v>720</v>
      </c>
      <c r="E381" s="6">
        <v>4000</v>
      </c>
      <c r="F381" s="4">
        <v>2000</v>
      </c>
      <c r="G381" s="5">
        <f t="shared" si="17"/>
        <v>2000</v>
      </c>
      <c r="I381" s="4">
        <v>2000</v>
      </c>
    </row>
    <row r="382" spans="1:9" x14ac:dyDescent="0.3">
      <c r="A382" s="5" t="s">
        <v>1954</v>
      </c>
      <c r="B382" s="5" t="s">
        <v>1955</v>
      </c>
      <c r="C382" s="4" t="s">
        <v>722</v>
      </c>
      <c r="D382" s="5" t="s">
        <v>29</v>
      </c>
      <c r="E382" s="6"/>
      <c r="G382" s="5">
        <f t="shared" si="17"/>
        <v>0</v>
      </c>
      <c r="I382" s="4">
        <v>2000</v>
      </c>
    </row>
    <row r="383" spans="1:9" x14ac:dyDescent="0.3">
      <c r="A383" s="5" t="s">
        <v>1732</v>
      </c>
      <c r="B383" s="5" t="s">
        <v>721</v>
      </c>
      <c r="C383" s="4" t="s">
        <v>722</v>
      </c>
      <c r="D383" s="5" t="s">
        <v>29</v>
      </c>
      <c r="E383" s="6">
        <v>117</v>
      </c>
      <c r="G383" s="5">
        <f t="shared" si="17"/>
        <v>117</v>
      </c>
      <c r="I383" s="4">
        <v>117</v>
      </c>
    </row>
    <row r="384" spans="1:9" x14ac:dyDescent="0.3">
      <c r="A384" s="5" t="s">
        <v>723</v>
      </c>
      <c r="B384" s="5" t="s">
        <v>467</v>
      </c>
      <c r="C384" s="4" t="s">
        <v>724</v>
      </c>
      <c r="D384" s="5" t="s">
        <v>529</v>
      </c>
      <c r="E384" s="5">
        <v>800</v>
      </c>
      <c r="G384" s="5">
        <f t="shared" si="17"/>
        <v>800</v>
      </c>
      <c r="I384" s="4">
        <v>800</v>
      </c>
    </row>
    <row r="385" spans="1:9" x14ac:dyDescent="0.3">
      <c r="A385" s="5" t="s">
        <v>725</v>
      </c>
      <c r="B385" s="5" t="s">
        <v>726</v>
      </c>
      <c r="C385" s="4" t="s">
        <v>724</v>
      </c>
      <c r="D385" s="5" t="s">
        <v>131</v>
      </c>
      <c r="E385" s="5">
        <v>8314</v>
      </c>
      <c r="G385" s="5">
        <f t="shared" si="17"/>
        <v>8314</v>
      </c>
      <c r="I385" s="4">
        <v>8314</v>
      </c>
    </row>
    <row r="386" spans="1:9" x14ac:dyDescent="0.3">
      <c r="A386" s="5" t="s">
        <v>727</v>
      </c>
      <c r="B386" s="5" t="s">
        <v>465</v>
      </c>
      <c r="C386" s="4" t="s">
        <v>724</v>
      </c>
      <c r="D386" s="5" t="s">
        <v>529</v>
      </c>
      <c r="E386" s="5">
        <v>437</v>
      </c>
      <c r="G386" s="5">
        <f t="shared" si="17"/>
        <v>437</v>
      </c>
      <c r="I386" s="4">
        <v>437</v>
      </c>
    </row>
    <row r="387" spans="1:9" x14ac:dyDescent="0.3">
      <c r="A387" s="5" t="s">
        <v>728</v>
      </c>
      <c r="B387" s="5" t="s">
        <v>463</v>
      </c>
      <c r="C387" s="4" t="s">
        <v>724</v>
      </c>
      <c r="D387" s="5" t="s">
        <v>529</v>
      </c>
      <c r="E387" s="5">
        <v>445</v>
      </c>
      <c r="G387" s="5">
        <f t="shared" si="17"/>
        <v>445</v>
      </c>
      <c r="I387" s="4">
        <v>445</v>
      </c>
    </row>
    <row r="388" spans="1:9" x14ac:dyDescent="0.3">
      <c r="A388" s="5" t="s">
        <v>2144</v>
      </c>
      <c r="B388" s="5" t="s">
        <v>1707</v>
      </c>
      <c r="C388" s="4" t="s">
        <v>2145</v>
      </c>
      <c r="D388" s="5" t="s">
        <v>169</v>
      </c>
      <c r="E388" s="5">
        <v>100</v>
      </c>
      <c r="G388" s="5">
        <f t="shared" si="17"/>
        <v>100</v>
      </c>
    </row>
    <row r="389" spans="1:9" x14ac:dyDescent="0.3">
      <c r="A389" s="5" t="s">
        <v>729</v>
      </c>
      <c r="B389" s="5" t="s">
        <v>730</v>
      </c>
      <c r="C389" s="4" t="s">
        <v>731</v>
      </c>
      <c r="D389" s="5" t="s">
        <v>529</v>
      </c>
      <c r="E389" s="6">
        <v>3775</v>
      </c>
      <c r="F389" s="4">
        <v>1160</v>
      </c>
      <c r="G389" s="5">
        <f t="shared" si="17"/>
        <v>2615</v>
      </c>
      <c r="H389" s="5" t="s">
        <v>2118</v>
      </c>
      <c r="I389" s="4">
        <v>3775</v>
      </c>
    </row>
    <row r="390" spans="1:9" x14ac:dyDescent="0.3">
      <c r="A390" s="5" t="s">
        <v>732</v>
      </c>
      <c r="B390" s="5" t="s">
        <v>733</v>
      </c>
      <c r="C390" s="4" t="s">
        <v>731</v>
      </c>
      <c r="D390" s="5" t="s">
        <v>529</v>
      </c>
      <c r="E390" s="6">
        <v>1184</v>
      </c>
      <c r="G390" s="5">
        <f t="shared" si="17"/>
        <v>1184</v>
      </c>
      <c r="I390" s="4">
        <v>1184</v>
      </c>
    </row>
    <row r="391" spans="1:9" x14ac:dyDescent="0.3">
      <c r="A391" s="5" t="s">
        <v>734</v>
      </c>
      <c r="B391" s="5" t="s">
        <v>735</v>
      </c>
      <c r="C391" s="4" t="s">
        <v>731</v>
      </c>
      <c r="D391" s="5" t="s">
        <v>29</v>
      </c>
      <c r="E391" s="6">
        <v>948</v>
      </c>
      <c r="F391" s="4">
        <v>948</v>
      </c>
      <c r="G391" s="5">
        <f t="shared" si="17"/>
        <v>0</v>
      </c>
    </row>
    <row r="393" spans="1:9" x14ac:dyDescent="0.3">
      <c r="A393" s="5" t="s">
        <v>739</v>
      </c>
      <c r="B393" s="5" t="s">
        <v>740</v>
      </c>
      <c r="C393" s="4" t="s">
        <v>738</v>
      </c>
      <c r="D393" s="5" t="s">
        <v>25</v>
      </c>
      <c r="E393" s="6">
        <v>20136</v>
      </c>
      <c r="F393" s="4">
        <v>2900</v>
      </c>
      <c r="G393" s="5">
        <f t="shared" ref="G393:G411" si="18">E393-F393</f>
        <v>17236</v>
      </c>
      <c r="I393" s="4">
        <v>6712</v>
      </c>
    </row>
    <row r="394" spans="1:9" x14ac:dyDescent="0.3">
      <c r="A394" s="5" t="s">
        <v>1713</v>
      </c>
      <c r="B394" s="5" t="s">
        <v>1714</v>
      </c>
      <c r="C394" s="4" t="s">
        <v>738</v>
      </c>
      <c r="D394" s="5" t="s">
        <v>29</v>
      </c>
      <c r="E394" s="6"/>
      <c r="G394" s="5">
        <f t="shared" si="18"/>
        <v>0</v>
      </c>
    </row>
    <row r="395" spans="1:9" x14ac:dyDescent="0.3">
      <c r="A395" s="5" t="s">
        <v>741</v>
      </c>
      <c r="B395" s="5" t="s">
        <v>742</v>
      </c>
      <c r="C395" s="4" t="s">
        <v>743</v>
      </c>
      <c r="D395" s="5" t="s">
        <v>29</v>
      </c>
      <c r="E395" s="6">
        <v>100</v>
      </c>
      <c r="G395" s="5">
        <f t="shared" si="18"/>
        <v>100</v>
      </c>
      <c r="I395" s="4">
        <v>100</v>
      </c>
    </row>
    <row r="396" spans="1:9" x14ac:dyDescent="0.3">
      <c r="A396" s="5" t="s">
        <v>2103</v>
      </c>
      <c r="B396" s="5" t="s">
        <v>1515</v>
      </c>
      <c r="C396" s="4" t="s">
        <v>743</v>
      </c>
      <c r="D396" s="5" t="s">
        <v>426</v>
      </c>
      <c r="E396" s="5">
        <v>5106</v>
      </c>
      <c r="G396" s="5">
        <f t="shared" si="18"/>
        <v>5106</v>
      </c>
      <c r="I396" s="4">
        <v>675</v>
      </c>
    </row>
    <row r="397" spans="1:9" x14ac:dyDescent="0.3">
      <c r="A397" s="5" t="s">
        <v>2127</v>
      </c>
      <c r="B397" s="5" t="s">
        <v>754</v>
      </c>
      <c r="C397" s="4" t="s">
        <v>1722</v>
      </c>
      <c r="D397" s="5" t="s">
        <v>53</v>
      </c>
      <c r="E397" s="6">
        <v>34083</v>
      </c>
      <c r="F397" s="4">
        <v>34083</v>
      </c>
      <c r="G397" s="5">
        <f t="shared" si="18"/>
        <v>0</v>
      </c>
      <c r="I397" s="4">
        <v>2500</v>
      </c>
    </row>
    <row r="398" spans="1:9" x14ac:dyDescent="0.3">
      <c r="A398" s="5" t="s">
        <v>744</v>
      </c>
      <c r="B398" s="5" t="s">
        <v>745</v>
      </c>
      <c r="C398" s="4" t="s">
        <v>746</v>
      </c>
      <c r="D398" s="5" t="s">
        <v>131</v>
      </c>
      <c r="E398" s="6">
        <v>200</v>
      </c>
      <c r="G398" s="5">
        <f t="shared" si="18"/>
        <v>200</v>
      </c>
      <c r="I398" s="4">
        <v>200</v>
      </c>
    </row>
    <row r="399" spans="1:9" x14ac:dyDescent="0.3">
      <c r="A399" s="5" t="s">
        <v>747</v>
      </c>
      <c r="B399" s="5" t="s">
        <v>748</v>
      </c>
      <c r="C399" s="4" t="s">
        <v>746</v>
      </c>
      <c r="D399" s="5" t="s">
        <v>29</v>
      </c>
      <c r="E399" s="6">
        <v>1537</v>
      </c>
      <c r="G399" s="5">
        <f t="shared" si="18"/>
        <v>1537</v>
      </c>
      <c r="I399" s="4">
        <v>1537</v>
      </c>
    </row>
    <row r="400" spans="1:9" x14ac:dyDescent="0.3">
      <c r="A400" s="5" t="s">
        <v>749</v>
      </c>
      <c r="B400" s="5" t="s">
        <v>750</v>
      </c>
      <c r="C400" s="4" t="s">
        <v>751</v>
      </c>
      <c r="D400" s="5" t="s">
        <v>529</v>
      </c>
      <c r="E400" s="5">
        <v>95</v>
      </c>
      <c r="G400" s="5">
        <f t="shared" si="18"/>
        <v>95</v>
      </c>
      <c r="I400" s="4">
        <v>95</v>
      </c>
    </row>
    <row r="401" spans="1:9" x14ac:dyDescent="0.3">
      <c r="A401" s="5" t="s">
        <v>752</v>
      </c>
      <c r="B401" s="5" t="s">
        <v>753</v>
      </c>
      <c r="C401" s="4" t="s">
        <v>751</v>
      </c>
      <c r="D401" s="5" t="s">
        <v>29</v>
      </c>
      <c r="E401" s="5">
        <v>19</v>
      </c>
      <c r="G401" s="5">
        <f t="shared" si="18"/>
        <v>19</v>
      </c>
      <c r="I401" s="4">
        <v>19</v>
      </c>
    </row>
    <row r="402" spans="1:9" x14ac:dyDescent="0.3">
      <c r="A402" s="5" t="s">
        <v>769</v>
      </c>
      <c r="B402" s="5" t="s">
        <v>770</v>
      </c>
      <c r="C402" s="4" t="s">
        <v>751</v>
      </c>
      <c r="D402" s="5" t="s">
        <v>29</v>
      </c>
      <c r="E402" s="5">
        <v>82</v>
      </c>
      <c r="G402" s="5">
        <f t="shared" si="18"/>
        <v>82</v>
      </c>
      <c r="I402" s="4">
        <v>82</v>
      </c>
    </row>
    <row r="403" spans="1:9" x14ac:dyDescent="0.3">
      <c r="A403" s="5" t="s">
        <v>755</v>
      </c>
      <c r="B403" s="5" t="s">
        <v>756</v>
      </c>
      <c r="C403" s="4" t="s">
        <v>751</v>
      </c>
      <c r="D403" s="5" t="s">
        <v>29</v>
      </c>
      <c r="E403" s="6">
        <v>13</v>
      </c>
      <c r="G403" s="5">
        <f t="shared" si="18"/>
        <v>13</v>
      </c>
      <c r="I403" s="4">
        <v>13</v>
      </c>
    </row>
    <row r="404" spans="1:9" x14ac:dyDescent="0.3">
      <c r="A404" s="5" t="s">
        <v>757</v>
      </c>
      <c r="B404" s="5" t="s">
        <v>758</v>
      </c>
      <c r="C404" s="4" t="s">
        <v>751</v>
      </c>
      <c r="D404" s="5" t="s">
        <v>529</v>
      </c>
      <c r="E404" s="5">
        <v>59</v>
      </c>
      <c r="G404" s="5">
        <f t="shared" si="18"/>
        <v>59</v>
      </c>
    </row>
    <row r="405" spans="1:9" x14ac:dyDescent="0.3">
      <c r="A405" s="5" t="s">
        <v>759</v>
      </c>
      <c r="B405" s="5" t="s">
        <v>733</v>
      </c>
      <c r="C405" s="4" t="s">
        <v>760</v>
      </c>
      <c r="D405" s="5" t="s">
        <v>70</v>
      </c>
      <c r="E405" s="6">
        <v>39904</v>
      </c>
      <c r="F405" s="4">
        <v>15154</v>
      </c>
      <c r="G405" s="5">
        <f t="shared" si="18"/>
        <v>24750</v>
      </c>
      <c r="H405" s="5" t="s">
        <v>12</v>
      </c>
      <c r="I405" s="4">
        <v>2750</v>
      </c>
    </row>
    <row r="406" spans="1:9" x14ac:dyDescent="0.3">
      <c r="A406" s="5" t="s">
        <v>761</v>
      </c>
      <c r="B406" s="5" t="s">
        <v>413</v>
      </c>
      <c r="C406" s="4" t="s">
        <v>762</v>
      </c>
      <c r="D406" s="5" t="s">
        <v>29</v>
      </c>
      <c r="E406" s="6">
        <v>1400</v>
      </c>
      <c r="G406" s="5">
        <f t="shared" si="18"/>
        <v>1400</v>
      </c>
      <c r="I406" s="4">
        <v>1400</v>
      </c>
    </row>
    <row r="407" spans="1:9" x14ac:dyDescent="0.3">
      <c r="A407" s="5" t="s">
        <v>763</v>
      </c>
      <c r="B407" s="5" t="s">
        <v>764</v>
      </c>
      <c r="C407" s="4" t="s">
        <v>762</v>
      </c>
      <c r="D407" s="5" t="s">
        <v>29</v>
      </c>
      <c r="E407" s="6">
        <v>400</v>
      </c>
      <c r="G407" s="5">
        <f t="shared" si="18"/>
        <v>400</v>
      </c>
      <c r="I407" s="4">
        <v>400</v>
      </c>
    </row>
    <row r="408" spans="1:9" x14ac:dyDescent="0.3">
      <c r="A408" s="5" t="s">
        <v>2055</v>
      </c>
      <c r="B408" s="5" t="s">
        <v>2054</v>
      </c>
      <c r="C408" s="4" t="s">
        <v>762</v>
      </c>
      <c r="D408" s="5" t="s">
        <v>29</v>
      </c>
      <c r="E408" s="6">
        <v>150</v>
      </c>
      <c r="G408" s="5">
        <f t="shared" si="18"/>
        <v>150</v>
      </c>
    </row>
    <row r="409" spans="1:9" x14ac:dyDescent="0.3">
      <c r="A409" s="5" t="s">
        <v>765</v>
      </c>
      <c r="B409" s="5" t="s">
        <v>709</v>
      </c>
      <c r="C409" s="4" t="s">
        <v>762</v>
      </c>
      <c r="D409" s="5" t="s">
        <v>165</v>
      </c>
      <c r="E409" s="6">
        <v>4000</v>
      </c>
      <c r="F409" s="4">
        <v>2000</v>
      </c>
      <c r="G409" s="5">
        <f t="shared" si="18"/>
        <v>2000</v>
      </c>
      <c r="H409" s="5" t="s">
        <v>169</v>
      </c>
      <c r="I409" s="4">
        <v>2000</v>
      </c>
    </row>
    <row r="410" spans="1:9" x14ac:dyDescent="0.3">
      <c r="A410" s="5" t="s">
        <v>771</v>
      </c>
      <c r="B410" s="5" t="s">
        <v>772</v>
      </c>
      <c r="C410" s="4" t="s">
        <v>768</v>
      </c>
      <c r="D410" s="5" t="s">
        <v>29</v>
      </c>
      <c r="E410" s="5">
        <v>100</v>
      </c>
      <c r="G410" s="5">
        <f t="shared" si="18"/>
        <v>100</v>
      </c>
      <c r="I410" s="4">
        <v>100</v>
      </c>
    </row>
    <row r="411" spans="1:9" x14ac:dyDescent="0.3">
      <c r="A411" s="5" t="s">
        <v>773</v>
      </c>
      <c r="B411" s="5" t="s">
        <v>774</v>
      </c>
      <c r="C411" s="4" t="s">
        <v>775</v>
      </c>
      <c r="D411" s="5" t="s">
        <v>720</v>
      </c>
      <c r="E411" s="4">
        <v>8482</v>
      </c>
      <c r="G411" s="5">
        <f t="shared" si="18"/>
        <v>8482</v>
      </c>
    </row>
    <row r="412" spans="1:9" x14ac:dyDescent="0.3">
      <c r="A412" s="5" t="s">
        <v>1956</v>
      </c>
      <c r="B412" s="5" t="s">
        <v>1957</v>
      </c>
      <c r="C412" s="4" t="s">
        <v>768</v>
      </c>
      <c r="E412" s="4"/>
    </row>
    <row r="413" spans="1:9" x14ac:dyDescent="0.3">
      <c r="A413" s="5" t="s">
        <v>1520</v>
      </c>
      <c r="B413" s="5" t="s">
        <v>1521</v>
      </c>
      <c r="C413" s="4" t="s">
        <v>768</v>
      </c>
      <c r="D413" s="5" t="s">
        <v>180</v>
      </c>
      <c r="E413" s="4"/>
      <c r="G413" s="5">
        <f t="shared" ref="G413:G444" si="19">E413-F413</f>
        <v>0</v>
      </c>
    </row>
    <row r="414" spans="1:9" x14ac:dyDescent="0.3">
      <c r="A414" s="5" t="s">
        <v>776</v>
      </c>
      <c r="B414" s="5" t="s">
        <v>777</v>
      </c>
      <c r="C414" s="4" t="s">
        <v>778</v>
      </c>
      <c r="D414" s="5" t="s">
        <v>685</v>
      </c>
      <c r="E414" s="4">
        <v>3000</v>
      </c>
      <c r="F414" s="4">
        <v>350</v>
      </c>
      <c r="G414" s="5">
        <f t="shared" si="19"/>
        <v>2650</v>
      </c>
    </row>
    <row r="415" spans="1:9" x14ac:dyDescent="0.3">
      <c r="A415" s="5" t="s">
        <v>781</v>
      </c>
      <c r="B415" s="5" t="s">
        <v>782</v>
      </c>
      <c r="C415" s="4" t="s">
        <v>778</v>
      </c>
      <c r="D415" s="5" t="s">
        <v>29</v>
      </c>
      <c r="E415" s="5">
        <v>300</v>
      </c>
      <c r="G415" s="5">
        <f t="shared" si="19"/>
        <v>300</v>
      </c>
      <c r="I415" s="4">
        <v>300</v>
      </c>
    </row>
    <row r="416" spans="1:9" x14ac:dyDescent="0.3">
      <c r="A416" s="4" t="s">
        <v>783</v>
      </c>
      <c r="B416" s="4" t="s">
        <v>784</v>
      </c>
      <c r="C416" s="4" t="s">
        <v>785</v>
      </c>
      <c r="D416" s="4"/>
      <c r="E416" s="4">
        <v>15</v>
      </c>
      <c r="G416" s="5">
        <f t="shared" si="19"/>
        <v>15</v>
      </c>
      <c r="I416" s="4">
        <v>15</v>
      </c>
    </row>
    <row r="417" spans="1:9" x14ac:dyDescent="0.3">
      <c r="A417" s="4" t="s">
        <v>786</v>
      </c>
      <c r="B417" s="4" t="s">
        <v>787</v>
      </c>
      <c r="C417" s="4" t="s">
        <v>785</v>
      </c>
      <c r="D417" s="4" t="s">
        <v>529</v>
      </c>
      <c r="E417" s="4">
        <v>330</v>
      </c>
      <c r="F417" s="4">
        <v>330</v>
      </c>
      <c r="G417" s="5">
        <f t="shared" si="19"/>
        <v>0</v>
      </c>
      <c r="H417" s="5" t="s">
        <v>1897</v>
      </c>
      <c r="I417" s="4">
        <v>40</v>
      </c>
    </row>
    <row r="418" spans="1:9" x14ac:dyDescent="0.3">
      <c r="A418" s="4" t="s">
        <v>1927</v>
      </c>
      <c r="B418" s="4" t="s">
        <v>1928</v>
      </c>
      <c r="C418" s="4" t="s">
        <v>785</v>
      </c>
      <c r="D418" s="4"/>
      <c r="E418" s="4">
        <v>34</v>
      </c>
      <c r="G418" s="5">
        <f t="shared" si="19"/>
        <v>34</v>
      </c>
    </row>
    <row r="419" spans="1:9" x14ac:dyDescent="0.3">
      <c r="A419" s="4" t="s">
        <v>1570</v>
      </c>
      <c r="B419" s="4" t="s">
        <v>1571</v>
      </c>
      <c r="C419" s="4" t="s">
        <v>785</v>
      </c>
      <c r="D419" s="4" t="s">
        <v>29</v>
      </c>
      <c r="E419" s="4">
        <v>100</v>
      </c>
      <c r="F419" s="4">
        <v>50</v>
      </c>
      <c r="G419" s="5">
        <f t="shared" si="19"/>
        <v>50</v>
      </c>
      <c r="I419" s="4">
        <v>100</v>
      </c>
    </row>
    <row r="420" spans="1:9" x14ac:dyDescent="0.3">
      <c r="A420" s="4" t="s">
        <v>2069</v>
      </c>
      <c r="B420" s="4" t="s">
        <v>2070</v>
      </c>
      <c r="C420" s="4" t="s">
        <v>785</v>
      </c>
      <c r="D420" s="4" t="s">
        <v>529</v>
      </c>
      <c r="E420" s="4">
        <v>2500</v>
      </c>
      <c r="G420" s="5">
        <f t="shared" si="19"/>
        <v>2500</v>
      </c>
    </row>
    <row r="421" spans="1:9" ht="75" x14ac:dyDescent="0.3">
      <c r="A421" s="5" t="s">
        <v>1876</v>
      </c>
      <c r="B421" s="5" t="s">
        <v>1740</v>
      </c>
      <c r="C421" s="4" t="s">
        <v>1873</v>
      </c>
      <c r="D421" s="4" t="s">
        <v>1874</v>
      </c>
      <c r="E421" s="4">
        <v>2000</v>
      </c>
      <c r="G421" s="5">
        <f t="shared" si="19"/>
        <v>2000</v>
      </c>
      <c r="I421" s="4" t="s">
        <v>1461</v>
      </c>
    </row>
    <row r="422" spans="1:9" x14ac:dyDescent="0.3">
      <c r="A422" s="5" t="s">
        <v>1753</v>
      </c>
      <c r="B422" s="5" t="s">
        <v>1754</v>
      </c>
      <c r="C422" s="4" t="s">
        <v>1790</v>
      </c>
      <c r="D422" s="5" t="s">
        <v>815</v>
      </c>
      <c r="E422" s="5">
        <v>500</v>
      </c>
      <c r="F422" s="4">
        <v>500</v>
      </c>
      <c r="G422" s="5">
        <f t="shared" si="19"/>
        <v>0</v>
      </c>
    </row>
    <row r="423" spans="1:9" x14ac:dyDescent="0.3">
      <c r="A423" s="5" t="s">
        <v>788</v>
      </c>
      <c r="B423" s="5" t="s">
        <v>789</v>
      </c>
      <c r="C423" s="4" t="s">
        <v>790</v>
      </c>
      <c r="D423" s="4" t="s">
        <v>169</v>
      </c>
      <c r="E423" s="4">
        <v>6000</v>
      </c>
      <c r="G423" s="5">
        <f t="shared" si="19"/>
        <v>6000</v>
      </c>
      <c r="I423" s="4">
        <v>6000</v>
      </c>
    </row>
    <row r="424" spans="1:9" x14ac:dyDescent="0.3">
      <c r="A424" s="5" t="s">
        <v>791</v>
      </c>
      <c r="B424" s="5" t="s">
        <v>792</v>
      </c>
      <c r="C424" s="4" t="s">
        <v>790</v>
      </c>
      <c r="D424" s="5" t="s">
        <v>793</v>
      </c>
      <c r="E424" s="6">
        <v>2337</v>
      </c>
      <c r="F424" s="4">
        <v>1300</v>
      </c>
      <c r="G424" s="5">
        <f t="shared" si="19"/>
        <v>1037</v>
      </c>
    </row>
    <row r="425" spans="1:9" x14ac:dyDescent="0.3">
      <c r="A425" s="5" t="s">
        <v>794</v>
      </c>
      <c r="B425" s="5" t="s">
        <v>740</v>
      </c>
      <c r="C425" s="4" t="s">
        <v>795</v>
      </c>
      <c r="D425" s="5" t="s">
        <v>29</v>
      </c>
      <c r="E425" s="5">
        <v>1000</v>
      </c>
      <c r="G425" s="5">
        <f t="shared" si="19"/>
        <v>1000</v>
      </c>
      <c r="I425" s="4">
        <v>1000</v>
      </c>
    </row>
    <row r="426" spans="1:9" x14ac:dyDescent="0.3">
      <c r="A426" s="5" t="s">
        <v>796</v>
      </c>
      <c r="B426" s="5" t="s">
        <v>797</v>
      </c>
      <c r="C426" s="4" t="s">
        <v>795</v>
      </c>
      <c r="D426" s="5" t="s">
        <v>29</v>
      </c>
      <c r="E426" s="5">
        <v>66</v>
      </c>
      <c r="G426" s="5">
        <f t="shared" si="19"/>
        <v>66</v>
      </c>
    </row>
    <row r="427" spans="1:9" x14ac:dyDescent="0.3">
      <c r="A427" s="5" t="s">
        <v>798</v>
      </c>
      <c r="B427" s="5" t="s">
        <v>799</v>
      </c>
      <c r="C427" s="4" t="s">
        <v>795</v>
      </c>
      <c r="D427" s="5" t="s">
        <v>29</v>
      </c>
      <c r="E427" s="6">
        <v>350</v>
      </c>
      <c r="G427" s="5">
        <f t="shared" si="19"/>
        <v>350</v>
      </c>
      <c r="I427" s="4">
        <v>350</v>
      </c>
    </row>
    <row r="428" spans="1:9" x14ac:dyDescent="0.3">
      <c r="A428" s="5" t="s">
        <v>800</v>
      </c>
      <c r="B428" s="5" t="s">
        <v>801</v>
      </c>
      <c r="C428" s="4" t="s">
        <v>802</v>
      </c>
      <c r="D428" s="5" t="s">
        <v>29</v>
      </c>
      <c r="E428" s="5">
        <v>255</v>
      </c>
      <c r="G428" s="5">
        <f t="shared" si="19"/>
        <v>255</v>
      </c>
      <c r="I428" s="4">
        <v>255</v>
      </c>
    </row>
    <row r="429" spans="1:9" x14ac:dyDescent="0.3">
      <c r="A429" s="5" t="s">
        <v>803</v>
      </c>
      <c r="B429" s="5" t="s">
        <v>804</v>
      </c>
      <c r="C429" s="4" t="s">
        <v>802</v>
      </c>
      <c r="D429" s="5" t="s">
        <v>38</v>
      </c>
      <c r="E429" s="6">
        <v>114</v>
      </c>
      <c r="G429" s="5">
        <f t="shared" si="19"/>
        <v>114</v>
      </c>
      <c r="I429" s="4">
        <v>52</v>
      </c>
    </row>
    <row r="430" spans="1:9" x14ac:dyDescent="0.3">
      <c r="A430" s="5" t="s">
        <v>779</v>
      </c>
      <c r="B430" s="5" t="s">
        <v>780</v>
      </c>
      <c r="C430" s="4" t="s">
        <v>802</v>
      </c>
      <c r="D430" s="5" t="s">
        <v>29</v>
      </c>
      <c r="E430" s="5">
        <v>1462</v>
      </c>
      <c r="G430" s="5">
        <f t="shared" si="19"/>
        <v>1462</v>
      </c>
    </row>
    <row r="431" spans="1:9" x14ac:dyDescent="0.3">
      <c r="A431" s="5" t="s">
        <v>805</v>
      </c>
      <c r="B431" s="5" t="s">
        <v>806</v>
      </c>
      <c r="C431" s="4" t="s">
        <v>802</v>
      </c>
      <c r="D431" s="5" t="s">
        <v>529</v>
      </c>
      <c r="E431" s="6">
        <v>200</v>
      </c>
      <c r="G431" s="5">
        <f t="shared" si="19"/>
        <v>200</v>
      </c>
      <c r="I431" s="4">
        <v>200</v>
      </c>
    </row>
    <row r="432" spans="1:9" x14ac:dyDescent="0.3">
      <c r="A432" s="5" t="s">
        <v>1923</v>
      </c>
      <c r="B432" s="5" t="s">
        <v>1924</v>
      </c>
      <c r="C432" s="4" t="s">
        <v>811</v>
      </c>
      <c r="D432" s="5" t="s">
        <v>38</v>
      </c>
      <c r="E432" s="5">
        <v>3150</v>
      </c>
      <c r="G432" s="5">
        <f t="shared" si="19"/>
        <v>3150</v>
      </c>
      <c r="I432" s="4" t="s">
        <v>1925</v>
      </c>
    </row>
    <row r="433" spans="1:9" x14ac:dyDescent="0.3">
      <c r="A433" s="5" t="s">
        <v>810</v>
      </c>
      <c r="B433" s="5" t="s">
        <v>1958</v>
      </c>
      <c r="C433" s="4" t="s">
        <v>811</v>
      </c>
      <c r="D433" s="5" t="s">
        <v>29</v>
      </c>
      <c r="E433" s="5">
        <v>176</v>
      </c>
      <c r="G433" s="5">
        <f t="shared" si="19"/>
        <v>176</v>
      </c>
      <c r="I433" s="4">
        <v>176</v>
      </c>
    </row>
    <row r="434" spans="1:9" x14ac:dyDescent="0.3">
      <c r="A434" s="5" t="s">
        <v>808</v>
      </c>
      <c r="B434" s="5" t="s">
        <v>809</v>
      </c>
      <c r="C434" s="4" t="s">
        <v>2102</v>
      </c>
      <c r="D434" s="5" t="s">
        <v>2101</v>
      </c>
      <c r="E434" s="5">
        <v>1473</v>
      </c>
      <c r="G434" s="5">
        <f t="shared" si="19"/>
        <v>1473</v>
      </c>
      <c r="I434" s="4">
        <v>275</v>
      </c>
    </row>
    <row r="435" spans="1:9" x14ac:dyDescent="0.3">
      <c r="A435" s="5" t="s">
        <v>812</v>
      </c>
      <c r="B435" s="5" t="s">
        <v>813</v>
      </c>
      <c r="C435" s="4" t="s">
        <v>814</v>
      </c>
      <c r="D435" s="5" t="s">
        <v>29</v>
      </c>
      <c r="E435" s="6">
        <v>187</v>
      </c>
      <c r="G435" s="5">
        <f t="shared" si="19"/>
        <v>187</v>
      </c>
      <c r="I435" s="4">
        <v>187</v>
      </c>
    </row>
    <row r="436" spans="1:9" x14ac:dyDescent="0.3">
      <c r="A436" s="5" t="s">
        <v>1884</v>
      </c>
      <c r="B436" s="4" t="s">
        <v>1851</v>
      </c>
      <c r="C436" s="4" t="s">
        <v>814</v>
      </c>
      <c r="D436" s="6" t="s">
        <v>815</v>
      </c>
      <c r="E436" s="5">
        <v>968</v>
      </c>
      <c r="G436" s="5">
        <f t="shared" si="19"/>
        <v>968</v>
      </c>
      <c r="I436" s="4">
        <v>968</v>
      </c>
    </row>
    <row r="437" spans="1:9" x14ac:dyDescent="0.3">
      <c r="A437" s="5" t="s">
        <v>1888</v>
      </c>
      <c r="B437" s="4" t="s">
        <v>824</v>
      </c>
      <c r="C437" s="4" t="s">
        <v>814</v>
      </c>
      <c r="D437" s="6"/>
      <c r="E437" s="5">
        <v>230</v>
      </c>
      <c r="F437" s="4">
        <v>200</v>
      </c>
      <c r="G437" s="5">
        <f t="shared" si="19"/>
        <v>30</v>
      </c>
    </row>
    <row r="438" spans="1:9" x14ac:dyDescent="0.3">
      <c r="A438" s="5" t="s">
        <v>816</v>
      </c>
      <c r="B438" s="5" t="s">
        <v>817</v>
      </c>
      <c r="C438" s="4" t="s">
        <v>814</v>
      </c>
      <c r="D438" s="5" t="s">
        <v>529</v>
      </c>
      <c r="E438" s="6">
        <v>31</v>
      </c>
      <c r="G438" s="5">
        <f t="shared" si="19"/>
        <v>31</v>
      </c>
      <c r="I438" s="4">
        <v>31</v>
      </c>
    </row>
    <row r="439" spans="1:9" ht="37.5" x14ac:dyDescent="0.3">
      <c r="A439" s="4" t="s">
        <v>818</v>
      </c>
      <c r="B439" s="5" t="s">
        <v>819</v>
      </c>
      <c r="C439" s="4" t="s">
        <v>814</v>
      </c>
      <c r="D439" s="5" t="s">
        <v>529</v>
      </c>
      <c r="E439" s="6">
        <v>199</v>
      </c>
      <c r="G439" s="5">
        <f t="shared" si="19"/>
        <v>199</v>
      </c>
      <c r="I439" s="4">
        <v>199</v>
      </c>
    </row>
    <row r="440" spans="1:9" x14ac:dyDescent="0.3">
      <c r="A440" s="5" t="s">
        <v>820</v>
      </c>
      <c r="B440" s="5" t="s">
        <v>821</v>
      </c>
      <c r="C440" s="4" t="s">
        <v>822</v>
      </c>
      <c r="D440" s="5" t="s">
        <v>529</v>
      </c>
      <c r="E440" s="5">
        <v>290</v>
      </c>
      <c r="G440" s="5">
        <f t="shared" si="19"/>
        <v>290</v>
      </c>
      <c r="I440" s="4">
        <v>290</v>
      </c>
    </row>
    <row r="441" spans="1:9" x14ac:dyDescent="0.3">
      <c r="A441" s="5" t="s">
        <v>1773</v>
      </c>
      <c r="B441" s="5" t="s">
        <v>1736</v>
      </c>
      <c r="C441" s="4" t="s">
        <v>822</v>
      </c>
      <c r="D441" s="5" t="s">
        <v>529</v>
      </c>
      <c r="E441" s="5">
        <v>250</v>
      </c>
      <c r="F441" s="4">
        <v>150</v>
      </c>
      <c r="G441" s="5">
        <f t="shared" si="19"/>
        <v>100</v>
      </c>
    </row>
    <row r="442" spans="1:9" x14ac:dyDescent="0.3">
      <c r="A442" s="4" t="s">
        <v>823</v>
      </c>
      <c r="B442" s="5" t="s">
        <v>1959</v>
      </c>
      <c r="C442" s="4" t="s">
        <v>822</v>
      </c>
      <c r="D442" s="5" t="s">
        <v>529</v>
      </c>
      <c r="E442" s="6">
        <v>16</v>
      </c>
      <c r="G442" s="5">
        <f t="shared" si="19"/>
        <v>16</v>
      </c>
      <c r="I442" s="4">
        <v>16</v>
      </c>
    </row>
    <row r="443" spans="1:9" x14ac:dyDescent="0.3">
      <c r="A443" s="5" t="s">
        <v>1770</v>
      </c>
      <c r="B443" s="5" t="s">
        <v>1771</v>
      </c>
      <c r="C443" s="4" t="s">
        <v>822</v>
      </c>
      <c r="D443" s="4" t="s">
        <v>1769</v>
      </c>
      <c r="E443" s="6">
        <v>902</v>
      </c>
      <c r="G443" s="5">
        <f t="shared" si="19"/>
        <v>902</v>
      </c>
    </row>
    <row r="444" spans="1:9" x14ac:dyDescent="0.3">
      <c r="A444" s="5" t="s">
        <v>1476</v>
      </c>
      <c r="B444" s="5" t="s">
        <v>1126</v>
      </c>
      <c r="C444" s="4" t="s">
        <v>825</v>
      </c>
      <c r="D444" s="4" t="s">
        <v>1474</v>
      </c>
      <c r="E444" s="6">
        <v>321</v>
      </c>
      <c r="G444" s="5">
        <f t="shared" si="19"/>
        <v>321</v>
      </c>
    </row>
    <row r="445" spans="1:9" x14ac:dyDescent="0.3">
      <c r="A445" s="5" t="s">
        <v>1893</v>
      </c>
      <c r="B445" s="5" t="s">
        <v>1475</v>
      </c>
      <c r="C445" s="4" t="s">
        <v>828</v>
      </c>
      <c r="D445" s="4" t="s">
        <v>169</v>
      </c>
      <c r="E445" s="6">
        <v>108</v>
      </c>
      <c r="G445" s="5">
        <f t="shared" ref="G445:G470" si="20">E445-F445</f>
        <v>108</v>
      </c>
    </row>
    <row r="446" spans="1:9" x14ac:dyDescent="0.3">
      <c r="A446" s="5" t="s">
        <v>829</v>
      </c>
      <c r="B446" s="5" t="s">
        <v>1889</v>
      </c>
      <c r="C446" s="4" t="s">
        <v>830</v>
      </c>
      <c r="D446" s="5" t="s">
        <v>529</v>
      </c>
      <c r="E446" s="6">
        <v>690</v>
      </c>
      <c r="G446" s="5">
        <f t="shared" si="20"/>
        <v>690</v>
      </c>
      <c r="I446" s="4">
        <v>690</v>
      </c>
    </row>
    <row r="447" spans="1:9" x14ac:dyDescent="0.3">
      <c r="A447" s="5" t="s">
        <v>831</v>
      </c>
      <c r="B447" s="5" t="s">
        <v>246</v>
      </c>
      <c r="C447" s="4" t="s">
        <v>830</v>
      </c>
      <c r="D447" s="5" t="s">
        <v>529</v>
      </c>
      <c r="E447" s="6">
        <v>130</v>
      </c>
      <c r="G447" s="5">
        <f t="shared" si="20"/>
        <v>130</v>
      </c>
      <c r="I447" s="4">
        <v>130</v>
      </c>
    </row>
    <row r="448" spans="1:9" ht="37.5" x14ac:dyDescent="0.3">
      <c r="A448" s="4" t="s">
        <v>832</v>
      </c>
      <c r="B448" s="5" t="s">
        <v>833</v>
      </c>
      <c r="C448" s="4" t="s">
        <v>830</v>
      </c>
      <c r="D448" s="5" t="s">
        <v>529</v>
      </c>
      <c r="E448" s="5">
        <v>98</v>
      </c>
      <c r="G448" s="5">
        <f t="shared" si="20"/>
        <v>98</v>
      </c>
      <c r="I448" s="4">
        <v>98</v>
      </c>
    </row>
    <row r="449" spans="1:9" x14ac:dyDescent="0.3">
      <c r="A449" s="5" t="s">
        <v>834</v>
      </c>
      <c r="B449" s="5" t="s">
        <v>1960</v>
      </c>
      <c r="C449" s="4" t="s">
        <v>835</v>
      </c>
      <c r="D449" s="5" t="s">
        <v>529</v>
      </c>
      <c r="E449" s="5">
        <v>167</v>
      </c>
      <c r="G449" s="5">
        <f t="shared" si="20"/>
        <v>167</v>
      </c>
      <c r="I449" s="4">
        <v>167</v>
      </c>
    </row>
    <row r="450" spans="1:9" x14ac:dyDescent="0.3">
      <c r="A450" s="5" t="s">
        <v>1774</v>
      </c>
      <c r="B450" s="5" t="s">
        <v>1775</v>
      </c>
      <c r="C450" s="4" t="s">
        <v>835</v>
      </c>
      <c r="D450" s="5" t="s">
        <v>180</v>
      </c>
      <c r="E450" s="6">
        <v>25</v>
      </c>
      <c r="G450" s="5">
        <f t="shared" si="20"/>
        <v>25</v>
      </c>
    </row>
    <row r="451" spans="1:9" x14ac:dyDescent="0.3">
      <c r="A451" s="5" t="s">
        <v>1523</v>
      </c>
      <c r="B451" s="5" t="s">
        <v>1522</v>
      </c>
      <c r="C451" s="4" t="s">
        <v>837</v>
      </c>
      <c r="D451" s="11" t="s">
        <v>180</v>
      </c>
      <c r="E451" s="6">
        <v>3594</v>
      </c>
      <c r="F451" s="40">
        <v>15</v>
      </c>
      <c r="G451" s="5">
        <f t="shared" si="20"/>
        <v>3579</v>
      </c>
    </row>
    <row r="452" spans="1:9" x14ac:dyDescent="0.3">
      <c r="A452" s="5" t="s">
        <v>2156</v>
      </c>
      <c r="B452" s="5" t="s">
        <v>2157</v>
      </c>
      <c r="C452" s="4" t="s">
        <v>837</v>
      </c>
      <c r="D452" s="11" t="s">
        <v>180</v>
      </c>
      <c r="E452" s="6">
        <v>75</v>
      </c>
      <c r="F452" s="40"/>
      <c r="G452" s="5">
        <f t="shared" si="20"/>
        <v>75</v>
      </c>
    </row>
    <row r="453" spans="1:9" x14ac:dyDescent="0.3">
      <c r="A453" s="5" t="s">
        <v>1852</v>
      </c>
      <c r="B453" s="5" t="s">
        <v>807</v>
      </c>
      <c r="C453" s="4" t="s">
        <v>1853</v>
      </c>
      <c r="D453" s="11" t="s">
        <v>685</v>
      </c>
      <c r="E453" s="6">
        <v>191</v>
      </c>
      <c r="F453" s="40"/>
      <c r="G453" s="5">
        <f t="shared" si="20"/>
        <v>191</v>
      </c>
    </row>
    <row r="454" spans="1:9" x14ac:dyDescent="0.3">
      <c r="A454" s="5" t="s">
        <v>839</v>
      </c>
      <c r="B454" s="5" t="s">
        <v>840</v>
      </c>
      <c r="C454" s="4" t="s">
        <v>841</v>
      </c>
      <c r="D454" s="5" t="s">
        <v>29</v>
      </c>
      <c r="E454" s="6">
        <v>169</v>
      </c>
      <c r="G454" s="5">
        <f t="shared" si="20"/>
        <v>169</v>
      </c>
      <c r="I454" s="4">
        <v>169</v>
      </c>
    </row>
    <row r="455" spans="1:9" x14ac:dyDescent="0.3">
      <c r="A455" s="5" t="s">
        <v>842</v>
      </c>
      <c r="B455" s="5" t="s">
        <v>1961</v>
      </c>
      <c r="C455" s="4" t="s">
        <v>841</v>
      </c>
      <c r="D455" s="5" t="s">
        <v>529</v>
      </c>
      <c r="E455" s="6">
        <v>77</v>
      </c>
      <c r="G455" s="5">
        <f t="shared" si="20"/>
        <v>77</v>
      </c>
      <c r="I455" s="4">
        <v>75</v>
      </c>
    </row>
    <row r="456" spans="1:9" x14ac:dyDescent="0.3">
      <c r="A456" s="5" t="s">
        <v>843</v>
      </c>
      <c r="B456" s="5" t="s">
        <v>1962</v>
      </c>
      <c r="C456" s="4" t="s">
        <v>841</v>
      </c>
      <c r="D456" s="5" t="s">
        <v>529</v>
      </c>
      <c r="E456" s="6">
        <v>49</v>
      </c>
      <c r="G456" s="5">
        <f t="shared" si="20"/>
        <v>49</v>
      </c>
      <c r="I456" s="4">
        <v>49</v>
      </c>
    </row>
    <row r="457" spans="1:9" x14ac:dyDescent="0.3">
      <c r="A457" s="5" t="s">
        <v>845</v>
      </c>
      <c r="B457" s="5" t="s">
        <v>846</v>
      </c>
      <c r="C457" s="4" t="s">
        <v>844</v>
      </c>
      <c r="D457" s="5" t="s">
        <v>131</v>
      </c>
      <c r="E457" s="5">
        <v>20</v>
      </c>
      <c r="G457" s="5">
        <f t="shared" si="20"/>
        <v>20</v>
      </c>
      <c r="I457" s="4">
        <v>172</v>
      </c>
    </row>
    <row r="458" spans="1:9" x14ac:dyDescent="0.3">
      <c r="A458" s="5" t="s">
        <v>1868</v>
      </c>
      <c r="C458" s="4" t="s">
        <v>1709</v>
      </c>
      <c r="D458" s="5" t="s">
        <v>529</v>
      </c>
      <c r="E458" s="5">
        <v>70</v>
      </c>
      <c r="G458" s="5">
        <f t="shared" si="20"/>
        <v>70</v>
      </c>
    </row>
    <row r="459" spans="1:9" x14ac:dyDescent="0.3">
      <c r="A459" s="5" t="s">
        <v>1708</v>
      </c>
      <c r="B459" s="5" t="s">
        <v>246</v>
      </c>
      <c r="C459" s="4" t="s">
        <v>1709</v>
      </c>
      <c r="D459" s="5" t="s">
        <v>529</v>
      </c>
      <c r="E459" s="5">
        <v>32</v>
      </c>
      <c r="G459" s="5">
        <f t="shared" si="20"/>
        <v>32</v>
      </c>
    </row>
    <row r="460" spans="1:9" x14ac:dyDescent="0.3">
      <c r="A460" s="5" t="s">
        <v>1875</v>
      </c>
      <c r="B460" s="5" t="s">
        <v>1844</v>
      </c>
      <c r="C460" s="4" t="s">
        <v>1854</v>
      </c>
      <c r="D460" s="5" t="s">
        <v>131</v>
      </c>
      <c r="E460" s="5">
        <v>2000</v>
      </c>
      <c r="G460" s="5">
        <f t="shared" si="20"/>
        <v>2000</v>
      </c>
    </row>
    <row r="461" spans="1:9" x14ac:dyDescent="0.3">
      <c r="A461" s="5" t="s">
        <v>847</v>
      </c>
      <c r="B461" s="5" t="s">
        <v>848</v>
      </c>
      <c r="C461" s="4" t="s">
        <v>849</v>
      </c>
      <c r="D461" s="5" t="s">
        <v>29</v>
      </c>
      <c r="E461" s="6">
        <v>198</v>
      </c>
      <c r="G461" s="5">
        <f t="shared" si="20"/>
        <v>198</v>
      </c>
      <c r="I461" s="4">
        <v>198</v>
      </c>
    </row>
    <row r="462" spans="1:9" x14ac:dyDescent="0.3">
      <c r="A462" s="5" t="s">
        <v>850</v>
      </c>
      <c r="C462" s="4" t="s">
        <v>849</v>
      </c>
      <c r="D462" s="5" t="s">
        <v>529</v>
      </c>
      <c r="E462" s="5">
        <v>862</v>
      </c>
      <c r="G462" s="5">
        <f t="shared" si="20"/>
        <v>862</v>
      </c>
      <c r="I462" s="4">
        <v>862</v>
      </c>
    </row>
    <row r="463" spans="1:9" x14ac:dyDescent="0.3">
      <c r="A463" s="5" t="s">
        <v>851</v>
      </c>
      <c r="B463" s="5" t="s">
        <v>852</v>
      </c>
      <c r="C463" s="4" t="s">
        <v>853</v>
      </c>
      <c r="D463" s="5" t="s">
        <v>529</v>
      </c>
      <c r="E463" s="5">
        <v>469</v>
      </c>
      <c r="G463" s="5">
        <f t="shared" si="20"/>
        <v>469</v>
      </c>
      <c r="I463" s="4">
        <v>469</v>
      </c>
    </row>
    <row r="464" spans="1:9" x14ac:dyDescent="0.3">
      <c r="A464" s="5" t="s">
        <v>2021</v>
      </c>
      <c r="B464" s="5" t="s">
        <v>2022</v>
      </c>
      <c r="C464" s="4" t="s">
        <v>856</v>
      </c>
      <c r="D464" s="5" t="s">
        <v>529</v>
      </c>
      <c r="E464" s="5">
        <v>750</v>
      </c>
      <c r="G464" s="5">
        <f t="shared" si="20"/>
        <v>750</v>
      </c>
    </row>
    <row r="465" spans="1:9" x14ac:dyDescent="0.3">
      <c r="A465" s="4" t="s">
        <v>1846</v>
      </c>
      <c r="B465" s="5" t="s">
        <v>1847</v>
      </c>
      <c r="C465" s="4" t="s">
        <v>856</v>
      </c>
      <c r="D465" s="5" t="s">
        <v>529</v>
      </c>
      <c r="E465" s="5">
        <v>220</v>
      </c>
      <c r="G465" s="5">
        <f t="shared" si="20"/>
        <v>220</v>
      </c>
    </row>
    <row r="466" spans="1:9" x14ac:dyDescent="0.3">
      <c r="A466" s="5" t="s">
        <v>857</v>
      </c>
      <c r="B466" s="5" t="s">
        <v>858</v>
      </c>
      <c r="C466" s="4" t="s">
        <v>856</v>
      </c>
      <c r="D466" s="5" t="s">
        <v>29</v>
      </c>
      <c r="E466" s="5">
        <v>500</v>
      </c>
      <c r="G466" s="5">
        <f t="shared" si="20"/>
        <v>500</v>
      </c>
      <c r="I466" s="4">
        <v>500</v>
      </c>
    </row>
    <row r="467" spans="1:9" x14ac:dyDescent="0.3">
      <c r="A467" s="5" t="s">
        <v>860</v>
      </c>
      <c r="B467" s="5" t="s">
        <v>861</v>
      </c>
      <c r="C467" s="4" t="s">
        <v>862</v>
      </c>
      <c r="D467" s="5" t="s">
        <v>29</v>
      </c>
      <c r="E467" s="5">
        <v>954</v>
      </c>
      <c r="F467" s="4">
        <v>754</v>
      </c>
      <c r="G467" s="5">
        <f t="shared" si="20"/>
        <v>200</v>
      </c>
      <c r="I467" s="4">
        <v>200</v>
      </c>
    </row>
    <row r="468" spans="1:9" x14ac:dyDescent="0.3">
      <c r="A468" s="5" t="s">
        <v>836</v>
      </c>
      <c r="B468" s="5" t="s">
        <v>1963</v>
      </c>
      <c r="C468" s="4" t="s">
        <v>862</v>
      </c>
      <c r="D468" s="5" t="s">
        <v>131</v>
      </c>
      <c r="E468" s="6">
        <v>3600</v>
      </c>
      <c r="G468" s="5">
        <f t="shared" si="20"/>
        <v>3600</v>
      </c>
      <c r="I468" s="4">
        <v>3600</v>
      </c>
    </row>
    <row r="469" spans="1:9" ht="37.5" x14ac:dyDescent="0.3">
      <c r="A469" s="5" t="s">
        <v>863</v>
      </c>
      <c r="B469" s="5" t="s">
        <v>864</v>
      </c>
      <c r="C469" s="4" t="s">
        <v>865</v>
      </c>
      <c r="D469" s="5" t="s">
        <v>866</v>
      </c>
      <c r="E469" s="5">
        <v>430</v>
      </c>
      <c r="G469" s="5">
        <f t="shared" si="20"/>
        <v>430</v>
      </c>
    </row>
    <row r="470" spans="1:9" x14ac:dyDescent="0.3">
      <c r="A470" s="5" t="s">
        <v>867</v>
      </c>
      <c r="B470" s="5" t="s">
        <v>864</v>
      </c>
      <c r="C470" s="4" t="s">
        <v>868</v>
      </c>
      <c r="D470" s="5" t="s">
        <v>29</v>
      </c>
      <c r="E470" s="5">
        <v>39</v>
      </c>
      <c r="G470" s="5">
        <f t="shared" si="20"/>
        <v>39</v>
      </c>
      <c r="I470" s="4">
        <v>39</v>
      </c>
    </row>
    <row r="471" spans="1:9" x14ac:dyDescent="0.3">
      <c r="A471" s="9"/>
      <c r="B471" s="9"/>
      <c r="C471" s="8"/>
      <c r="D471" s="9"/>
      <c r="E471" s="9"/>
      <c r="F471" s="8"/>
      <c r="G471" s="39"/>
      <c r="H471" s="39"/>
      <c r="I471" s="8"/>
    </row>
    <row r="472" spans="1:9" ht="37.5" x14ac:dyDescent="0.3">
      <c r="A472" s="5" t="s">
        <v>511</v>
      </c>
      <c r="B472" s="5" t="s">
        <v>1448</v>
      </c>
      <c r="C472" s="4" t="s">
        <v>510</v>
      </c>
      <c r="D472" s="4" t="s">
        <v>512</v>
      </c>
      <c r="E472" s="5">
        <v>5000</v>
      </c>
      <c r="G472" s="5">
        <f t="shared" ref="G472:G495" si="21">E472-F472</f>
        <v>5000</v>
      </c>
      <c r="I472" s="4">
        <v>200</v>
      </c>
    </row>
    <row r="473" spans="1:9" x14ac:dyDescent="0.3">
      <c r="A473" s="12" t="s">
        <v>875</v>
      </c>
      <c r="B473" s="12" t="s">
        <v>876</v>
      </c>
      <c r="C473" s="22" t="s">
        <v>877</v>
      </c>
      <c r="D473" s="12" t="s">
        <v>165</v>
      </c>
      <c r="E473" s="12">
        <v>11000</v>
      </c>
      <c r="F473" s="22">
        <v>400</v>
      </c>
      <c r="G473" s="5">
        <f t="shared" si="21"/>
        <v>10600</v>
      </c>
      <c r="I473" s="22" t="s">
        <v>1433</v>
      </c>
    </row>
    <row r="474" spans="1:9" x14ac:dyDescent="0.3">
      <c r="A474" s="5" t="s">
        <v>880</v>
      </c>
      <c r="B474" s="5" t="s">
        <v>881</v>
      </c>
      <c r="C474" s="4" t="s">
        <v>882</v>
      </c>
      <c r="D474" s="5" t="s">
        <v>46</v>
      </c>
      <c r="E474" s="5">
        <v>8750</v>
      </c>
      <c r="G474" s="5">
        <f t="shared" si="21"/>
        <v>8750</v>
      </c>
      <c r="I474" s="4">
        <v>1750</v>
      </c>
    </row>
    <row r="475" spans="1:9" x14ac:dyDescent="0.3">
      <c r="A475" s="5" t="s">
        <v>883</v>
      </c>
      <c r="B475" s="5" t="s">
        <v>1749</v>
      </c>
      <c r="C475" s="4" t="s">
        <v>882</v>
      </c>
      <c r="D475" s="5" t="s">
        <v>169</v>
      </c>
      <c r="E475" s="6">
        <v>770</v>
      </c>
      <c r="F475" s="4">
        <v>640</v>
      </c>
      <c r="G475" s="5">
        <f t="shared" si="21"/>
        <v>130</v>
      </c>
      <c r="I475" s="4">
        <v>770</v>
      </c>
    </row>
    <row r="476" spans="1:9" x14ac:dyDescent="0.3">
      <c r="A476" s="5" t="s">
        <v>884</v>
      </c>
      <c r="B476" s="5" t="s">
        <v>885</v>
      </c>
      <c r="C476" s="4" t="s">
        <v>886</v>
      </c>
      <c r="D476" s="5" t="s">
        <v>29</v>
      </c>
      <c r="E476" s="5">
        <v>700</v>
      </c>
      <c r="F476" s="4">
        <v>600</v>
      </c>
      <c r="G476" s="5">
        <f t="shared" si="21"/>
        <v>100</v>
      </c>
      <c r="I476" s="4">
        <v>700</v>
      </c>
    </row>
    <row r="477" spans="1:9" x14ac:dyDescent="0.3">
      <c r="A477" s="5" t="s">
        <v>887</v>
      </c>
      <c r="B477" s="5" t="s">
        <v>888</v>
      </c>
      <c r="C477" s="4" t="s">
        <v>886</v>
      </c>
      <c r="D477" s="5" t="s">
        <v>889</v>
      </c>
      <c r="E477" s="5">
        <v>800</v>
      </c>
      <c r="F477" s="4">
        <v>400</v>
      </c>
      <c r="G477" s="5">
        <f t="shared" si="21"/>
        <v>400</v>
      </c>
      <c r="H477" s="5" t="s">
        <v>1441</v>
      </c>
      <c r="I477" s="4">
        <v>100</v>
      </c>
    </row>
    <row r="478" spans="1:9" x14ac:dyDescent="0.3">
      <c r="A478" s="5" t="s">
        <v>966</v>
      </c>
      <c r="B478" s="5" t="s">
        <v>967</v>
      </c>
      <c r="C478" s="5" t="s">
        <v>892</v>
      </c>
      <c r="D478" s="5" t="s">
        <v>169</v>
      </c>
      <c r="E478" s="5">
        <v>100</v>
      </c>
      <c r="G478" s="5">
        <f t="shared" si="21"/>
        <v>100</v>
      </c>
      <c r="I478" s="4">
        <v>100</v>
      </c>
    </row>
    <row r="479" spans="1:9" x14ac:dyDescent="0.3">
      <c r="A479" s="5" t="s">
        <v>509</v>
      </c>
      <c r="B479" s="5" t="s">
        <v>1301</v>
      </c>
      <c r="C479" s="4" t="s">
        <v>892</v>
      </c>
      <c r="D479" s="5" t="s">
        <v>1861</v>
      </c>
      <c r="E479" s="5">
        <v>5400</v>
      </c>
      <c r="F479" s="4">
        <v>1250</v>
      </c>
      <c r="G479" s="5">
        <f t="shared" si="21"/>
        <v>4150</v>
      </c>
    </row>
    <row r="480" spans="1:9" x14ac:dyDescent="0.3">
      <c r="A480" s="5" t="s">
        <v>895</v>
      </c>
      <c r="B480" s="5" t="s">
        <v>896</v>
      </c>
      <c r="C480" s="4" t="s">
        <v>897</v>
      </c>
      <c r="D480" s="5" t="s">
        <v>898</v>
      </c>
      <c r="E480" s="6">
        <v>700</v>
      </c>
      <c r="G480" s="5">
        <f t="shared" si="21"/>
        <v>700</v>
      </c>
      <c r="I480" s="4">
        <v>100</v>
      </c>
    </row>
    <row r="481" spans="1:9" x14ac:dyDescent="0.3">
      <c r="A481" s="5" t="s">
        <v>899</v>
      </c>
      <c r="B481" s="5" t="s">
        <v>900</v>
      </c>
      <c r="C481" s="4" t="s">
        <v>897</v>
      </c>
      <c r="D481" s="5" t="s">
        <v>529</v>
      </c>
      <c r="E481" s="6">
        <v>500</v>
      </c>
      <c r="G481" s="5">
        <f t="shared" si="21"/>
        <v>500</v>
      </c>
      <c r="I481" s="4">
        <v>500</v>
      </c>
    </row>
    <row r="482" spans="1:9" x14ac:dyDescent="0.3">
      <c r="A482" s="5" t="s">
        <v>2141</v>
      </c>
      <c r="B482" s="5" t="s">
        <v>2142</v>
      </c>
      <c r="C482" s="4" t="s">
        <v>903</v>
      </c>
      <c r="D482" s="5" t="s">
        <v>529</v>
      </c>
      <c r="E482" s="6">
        <v>120</v>
      </c>
      <c r="G482" s="5">
        <f t="shared" si="21"/>
        <v>120</v>
      </c>
    </row>
    <row r="483" spans="1:9" x14ac:dyDescent="0.3">
      <c r="A483" s="5" t="s">
        <v>905</v>
      </c>
      <c r="B483" s="5" t="s">
        <v>906</v>
      </c>
      <c r="C483" s="4" t="s">
        <v>903</v>
      </c>
      <c r="D483" s="5" t="s">
        <v>907</v>
      </c>
      <c r="E483" s="6">
        <v>8600</v>
      </c>
      <c r="F483" s="4">
        <v>7100</v>
      </c>
      <c r="G483" s="5">
        <f t="shared" si="21"/>
        <v>1500</v>
      </c>
      <c r="H483" s="5" t="s">
        <v>2137</v>
      </c>
      <c r="I483" s="4">
        <v>100</v>
      </c>
    </row>
    <row r="484" spans="1:9" x14ac:dyDescent="0.3">
      <c r="A484" s="5" t="s">
        <v>908</v>
      </c>
      <c r="B484" s="5" t="s">
        <v>909</v>
      </c>
      <c r="C484" s="4" t="s">
        <v>903</v>
      </c>
      <c r="D484" s="5" t="s">
        <v>529</v>
      </c>
      <c r="E484" s="6">
        <v>200</v>
      </c>
      <c r="G484" s="5">
        <f t="shared" si="21"/>
        <v>200</v>
      </c>
      <c r="I484" s="4">
        <v>200</v>
      </c>
    </row>
    <row r="485" spans="1:9" x14ac:dyDescent="0.3">
      <c r="A485" s="5" t="s">
        <v>910</v>
      </c>
      <c r="B485" s="5" t="s">
        <v>911</v>
      </c>
      <c r="C485" s="4" t="s">
        <v>903</v>
      </c>
      <c r="D485" s="5" t="s">
        <v>29</v>
      </c>
      <c r="E485" s="6">
        <v>250</v>
      </c>
      <c r="G485" s="5">
        <f t="shared" si="21"/>
        <v>250</v>
      </c>
      <c r="I485" s="4">
        <v>250</v>
      </c>
    </row>
    <row r="486" spans="1:9" x14ac:dyDescent="0.3">
      <c r="A486" s="5" t="s">
        <v>912</v>
      </c>
      <c r="B486" s="5" t="s">
        <v>913</v>
      </c>
      <c r="C486" s="4" t="s">
        <v>914</v>
      </c>
      <c r="D486" s="5" t="s">
        <v>915</v>
      </c>
      <c r="E486" s="6">
        <v>500</v>
      </c>
      <c r="F486" s="4">
        <v>100</v>
      </c>
      <c r="G486" s="5">
        <f t="shared" si="21"/>
        <v>400</v>
      </c>
      <c r="H486" s="5" t="s">
        <v>1441</v>
      </c>
      <c r="I486" s="4">
        <v>100</v>
      </c>
    </row>
    <row r="487" spans="1:9" x14ac:dyDescent="0.3">
      <c r="A487" s="5" t="s">
        <v>916</v>
      </c>
      <c r="B487" s="5" t="s">
        <v>917</v>
      </c>
      <c r="C487" s="4" t="s">
        <v>914</v>
      </c>
      <c r="D487" s="5" t="s">
        <v>918</v>
      </c>
      <c r="E487" s="5">
        <v>24</v>
      </c>
      <c r="G487" s="5">
        <f t="shared" si="21"/>
        <v>24</v>
      </c>
      <c r="I487" s="4">
        <v>24</v>
      </c>
    </row>
    <row r="488" spans="1:9" x14ac:dyDescent="0.3">
      <c r="A488" s="5" t="s">
        <v>919</v>
      </c>
      <c r="B488" s="5" t="s">
        <v>920</v>
      </c>
      <c r="C488" s="4" t="s">
        <v>914</v>
      </c>
      <c r="D488" s="5" t="s">
        <v>529</v>
      </c>
      <c r="E488" s="6">
        <v>200</v>
      </c>
      <c r="G488" s="5">
        <f t="shared" si="21"/>
        <v>200</v>
      </c>
      <c r="I488" s="4">
        <v>200</v>
      </c>
    </row>
    <row r="489" spans="1:9" ht="37.5" x14ac:dyDescent="0.3">
      <c r="A489" s="5" t="s">
        <v>921</v>
      </c>
      <c r="B489" s="5" t="s">
        <v>922</v>
      </c>
      <c r="C489" s="4" t="s">
        <v>923</v>
      </c>
      <c r="D489" s="4" t="s">
        <v>1482</v>
      </c>
      <c r="E489" s="5">
        <v>16500</v>
      </c>
      <c r="F489" s="4">
        <v>13000</v>
      </c>
      <c r="G489" s="5">
        <f t="shared" si="21"/>
        <v>3500</v>
      </c>
      <c r="H489" s="5" t="s">
        <v>898</v>
      </c>
      <c r="I489" s="4" t="s">
        <v>1483</v>
      </c>
    </row>
    <row r="490" spans="1:9" x14ac:dyDescent="0.3">
      <c r="A490" s="5" t="s">
        <v>925</v>
      </c>
      <c r="B490" s="5" t="s">
        <v>926</v>
      </c>
      <c r="C490" s="4" t="s">
        <v>923</v>
      </c>
      <c r="D490" s="5" t="s">
        <v>180</v>
      </c>
      <c r="E490" s="5">
        <v>100</v>
      </c>
      <c r="G490" s="5">
        <f t="shared" si="21"/>
        <v>100</v>
      </c>
      <c r="I490" s="4">
        <v>100</v>
      </c>
    </row>
    <row r="491" spans="1:9" x14ac:dyDescent="0.3">
      <c r="A491" s="5" t="s">
        <v>511</v>
      </c>
      <c r="B491" s="5" t="s">
        <v>1448</v>
      </c>
      <c r="C491" s="4" t="s">
        <v>923</v>
      </c>
      <c r="D491" s="5" t="s">
        <v>180</v>
      </c>
      <c r="E491" s="5">
        <v>50</v>
      </c>
      <c r="G491" s="5">
        <f t="shared" si="21"/>
        <v>50</v>
      </c>
    </row>
    <row r="492" spans="1:9" x14ac:dyDescent="0.3">
      <c r="A492" s="5" t="s">
        <v>1717</v>
      </c>
      <c r="B492" s="5" t="s">
        <v>1716</v>
      </c>
      <c r="C492" s="4" t="s">
        <v>923</v>
      </c>
      <c r="D492" s="5" t="s">
        <v>1764</v>
      </c>
      <c r="E492" s="5">
        <v>2160</v>
      </c>
      <c r="F492" s="4">
        <v>1600</v>
      </c>
      <c r="G492" s="5">
        <f t="shared" si="21"/>
        <v>560</v>
      </c>
    </row>
    <row r="493" spans="1:9" x14ac:dyDescent="0.3">
      <c r="A493" s="5" t="s">
        <v>1524</v>
      </c>
      <c r="B493" s="5" t="s">
        <v>1525</v>
      </c>
      <c r="C493" s="4" t="s">
        <v>923</v>
      </c>
      <c r="D493" s="5" t="s">
        <v>180</v>
      </c>
      <c r="E493" s="5">
        <v>50</v>
      </c>
      <c r="G493" s="5">
        <f t="shared" si="21"/>
        <v>50</v>
      </c>
    </row>
    <row r="494" spans="1:9" x14ac:dyDescent="0.3">
      <c r="A494" s="5" t="s">
        <v>1526</v>
      </c>
      <c r="B494" s="5" t="s">
        <v>1527</v>
      </c>
      <c r="C494" s="4" t="s">
        <v>923</v>
      </c>
      <c r="D494" s="5" t="s">
        <v>180</v>
      </c>
      <c r="E494" s="5">
        <v>15</v>
      </c>
      <c r="G494" s="5">
        <f t="shared" si="21"/>
        <v>15</v>
      </c>
    </row>
    <row r="495" spans="1:9" x14ac:dyDescent="0.3">
      <c r="A495" s="5" t="s">
        <v>927</v>
      </c>
      <c r="B495" s="5" t="s">
        <v>928</v>
      </c>
      <c r="C495" s="4" t="s">
        <v>929</v>
      </c>
      <c r="D495" s="5" t="s">
        <v>930</v>
      </c>
      <c r="E495" s="5">
        <v>400</v>
      </c>
      <c r="G495" s="5">
        <f t="shared" si="21"/>
        <v>400</v>
      </c>
      <c r="I495" s="4">
        <v>100</v>
      </c>
    </row>
    <row r="497" spans="1:9" x14ac:dyDescent="0.3">
      <c r="A497" s="5" t="s">
        <v>1898</v>
      </c>
      <c r="B497" s="5" t="s">
        <v>1899</v>
      </c>
      <c r="C497" s="4" t="s">
        <v>935</v>
      </c>
      <c r="D497" s="5" t="s">
        <v>180</v>
      </c>
      <c r="E497" s="6">
        <v>600</v>
      </c>
      <c r="F497" s="4">
        <v>600</v>
      </c>
      <c r="G497" s="5">
        <f t="shared" ref="G497:G519" si="22">E497-F497</f>
        <v>0</v>
      </c>
      <c r="H497" s="5" t="s">
        <v>2106</v>
      </c>
    </row>
    <row r="498" spans="1:9" x14ac:dyDescent="0.3">
      <c r="A498" s="5" t="s">
        <v>1900</v>
      </c>
      <c r="B498" s="5" t="s">
        <v>1901</v>
      </c>
      <c r="C498" s="4" t="s">
        <v>935</v>
      </c>
      <c r="D498" s="5" t="s">
        <v>180</v>
      </c>
      <c r="E498" s="6">
        <v>465</v>
      </c>
      <c r="G498" s="5">
        <f t="shared" si="22"/>
        <v>465</v>
      </c>
    </row>
    <row r="499" spans="1:9" x14ac:dyDescent="0.3">
      <c r="A499" s="5" t="s">
        <v>933</v>
      </c>
      <c r="B499" s="5" t="s">
        <v>934</v>
      </c>
      <c r="C499" s="4" t="s">
        <v>935</v>
      </c>
      <c r="D499" s="4" t="s">
        <v>936</v>
      </c>
      <c r="E499" s="5">
        <v>375</v>
      </c>
      <c r="F499" s="4">
        <v>150</v>
      </c>
      <c r="G499" s="5">
        <f t="shared" si="22"/>
        <v>225</v>
      </c>
      <c r="I499" s="4">
        <v>25</v>
      </c>
    </row>
    <row r="500" spans="1:9" x14ac:dyDescent="0.3">
      <c r="A500" s="5" t="s">
        <v>937</v>
      </c>
      <c r="B500" s="5" t="s">
        <v>938</v>
      </c>
      <c r="C500" s="4" t="s">
        <v>939</v>
      </c>
      <c r="D500" s="5" t="s">
        <v>29</v>
      </c>
      <c r="E500" s="5">
        <v>500</v>
      </c>
      <c r="F500" s="4">
        <v>200</v>
      </c>
      <c r="G500" s="5">
        <f t="shared" si="22"/>
        <v>300</v>
      </c>
      <c r="I500" s="4">
        <v>300</v>
      </c>
    </row>
    <row r="501" spans="1:9" x14ac:dyDescent="0.3">
      <c r="A501" s="5" t="s">
        <v>940</v>
      </c>
      <c r="B501" s="5" t="s">
        <v>941</v>
      </c>
      <c r="C501" s="4" t="s">
        <v>939</v>
      </c>
      <c r="D501" s="5" t="s">
        <v>942</v>
      </c>
      <c r="E501" s="6">
        <v>7200</v>
      </c>
      <c r="F501" s="4">
        <v>4700</v>
      </c>
      <c r="G501" s="5">
        <f t="shared" si="22"/>
        <v>2500</v>
      </c>
      <c r="H501" s="5">
        <v>15</v>
      </c>
      <c r="I501" s="4">
        <v>200</v>
      </c>
    </row>
    <row r="502" spans="1:9" x14ac:dyDescent="0.3">
      <c r="A502" s="5" t="s">
        <v>1810</v>
      </c>
      <c r="B502" s="5" t="s">
        <v>1807</v>
      </c>
      <c r="C502" s="4" t="s">
        <v>1834</v>
      </c>
      <c r="D502" s="4" t="s">
        <v>271</v>
      </c>
      <c r="E502" s="5">
        <v>5700</v>
      </c>
      <c r="F502" s="4">
        <v>891</v>
      </c>
      <c r="G502" s="5">
        <f t="shared" si="22"/>
        <v>4809</v>
      </c>
      <c r="H502" s="5" t="s">
        <v>135</v>
      </c>
      <c r="I502" s="4" t="s">
        <v>1808</v>
      </c>
    </row>
    <row r="503" spans="1:9" x14ac:dyDescent="0.3">
      <c r="A503" s="5" t="s">
        <v>946</v>
      </c>
      <c r="B503" s="5" t="s">
        <v>947</v>
      </c>
      <c r="C503" s="4" t="s">
        <v>948</v>
      </c>
      <c r="D503" s="5" t="s">
        <v>949</v>
      </c>
      <c r="E503" s="5">
        <v>1400</v>
      </c>
      <c r="F503" s="4">
        <v>800</v>
      </c>
      <c r="G503" s="5">
        <f t="shared" si="22"/>
        <v>600</v>
      </c>
      <c r="H503" s="5" t="s">
        <v>1443</v>
      </c>
      <c r="I503" s="4">
        <v>100</v>
      </c>
    </row>
    <row r="504" spans="1:9" x14ac:dyDescent="0.3">
      <c r="A504" s="5" t="s">
        <v>950</v>
      </c>
      <c r="B504" s="5" t="s">
        <v>951</v>
      </c>
      <c r="C504" s="4" t="s">
        <v>948</v>
      </c>
      <c r="D504" s="5" t="s">
        <v>180</v>
      </c>
      <c r="E504" s="5">
        <v>100</v>
      </c>
      <c r="G504" s="5">
        <f t="shared" si="22"/>
        <v>100</v>
      </c>
      <c r="I504" s="4">
        <v>100</v>
      </c>
    </row>
    <row r="505" spans="1:9" x14ac:dyDescent="0.3">
      <c r="A505" s="5" t="s">
        <v>952</v>
      </c>
      <c r="B505" s="5" t="s">
        <v>953</v>
      </c>
      <c r="C505" s="4" t="s">
        <v>948</v>
      </c>
      <c r="D505" s="5" t="s">
        <v>180</v>
      </c>
      <c r="E505" s="5">
        <v>178</v>
      </c>
      <c r="G505" s="5">
        <f t="shared" si="22"/>
        <v>178</v>
      </c>
      <c r="I505" s="4">
        <v>178</v>
      </c>
    </row>
    <row r="506" spans="1:9" x14ac:dyDescent="0.3">
      <c r="A506" s="5" t="s">
        <v>954</v>
      </c>
      <c r="B506" s="5" t="s">
        <v>955</v>
      </c>
      <c r="C506" s="4" t="s">
        <v>956</v>
      </c>
      <c r="D506" s="5" t="s">
        <v>131</v>
      </c>
      <c r="E506" s="5">
        <v>3100</v>
      </c>
      <c r="G506" s="5">
        <f t="shared" si="22"/>
        <v>3100</v>
      </c>
      <c r="I506" s="4">
        <v>3100</v>
      </c>
    </row>
    <row r="507" spans="1:9" x14ac:dyDescent="0.3">
      <c r="A507" s="5" t="s">
        <v>957</v>
      </c>
      <c r="B507" s="5" t="s">
        <v>958</v>
      </c>
      <c r="C507" s="4" t="s">
        <v>959</v>
      </c>
      <c r="D507" s="5" t="s">
        <v>529</v>
      </c>
      <c r="E507" s="6">
        <v>500</v>
      </c>
      <c r="G507" s="5">
        <f t="shared" si="22"/>
        <v>500</v>
      </c>
      <c r="I507" s="4">
        <v>500</v>
      </c>
    </row>
    <row r="508" spans="1:9" x14ac:dyDescent="0.3">
      <c r="A508" s="5" t="s">
        <v>960</v>
      </c>
      <c r="B508" s="5" t="s">
        <v>961</v>
      </c>
      <c r="C508" s="4" t="s">
        <v>959</v>
      </c>
      <c r="D508" s="5" t="s">
        <v>29</v>
      </c>
      <c r="E508" s="6">
        <v>465</v>
      </c>
      <c r="G508" s="5">
        <f t="shared" si="22"/>
        <v>465</v>
      </c>
      <c r="I508" s="4">
        <v>465</v>
      </c>
    </row>
    <row r="509" spans="1:9" x14ac:dyDescent="0.3">
      <c r="A509" s="5" t="s">
        <v>1991</v>
      </c>
      <c r="B509" s="5" t="s">
        <v>1972</v>
      </c>
      <c r="C509" s="4" t="s">
        <v>959</v>
      </c>
      <c r="D509" s="5" t="s">
        <v>169</v>
      </c>
      <c r="E509" s="6">
        <v>617</v>
      </c>
      <c r="F509" s="4">
        <v>617</v>
      </c>
      <c r="G509" s="5">
        <f t="shared" si="22"/>
        <v>0</v>
      </c>
      <c r="H509" s="5" t="s">
        <v>2106</v>
      </c>
    </row>
    <row r="510" spans="1:9" x14ac:dyDescent="0.3">
      <c r="A510" s="5" t="s">
        <v>1992</v>
      </c>
      <c r="B510" s="5" t="s">
        <v>1043</v>
      </c>
      <c r="C510" s="4" t="s">
        <v>964</v>
      </c>
      <c r="D510" s="5" t="s">
        <v>169</v>
      </c>
      <c r="E510" s="6">
        <v>1052</v>
      </c>
      <c r="G510" s="5">
        <f t="shared" si="22"/>
        <v>1052</v>
      </c>
    </row>
    <row r="511" spans="1:9" x14ac:dyDescent="0.3">
      <c r="A511" s="5" t="s">
        <v>2146</v>
      </c>
      <c r="B511" s="5" t="s">
        <v>951</v>
      </c>
      <c r="C511" s="4" t="s">
        <v>964</v>
      </c>
      <c r="D511" s="5" t="s">
        <v>180</v>
      </c>
      <c r="E511" s="6">
        <v>60</v>
      </c>
      <c r="G511" s="5">
        <f t="shared" si="22"/>
        <v>60</v>
      </c>
    </row>
    <row r="512" spans="1:9" ht="37.5" x14ac:dyDescent="0.3">
      <c r="A512" s="5" t="s">
        <v>962</v>
      </c>
      <c r="B512" s="5" t="s">
        <v>963</v>
      </c>
      <c r="C512" s="4" t="s">
        <v>964</v>
      </c>
      <c r="D512" s="4" t="s">
        <v>965</v>
      </c>
      <c r="E512" s="5">
        <v>800</v>
      </c>
      <c r="F512" s="4">
        <v>750</v>
      </c>
      <c r="G512" s="5">
        <f t="shared" si="22"/>
        <v>50</v>
      </c>
      <c r="I512" s="4">
        <v>100</v>
      </c>
    </row>
    <row r="513" spans="1:9" ht="37.5" x14ac:dyDescent="0.3">
      <c r="A513" s="4" t="s">
        <v>1763</v>
      </c>
      <c r="C513" s="4" t="s">
        <v>964</v>
      </c>
      <c r="D513" s="4"/>
      <c r="E513" s="5">
        <v>44</v>
      </c>
      <c r="G513" s="5">
        <f t="shared" si="22"/>
        <v>44</v>
      </c>
    </row>
    <row r="514" spans="1:9" x14ac:dyDescent="0.3">
      <c r="A514" s="5" t="s">
        <v>1914</v>
      </c>
      <c r="B514" s="5" t="s">
        <v>1915</v>
      </c>
      <c r="C514" s="4" t="s">
        <v>968</v>
      </c>
      <c r="D514" s="5" t="s">
        <v>180</v>
      </c>
      <c r="E514" s="5">
        <v>257</v>
      </c>
      <c r="G514" s="5">
        <f t="shared" si="22"/>
        <v>257</v>
      </c>
    </row>
    <row r="515" spans="1:9" x14ac:dyDescent="0.3">
      <c r="A515" s="5" t="s">
        <v>1913</v>
      </c>
      <c r="B515" s="5" t="s">
        <v>1768</v>
      </c>
      <c r="C515" s="4" t="s">
        <v>968</v>
      </c>
      <c r="D515" s="5" t="s">
        <v>169</v>
      </c>
      <c r="E515" s="5">
        <v>2100</v>
      </c>
      <c r="F515" s="4">
        <v>1400</v>
      </c>
      <c r="G515" s="5">
        <f t="shared" si="22"/>
        <v>700</v>
      </c>
    </row>
    <row r="516" spans="1:9" x14ac:dyDescent="0.3">
      <c r="A516" s="5" t="s">
        <v>969</v>
      </c>
      <c r="B516" s="5" t="s">
        <v>970</v>
      </c>
      <c r="C516" s="4" t="s">
        <v>976</v>
      </c>
      <c r="D516" s="5" t="s">
        <v>271</v>
      </c>
      <c r="E516" s="6">
        <v>937</v>
      </c>
      <c r="F516" s="4">
        <v>437</v>
      </c>
      <c r="G516" s="5">
        <f t="shared" si="22"/>
        <v>500</v>
      </c>
      <c r="H516" s="5" t="s">
        <v>165</v>
      </c>
      <c r="I516" s="4">
        <v>115</v>
      </c>
    </row>
    <row r="517" spans="1:9" x14ac:dyDescent="0.3">
      <c r="A517" s="5" t="s">
        <v>974</v>
      </c>
      <c r="B517" s="5" t="s">
        <v>975</v>
      </c>
      <c r="C517" s="4" t="s">
        <v>976</v>
      </c>
      <c r="D517" s="4" t="s">
        <v>169</v>
      </c>
      <c r="E517" s="6">
        <v>3600</v>
      </c>
      <c r="F517" s="4">
        <v>1100</v>
      </c>
      <c r="G517" s="5">
        <f t="shared" si="22"/>
        <v>2500</v>
      </c>
      <c r="I517" s="4">
        <v>4960</v>
      </c>
    </row>
    <row r="518" spans="1:9" ht="37.5" x14ac:dyDescent="0.3">
      <c r="A518" s="5" t="s">
        <v>977</v>
      </c>
      <c r="B518" s="5" t="s">
        <v>978</v>
      </c>
      <c r="C518" s="4" t="s">
        <v>976</v>
      </c>
      <c r="D518" s="5" t="s">
        <v>904</v>
      </c>
      <c r="E518" s="6">
        <v>2000</v>
      </c>
      <c r="G518" s="5">
        <f t="shared" si="22"/>
        <v>2000</v>
      </c>
      <c r="I518" s="4" t="s">
        <v>1434</v>
      </c>
    </row>
    <row r="519" spans="1:9" ht="37.5" x14ac:dyDescent="0.3">
      <c r="A519" s="5" t="s">
        <v>979</v>
      </c>
      <c r="B519" s="5" t="s">
        <v>980</v>
      </c>
      <c r="C519" s="4" t="s">
        <v>981</v>
      </c>
      <c r="D519" s="4" t="s">
        <v>982</v>
      </c>
      <c r="E519" s="6">
        <v>9000</v>
      </c>
      <c r="F519" s="4">
        <v>4700</v>
      </c>
      <c r="G519" s="5">
        <f t="shared" si="22"/>
        <v>4300</v>
      </c>
      <c r="I519" s="4" t="s">
        <v>1435</v>
      </c>
    </row>
    <row r="521" spans="1:9" x14ac:dyDescent="0.3">
      <c r="A521" s="5" t="s">
        <v>986</v>
      </c>
      <c r="B521" s="5" t="s">
        <v>987</v>
      </c>
      <c r="C521" s="4" t="s">
        <v>985</v>
      </c>
      <c r="D521" s="5" t="s">
        <v>169</v>
      </c>
      <c r="E521" s="5">
        <v>2000</v>
      </c>
      <c r="G521" s="5">
        <f>E521-F521</f>
        <v>2000</v>
      </c>
      <c r="I521" s="4">
        <v>2000</v>
      </c>
    </row>
    <row r="522" spans="1:9" x14ac:dyDescent="0.3">
      <c r="A522" s="5" t="s">
        <v>988</v>
      </c>
      <c r="B522" s="5" t="s">
        <v>989</v>
      </c>
      <c r="C522" s="4" t="s">
        <v>990</v>
      </c>
      <c r="D522" s="5" t="s">
        <v>1912</v>
      </c>
      <c r="E522" s="5">
        <v>2900</v>
      </c>
      <c r="F522" s="4">
        <v>1600</v>
      </c>
      <c r="G522" s="5">
        <f>E522-F522</f>
        <v>1300</v>
      </c>
    </row>
    <row r="523" spans="1:9" x14ac:dyDescent="0.3">
      <c r="A523" s="5" t="s">
        <v>991</v>
      </c>
      <c r="B523" s="5" t="s">
        <v>992</v>
      </c>
      <c r="C523" s="4" t="s">
        <v>990</v>
      </c>
      <c r="D523" s="5" t="s">
        <v>2010</v>
      </c>
      <c r="E523" s="6" t="s">
        <v>2011</v>
      </c>
      <c r="F523" s="4">
        <v>1100</v>
      </c>
      <c r="G523" s="5">
        <v>2200</v>
      </c>
      <c r="I523" s="4">
        <v>2300</v>
      </c>
    </row>
    <row r="524" spans="1:9" x14ac:dyDescent="0.3">
      <c r="A524" s="5" t="s">
        <v>1449</v>
      </c>
      <c r="B524" s="5" t="s">
        <v>1478</v>
      </c>
      <c r="C524" s="4" t="s">
        <v>990</v>
      </c>
      <c r="D524" s="5" t="s">
        <v>529</v>
      </c>
      <c r="E524" s="6">
        <v>6000</v>
      </c>
      <c r="G524" s="5">
        <f t="shared" ref="G524:G560" si="23">E524-F524</f>
        <v>6000</v>
      </c>
    </row>
    <row r="525" spans="1:9" x14ac:dyDescent="0.3">
      <c r="A525" s="5" t="s">
        <v>993</v>
      </c>
      <c r="B525" s="5" t="s">
        <v>994</v>
      </c>
      <c r="C525" s="4" t="s">
        <v>995</v>
      </c>
      <c r="D525" s="5" t="s">
        <v>29</v>
      </c>
      <c r="E525" s="6">
        <v>960</v>
      </c>
      <c r="G525" s="5">
        <f t="shared" si="23"/>
        <v>960</v>
      </c>
      <c r="I525" s="4">
        <v>960</v>
      </c>
    </row>
    <row r="526" spans="1:9" x14ac:dyDescent="0.3">
      <c r="A526" s="5" t="s">
        <v>1877</v>
      </c>
      <c r="B526" s="5" t="s">
        <v>1878</v>
      </c>
      <c r="C526" s="4" t="s">
        <v>995</v>
      </c>
      <c r="D526" s="5" t="s">
        <v>169</v>
      </c>
      <c r="E526" s="6">
        <v>1050</v>
      </c>
      <c r="F526" s="4">
        <v>800</v>
      </c>
      <c r="G526" s="5">
        <f t="shared" si="23"/>
        <v>250</v>
      </c>
    </row>
    <row r="527" spans="1:9" x14ac:dyDescent="0.3">
      <c r="A527" s="5" t="s">
        <v>996</v>
      </c>
      <c r="B527" s="5" t="s">
        <v>997</v>
      </c>
      <c r="C527" s="4" t="s">
        <v>998</v>
      </c>
      <c r="D527" s="5" t="s">
        <v>165</v>
      </c>
      <c r="E527" s="5">
        <v>25</v>
      </c>
      <c r="G527" s="5">
        <f t="shared" si="23"/>
        <v>25</v>
      </c>
    </row>
    <row r="528" spans="1:9" ht="37.5" x14ac:dyDescent="0.3">
      <c r="A528" s="5" t="s">
        <v>999</v>
      </c>
      <c r="B528" s="5" t="s">
        <v>1000</v>
      </c>
      <c r="C528" s="4" t="s">
        <v>1001</v>
      </c>
      <c r="D528" s="5" t="s">
        <v>46</v>
      </c>
      <c r="E528" s="5">
        <v>23050</v>
      </c>
      <c r="F528" s="4">
        <v>8050</v>
      </c>
      <c r="G528" s="5">
        <f t="shared" si="23"/>
        <v>15000</v>
      </c>
      <c r="H528" s="5" t="s">
        <v>25</v>
      </c>
      <c r="I528" s="4" t="s">
        <v>1002</v>
      </c>
    </row>
    <row r="529" spans="1:9" x14ac:dyDescent="0.3">
      <c r="A529" s="5" t="s">
        <v>1003</v>
      </c>
      <c r="B529" s="5" t="s">
        <v>1004</v>
      </c>
      <c r="C529" s="4" t="s">
        <v>1005</v>
      </c>
      <c r="D529" s="5" t="s">
        <v>169</v>
      </c>
      <c r="E529" s="5">
        <v>1200</v>
      </c>
      <c r="G529" s="5">
        <f t="shared" si="23"/>
        <v>1200</v>
      </c>
      <c r="I529" s="4">
        <v>1200</v>
      </c>
    </row>
    <row r="530" spans="1:9" x14ac:dyDescent="0.3">
      <c r="A530" s="5" t="s">
        <v>1006</v>
      </c>
      <c r="B530" s="5" t="s">
        <v>1007</v>
      </c>
      <c r="C530" s="4" t="s">
        <v>1005</v>
      </c>
      <c r="D530" s="5" t="s">
        <v>169</v>
      </c>
      <c r="E530" s="5">
        <v>750</v>
      </c>
      <c r="F530" s="4">
        <v>551</v>
      </c>
      <c r="G530" s="5">
        <f t="shared" si="23"/>
        <v>199</v>
      </c>
      <c r="I530" s="4">
        <v>750</v>
      </c>
    </row>
    <row r="531" spans="1:9" ht="37.5" x14ac:dyDescent="0.3">
      <c r="A531" s="5" t="s">
        <v>1008</v>
      </c>
      <c r="B531" s="5" t="s">
        <v>1009</v>
      </c>
      <c r="C531" s="4" t="s">
        <v>1010</v>
      </c>
      <c r="D531" s="4" t="s">
        <v>1011</v>
      </c>
      <c r="E531" s="6">
        <v>4500</v>
      </c>
      <c r="F531" s="4">
        <v>100</v>
      </c>
      <c r="G531" s="5">
        <f t="shared" si="23"/>
        <v>4400</v>
      </c>
      <c r="I531" s="4">
        <v>200</v>
      </c>
    </row>
    <row r="532" spans="1:9" x14ac:dyDescent="0.3">
      <c r="A532" s="5" t="s">
        <v>1012</v>
      </c>
      <c r="B532" s="5" t="s">
        <v>1013</v>
      </c>
      <c r="C532" s="4" t="s">
        <v>1010</v>
      </c>
      <c r="D532" s="4" t="s">
        <v>29</v>
      </c>
      <c r="E532" s="6">
        <v>61</v>
      </c>
      <c r="G532" s="5">
        <f t="shared" si="23"/>
        <v>61</v>
      </c>
      <c r="I532" s="4">
        <v>61</v>
      </c>
    </row>
    <row r="533" spans="1:9" x14ac:dyDescent="0.3">
      <c r="A533" s="5" t="s">
        <v>1528</v>
      </c>
      <c r="B533" s="5" t="s">
        <v>1529</v>
      </c>
      <c r="C533" s="4" t="s">
        <v>1010</v>
      </c>
      <c r="D533" s="4" t="s">
        <v>180</v>
      </c>
      <c r="E533" s="6">
        <v>107</v>
      </c>
      <c r="G533" s="5">
        <f t="shared" si="23"/>
        <v>107</v>
      </c>
    </row>
    <row r="534" spans="1:9" x14ac:dyDescent="0.3">
      <c r="A534" s="5" t="s">
        <v>1014</v>
      </c>
      <c r="B534" s="5" t="s">
        <v>1015</v>
      </c>
      <c r="C534" s="4" t="s">
        <v>1016</v>
      </c>
      <c r="D534" s="5" t="s">
        <v>265</v>
      </c>
      <c r="E534" s="5">
        <v>1185</v>
      </c>
      <c r="G534" s="5">
        <f t="shared" si="23"/>
        <v>1185</v>
      </c>
      <c r="I534" s="4">
        <v>325</v>
      </c>
    </row>
    <row r="535" spans="1:9" x14ac:dyDescent="0.3">
      <c r="A535" s="5" t="s">
        <v>1017</v>
      </c>
      <c r="B535" s="5" t="s">
        <v>1018</v>
      </c>
      <c r="C535" s="4" t="s">
        <v>1016</v>
      </c>
      <c r="D535" s="5" t="s">
        <v>29</v>
      </c>
      <c r="E535" s="6">
        <v>155</v>
      </c>
      <c r="G535" s="5">
        <f t="shared" si="23"/>
        <v>155</v>
      </c>
      <c r="I535" s="4">
        <v>155</v>
      </c>
    </row>
    <row r="536" spans="1:9" x14ac:dyDescent="0.3">
      <c r="A536" s="5" t="s">
        <v>1019</v>
      </c>
      <c r="B536" s="5" t="s">
        <v>1020</v>
      </c>
      <c r="C536" s="4" t="s">
        <v>1021</v>
      </c>
      <c r="D536" s="5" t="s">
        <v>29</v>
      </c>
      <c r="E536" s="5">
        <v>352</v>
      </c>
      <c r="F536" s="4">
        <v>352</v>
      </c>
      <c r="G536" s="5">
        <f t="shared" si="23"/>
        <v>0</v>
      </c>
      <c r="I536" s="4">
        <v>352</v>
      </c>
    </row>
    <row r="537" spans="1:9" x14ac:dyDescent="0.3">
      <c r="A537" s="5" t="s">
        <v>1022</v>
      </c>
      <c r="B537" s="5" t="s">
        <v>1023</v>
      </c>
      <c r="C537" s="4" t="s">
        <v>1021</v>
      </c>
      <c r="D537" s="5" t="s">
        <v>238</v>
      </c>
      <c r="E537" s="6">
        <v>3481</v>
      </c>
      <c r="F537" s="4">
        <v>2100</v>
      </c>
      <c r="G537" s="5">
        <f t="shared" si="23"/>
        <v>1381</v>
      </c>
      <c r="H537" s="5" t="s">
        <v>265</v>
      </c>
      <c r="I537" s="4">
        <v>300</v>
      </c>
    </row>
    <row r="538" spans="1:9" x14ac:dyDescent="0.3">
      <c r="A538" s="5" t="s">
        <v>1037</v>
      </c>
      <c r="B538" s="5" t="s">
        <v>1038</v>
      </c>
      <c r="C538" s="4" t="s">
        <v>1021</v>
      </c>
      <c r="D538" s="5" t="s">
        <v>265</v>
      </c>
      <c r="E538" s="6">
        <v>8000</v>
      </c>
      <c r="F538" s="4">
        <v>6000</v>
      </c>
      <c r="G538" s="5">
        <f t="shared" si="23"/>
        <v>2000</v>
      </c>
      <c r="H538" s="5" t="s">
        <v>169</v>
      </c>
      <c r="I538" s="4">
        <v>2665</v>
      </c>
    </row>
    <row r="539" spans="1:9" x14ac:dyDescent="0.3">
      <c r="A539" s="5" t="s">
        <v>1024</v>
      </c>
      <c r="B539" s="5" t="s">
        <v>1025</v>
      </c>
      <c r="C539" s="4" t="s">
        <v>1026</v>
      </c>
      <c r="D539" s="5" t="s">
        <v>169</v>
      </c>
      <c r="E539" s="6">
        <v>1200</v>
      </c>
      <c r="G539" s="5">
        <f t="shared" si="23"/>
        <v>1200</v>
      </c>
      <c r="I539" s="4">
        <v>1200</v>
      </c>
    </row>
    <row r="540" spans="1:9" x14ac:dyDescent="0.3">
      <c r="A540" s="5" t="s">
        <v>1027</v>
      </c>
      <c r="B540" s="5" t="s">
        <v>1028</v>
      </c>
      <c r="C540" s="4" t="s">
        <v>1026</v>
      </c>
      <c r="D540" s="5" t="s">
        <v>165</v>
      </c>
      <c r="E540" s="5">
        <v>500</v>
      </c>
      <c r="G540" s="5">
        <f t="shared" si="23"/>
        <v>500</v>
      </c>
      <c r="I540" s="4">
        <v>300</v>
      </c>
    </row>
    <row r="541" spans="1:9" x14ac:dyDescent="0.3">
      <c r="A541" s="5" t="s">
        <v>1029</v>
      </c>
      <c r="B541" s="5" t="s">
        <v>1030</v>
      </c>
      <c r="C541" s="4" t="s">
        <v>1031</v>
      </c>
      <c r="D541" s="5" t="s">
        <v>169</v>
      </c>
      <c r="G541" s="5">
        <f t="shared" si="23"/>
        <v>0</v>
      </c>
    </row>
    <row r="542" spans="1:9" x14ac:dyDescent="0.3">
      <c r="A542" s="5" t="s">
        <v>1032</v>
      </c>
      <c r="B542" s="5" t="s">
        <v>1033</v>
      </c>
      <c r="C542" s="4" t="s">
        <v>1031</v>
      </c>
      <c r="D542" s="5" t="s">
        <v>169</v>
      </c>
      <c r="E542" s="6">
        <v>680</v>
      </c>
      <c r="G542" s="5">
        <f t="shared" si="23"/>
        <v>680</v>
      </c>
      <c r="I542" s="4">
        <v>680</v>
      </c>
    </row>
    <row r="543" spans="1:9" x14ac:dyDescent="0.3">
      <c r="A543" s="5" t="s">
        <v>1034</v>
      </c>
      <c r="B543" s="5" t="s">
        <v>1035</v>
      </c>
      <c r="C543" s="4" t="s">
        <v>1036</v>
      </c>
      <c r="D543" s="5" t="s">
        <v>235</v>
      </c>
      <c r="E543" s="6">
        <v>15360</v>
      </c>
      <c r="F543" s="4">
        <v>10425</v>
      </c>
      <c r="G543" s="5">
        <f t="shared" si="23"/>
        <v>4935</v>
      </c>
      <c r="H543" s="5" t="s">
        <v>1162</v>
      </c>
      <c r="I543" s="4">
        <v>1275</v>
      </c>
    </row>
    <row r="544" spans="1:9" x14ac:dyDescent="0.3">
      <c r="A544" s="5" t="s">
        <v>1347</v>
      </c>
      <c r="B544" s="5" t="s">
        <v>1348</v>
      </c>
      <c r="C544" s="4" t="s">
        <v>1039</v>
      </c>
      <c r="D544" s="5" t="s">
        <v>169</v>
      </c>
      <c r="E544" s="6">
        <v>120</v>
      </c>
      <c r="G544" s="5">
        <f t="shared" si="23"/>
        <v>120</v>
      </c>
    </row>
    <row r="545" spans="1:9" x14ac:dyDescent="0.3">
      <c r="A545" s="5" t="s">
        <v>1848</v>
      </c>
      <c r="B545" s="5" t="s">
        <v>1350</v>
      </c>
      <c r="C545" s="4" t="s">
        <v>1040</v>
      </c>
      <c r="D545" s="5" t="s">
        <v>165</v>
      </c>
      <c r="E545" s="6">
        <v>6450</v>
      </c>
      <c r="F545" s="4">
        <v>2800</v>
      </c>
      <c r="G545" s="5">
        <f t="shared" si="23"/>
        <v>3650</v>
      </c>
      <c r="I545" s="4">
        <v>2763</v>
      </c>
    </row>
    <row r="546" spans="1:9" x14ac:dyDescent="0.3">
      <c r="A546" s="5" t="s">
        <v>1042</v>
      </c>
      <c r="B546" s="5" t="s">
        <v>1043</v>
      </c>
      <c r="C546" s="4" t="s">
        <v>1041</v>
      </c>
      <c r="D546" s="5" t="s">
        <v>169</v>
      </c>
      <c r="E546" s="6">
        <v>800</v>
      </c>
      <c r="F546" s="4">
        <v>600</v>
      </c>
      <c r="G546" s="5">
        <f t="shared" si="23"/>
        <v>200</v>
      </c>
    </row>
    <row r="547" spans="1:9" x14ac:dyDescent="0.3">
      <c r="A547" s="5" t="s">
        <v>1044</v>
      </c>
      <c r="B547" s="5" t="s">
        <v>1045</v>
      </c>
      <c r="C547" s="4" t="s">
        <v>1041</v>
      </c>
      <c r="D547" s="5" t="s">
        <v>165</v>
      </c>
      <c r="E547" s="6">
        <v>2500</v>
      </c>
      <c r="F547" s="4">
        <v>200</v>
      </c>
      <c r="G547" s="5">
        <f t="shared" si="23"/>
        <v>2300</v>
      </c>
      <c r="I547" s="4">
        <v>1250</v>
      </c>
    </row>
    <row r="548" spans="1:9" x14ac:dyDescent="0.3">
      <c r="A548" s="5" t="s">
        <v>1046</v>
      </c>
      <c r="B548" s="5" t="s">
        <v>1047</v>
      </c>
      <c r="C548" s="4" t="s">
        <v>1048</v>
      </c>
      <c r="D548" s="5" t="s">
        <v>135</v>
      </c>
      <c r="E548" s="6">
        <v>10500</v>
      </c>
      <c r="G548" s="5">
        <f t="shared" si="23"/>
        <v>10500</v>
      </c>
      <c r="I548" s="4">
        <v>1900</v>
      </c>
    </row>
    <row r="549" spans="1:9" x14ac:dyDescent="0.3">
      <c r="A549" s="5" t="s">
        <v>1049</v>
      </c>
      <c r="B549" s="5" t="s">
        <v>1050</v>
      </c>
      <c r="C549" s="4" t="s">
        <v>1051</v>
      </c>
      <c r="D549" s="5" t="s">
        <v>169</v>
      </c>
      <c r="E549" s="5">
        <v>650</v>
      </c>
      <c r="G549" s="5">
        <f t="shared" si="23"/>
        <v>650</v>
      </c>
      <c r="I549" s="4">
        <v>650</v>
      </c>
    </row>
    <row r="550" spans="1:9" x14ac:dyDescent="0.3">
      <c r="A550" s="5" t="s">
        <v>1052</v>
      </c>
      <c r="B550" s="5" t="s">
        <v>1053</v>
      </c>
      <c r="C550" s="4" t="s">
        <v>1054</v>
      </c>
      <c r="D550" s="5" t="s">
        <v>169</v>
      </c>
      <c r="E550" s="6">
        <v>300</v>
      </c>
      <c r="F550" s="4">
        <v>200</v>
      </c>
      <c r="G550" s="5">
        <f t="shared" si="23"/>
        <v>100</v>
      </c>
      <c r="I550" s="4">
        <v>100</v>
      </c>
    </row>
    <row r="551" spans="1:9" x14ac:dyDescent="0.3">
      <c r="A551" s="5" t="s">
        <v>1055</v>
      </c>
      <c r="B551" s="5" t="s">
        <v>1056</v>
      </c>
      <c r="C551" s="4" t="s">
        <v>1054</v>
      </c>
      <c r="D551" s="5" t="s">
        <v>260</v>
      </c>
      <c r="E551" s="6">
        <v>6675</v>
      </c>
      <c r="F551" s="4">
        <v>4600</v>
      </c>
      <c r="G551" s="5">
        <f t="shared" si="23"/>
        <v>2075</v>
      </c>
      <c r="H551" s="5" t="s">
        <v>169</v>
      </c>
      <c r="I551" s="4">
        <v>1667</v>
      </c>
    </row>
    <row r="552" spans="1:9" x14ac:dyDescent="0.3">
      <c r="A552" s="5" t="s">
        <v>1057</v>
      </c>
      <c r="B552" s="5" t="s">
        <v>1058</v>
      </c>
      <c r="C552" s="4" t="s">
        <v>1059</v>
      </c>
      <c r="D552" s="5" t="s">
        <v>265</v>
      </c>
      <c r="E552" s="6">
        <v>2000</v>
      </c>
      <c r="F552" s="4">
        <v>750</v>
      </c>
      <c r="G552" s="5">
        <f t="shared" si="23"/>
        <v>1250</v>
      </c>
      <c r="I552" s="4">
        <v>665</v>
      </c>
    </row>
    <row r="553" spans="1:9" x14ac:dyDescent="0.3">
      <c r="A553" s="5" t="s">
        <v>1060</v>
      </c>
      <c r="B553" s="5" t="s">
        <v>1061</v>
      </c>
      <c r="C553" s="4" t="s">
        <v>1059</v>
      </c>
      <c r="D553" s="4" t="s">
        <v>1062</v>
      </c>
      <c r="E553" s="6">
        <v>6300</v>
      </c>
      <c r="G553" s="5">
        <f t="shared" si="23"/>
        <v>6300</v>
      </c>
      <c r="I553" s="4">
        <v>6300</v>
      </c>
    </row>
    <row r="554" spans="1:9" x14ac:dyDescent="0.3">
      <c r="A554" s="5" t="s">
        <v>1063</v>
      </c>
      <c r="B554" s="5" t="s">
        <v>1064</v>
      </c>
      <c r="C554" s="4" t="s">
        <v>1065</v>
      </c>
      <c r="D554" s="4" t="s">
        <v>1791</v>
      </c>
      <c r="E554" s="6">
        <v>3245</v>
      </c>
      <c r="F554" s="4">
        <v>750</v>
      </c>
      <c r="G554" s="5">
        <f t="shared" si="23"/>
        <v>2495</v>
      </c>
    </row>
    <row r="555" spans="1:9" x14ac:dyDescent="0.3">
      <c r="A555" s="5" t="s">
        <v>1066</v>
      </c>
      <c r="B555" s="5" t="s">
        <v>1067</v>
      </c>
      <c r="C555" s="4" t="s">
        <v>1065</v>
      </c>
      <c r="D555" s="5" t="s">
        <v>180</v>
      </c>
      <c r="E555" s="6">
        <v>5060</v>
      </c>
      <c r="G555" s="5">
        <f t="shared" si="23"/>
        <v>5060</v>
      </c>
      <c r="I555" s="4">
        <v>5060</v>
      </c>
    </row>
    <row r="556" spans="1:9" x14ac:dyDescent="0.3">
      <c r="A556" s="5" t="s">
        <v>1068</v>
      </c>
      <c r="B556" s="5" t="s">
        <v>1069</v>
      </c>
      <c r="C556" s="4" t="s">
        <v>1070</v>
      </c>
      <c r="D556" s="5" t="s">
        <v>180</v>
      </c>
      <c r="E556" s="6">
        <v>6542</v>
      </c>
      <c r="G556" s="5">
        <f t="shared" si="23"/>
        <v>6542</v>
      </c>
      <c r="I556" s="4">
        <v>6542</v>
      </c>
    </row>
    <row r="557" spans="1:9" x14ac:dyDescent="0.3">
      <c r="A557" s="5" t="s">
        <v>1071</v>
      </c>
      <c r="B557" s="5" t="s">
        <v>1072</v>
      </c>
      <c r="C557" s="4" t="s">
        <v>1070</v>
      </c>
      <c r="D557" s="5" t="s">
        <v>180</v>
      </c>
      <c r="E557" s="6">
        <v>88</v>
      </c>
      <c r="G557" s="5">
        <f t="shared" si="23"/>
        <v>88</v>
      </c>
      <c r="I557" s="4">
        <v>88</v>
      </c>
    </row>
    <row r="558" spans="1:9" x14ac:dyDescent="0.3">
      <c r="A558" s="5" t="s">
        <v>1073</v>
      </c>
      <c r="B558" s="5" t="s">
        <v>1074</v>
      </c>
      <c r="C558" s="4" t="s">
        <v>1070</v>
      </c>
      <c r="D558" s="4" t="s">
        <v>1075</v>
      </c>
      <c r="E558" s="6">
        <v>1400</v>
      </c>
      <c r="F558" s="4">
        <v>800</v>
      </c>
      <c r="G558" s="5">
        <f t="shared" si="23"/>
        <v>600</v>
      </c>
      <c r="H558" s="5" t="s">
        <v>169</v>
      </c>
    </row>
    <row r="559" spans="1:9" x14ac:dyDescent="0.3">
      <c r="A559" s="5" t="s">
        <v>1762</v>
      </c>
      <c r="B559" s="5" t="s">
        <v>1058</v>
      </c>
      <c r="C559" s="4" t="s">
        <v>1070</v>
      </c>
      <c r="D559" s="5" t="s">
        <v>265</v>
      </c>
      <c r="E559" s="5">
        <v>1000</v>
      </c>
      <c r="G559" s="5">
        <f t="shared" si="23"/>
        <v>1000</v>
      </c>
    </row>
    <row r="560" spans="1:9" x14ac:dyDescent="0.3">
      <c r="A560" s="5" t="s">
        <v>1076</v>
      </c>
      <c r="B560" s="5" t="s">
        <v>1077</v>
      </c>
      <c r="C560" s="4" t="s">
        <v>1070</v>
      </c>
      <c r="D560" s="5" t="s">
        <v>180</v>
      </c>
      <c r="E560" s="5">
        <v>96</v>
      </c>
      <c r="G560" s="5">
        <f t="shared" si="23"/>
        <v>96</v>
      </c>
      <c r="I560" s="4">
        <v>96</v>
      </c>
    </row>
    <row r="561" spans="1:9" x14ac:dyDescent="0.3">
      <c r="A561" s="13"/>
      <c r="B561" s="13"/>
      <c r="C561" s="23"/>
      <c r="D561" s="13"/>
      <c r="E561" s="13"/>
      <c r="F561" s="23"/>
      <c r="G561" s="39"/>
      <c r="H561" s="39"/>
      <c r="I561" s="23"/>
    </row>
    <row r="562" spans="1:9" x14ac:dyDescent="0.3">
      <c r="A562" s="5" t="s">
        <v>470</v>
      </c>
      <c r="B562" s="5" t="s">
        <v>471</v>
      </c>
      <c r="C562" s="4" t="s">
        <v>1080</v>
      </c>
      <c r="D562" s="4" t="s">
        <v>131</v>
      </c>
      <c r="E562" s="6">
        <v>185</v>
      </c>
      <c r="G562" s="5">
        <f>E562-F562</f>
        <v>185</v>
      </c>
      <c r="I562" s="4">
        <v>185</v>
      </c>
    </row>
    <row r="563" spans="1:9" x14ac:dyDescent="0.3">
      <c r="A563" s="5" t="s">
        <v>1078</v>
      </c>
      <c r="B563" s="5" t="s">
        <v>1079</v>
      </c>
      <c r="C563" s="4" t="s">
        <v>1080</v>
      </c>
      <c r="D563" s="5" t="s">
        <v>1081</v>
      </c>
      <c r="E563" s="4">
        <v>2438</v>
      </c>
      <c r="F563" s="4">
        <v>176</v>
      </c>
      <c r="G563" s="5">
        <f t="shared" ref="G563:G602" si="24">E563-F563</f>
        <v>2262</v>
      </c>
      <c r="I563" s="4">
        <v>2363</v>
      </c>
    </row>
    <row r="564" spans="1:9" x14ac:dyDescent="0.3">
      <c r="A564" s="5" t="s">
        <v>1082</v>
      </c>
      <c r="B564" s="5" t="s">
        <v>1083</v>
      </c>
      <c r="C564" s="4" t="s">
        <v>1080</v>
      </c>
      <c r="D564" s="5" t="s">
        <v>1081</v>
      </c>
      <c r="G564" s="5">
        <f t="shared" si="24"/>
        <v>0</v>
      </c>
    </row>
    <row r="565" spans="1:9" x14ac:dyDescent="0.3">
      <c r="A565" s="5" t="s">
        <v>1084</v>
      </c>
      <c r="B565" s="5" t="s">
        <v>1085</v>
      </c>
      <c r="C565" s="4" t="s">
        <v>1080</v>
      </c>
      <c r="D565" s="5" t="s">
        <v>131</v>
      </c>
      <c r="G565" s="5">
        <f t="shared" si="24"/>
        <v>0</v>
      </c>
    </row>
    <row r="566" spans="1:9" x14ac:dyDescent="0.3">
      <c r="A566" s="5" t="s">
        <v>1086</v>
      </c>
      <c r="B566" s="5" t="s">
        <v>1087</v>
      </c>
      <c r="C566" s="4" t="s">
        <v>1080</v>
      </c>
      <c r="G566" s="5">
        <f t="shared" si="24"/>
        <v>0</v>
      </c>
    </row>
    <row r="567" spans="1:9" x14ac:dyDescent="0.3">
      <c r="A567" s="5" t="s">
        <v>1088</v>
      </c>
      <c r="B567" s="5" t="s">
        <v>1089</v>
      </c>
      <c r="C567" s="4" t="s">
        <v>1080</v>
      </c>
      <c r="D567" s="5" t="s">
        <v>542</v>
      </c>
      <c r="E567" s="5">
        <v>99</v>
      </c>
      <c r="G567" s="5">
        <f t="shared" si="24"/>
        <v>99</v>
      </c>
    </row>
    <row r="568" spans="1:9" x14ac:dyDescent="0.3">
      <c r="A568" s="5" t="s">
        <v>1088</v>
      </c>
      <c r="B568" s="5" t="s">
        <v>874</v>
      </c>
      <c r="C568" s="4" t="s">
        <v>1080</v>
      </c>
      <c r="D568" s="5" t="s">
        <v>131</v>
      </c>
      <c r="E568" s="5">
        <v>29</v>
      </c>
      <c r="G568" s="5">
        <f t="shared" si="24"/>
        <v>29</v>
      </c>
      <c r="I568" s="4">
        <v>29</v>
      </c>
    </row>
    <row r="569" spans="1:9" x14ac:dyDescent="0.3">
      <c r="A569" s="5" t="s">
        <v>1894</v>
      </c>
      <c r="B569" s="5" t="s">
        <v>1895</v>
      </c>
      <c r="C569" s="4" t="s">
        <v>1080</v>
      </c>
      <c r="D569" s="5" t="s">
        <v>301</v>
      </c>
      <c r="E569" s="5">
        <v>470</v>
      </c>
      <c r="G569" s="5">
        <v>470</v>
      </c>
    </row>
    <row r="570" spans="1:9" ht="37.5" x14ac:dyDescent="0.3">
      <c r="A570" s="5" t="s">
        <v>1090</v>
      </c>
      <c r="B570" s="5" t="s">
        <v>1091</v>
      </c>
      <c r="C570" s="4" t="s">
        <v>1080</v>
      </c>
      <c r="D570" s="4" t="s">
        <v>1092</v>
      </c>
      <c r="E570" s="6"/>
      <c r="G570" s="5">
        <f t="shared" si="24"/>
        <v>0</v>
      </c>
    </row>
    <row r="571" spans="1:9" x14ac:dyDescent="0.3">
      <c r="A571" s="5" t="s">
        <v>1090</v>
      </c>
      <c r="B571" s="5" t="s">
        <v>1093</v>
      </c>
      <c r="C571" s="4" t="s">
        <v>1080</v>
      </c>
      <c r="D571" s="5" t="s">
        <v>542</v>
      </c>
      <c r="E571" s="6"/>
      <c r="G571" s="5">
        <f t="shared" si="24"/>
        <v>0</v>
      </c>
    </row>
    <row r="572" spans="1:9" x14ac:dyDescent="0.3">
      <c r="A572" s="5" t="s">
        <v>1094</v>
      </c>
      <c r="B572" s="5" t="s">
        <v>1095</v>
      </c>
      <c r="C572" s="4" t="s">
        <v>1080</v>
      </c>
      <c r="D572" s="5" t="s">
        <v>76</v>
      </c>
      <c r="G572" s="5">
        <f t="shared" si="24"/>
        <v>0</v>
      </c>
    </row>
    <row r="573" spans="1:9" x14ac:dyDescent="0.3">
      <c r="A573" s="5" t="s">
        <v>1096</v>
      </c>
      <c r="B573" s="5" t="s">
        <v>1097</v>
      </c>
      <c r="C573" s="4" t="s">
        <v>1080</v>
      </c>
      <c r="D573" s="5" t="s">
        <v>131</v>
      </c>
      <c r="G573" s="5">
        <f t="shared" si="24"/>
        <v>0</v>
      </c>
    </row>
    <row r="574" spans="1:9" x14ac:dyDescent="0.3">
      <c r="A574" s="5" t="s">
        <v>1100</v>
      </c>
      <c r="B574" s="5" t="s">
        <v>1101</v>
      </c>
      <c r="C574" s="4" t="s">
        <v>1080</v>
      </c>
      <c r="D574" s="5" t="s">
        <v>1457</v>
      </c>
      <c r="F574" s="4" t="s">
        <v>1458</v>
      </c>
      <c r="G574" s="5">
        <v>0</v>
      </c>
    </row>
    <row r="575" spans="1:9" x14ac:dyDescent="0.3">
      <c r="A575" s="5" t="s">
        <v>1102</v>
      </c>
      <c r="B575" s="5" t="s">
        <v>1103</v>
      </c>
      <c r="C575" s="4" t="s">
        <v>1080</v>
      </c>
      <c r="D575" s="5" t="s">
        <v>542</v>
      </c>
      <c r="G575" s="5">
        <f t="shared" si="24"/>
        <v>0</v>
      </c>
    </row>
    <row r="576" spans="1:9" x14ac:dyDescent="0.3">
      <c r="A576" s="5" t="s">
        <v>1104</v>
      </c>
      <c r="B576" s="5" t="s">
        <v>1104</v>
      </c>
      <c r="C576" s="4" t="s">
        <v>1080</v>
      </c>
      <c r="D576" s="5" t="s">
        <v>169</v>
      </c>
      <c r="G576" s="5">
        <f t="shared" si="24"/>
        <v>0</v>
      </c>
    </row>
    <row r="577" spans="1:9" x14ac:dyDescent="0.3">
      <c r="A577" s="5" t="s">
        <v>1105</v>
      </c>
      <c r="B577" s="5" t="s">
        <v>1106</v>
      </c>
      <c r="C577" s="4" t="s">
        <v>1080</v>
      </c>
      <c r="D577" s="5" t="s">
        <v>165</v>
      </c>
      <c r="G577" s="5">
        <f t="shared" si="24"/>
        <v>0</v>
      </c>
    </row>
    <row r="578" spans="1:9" x14ac:dyDescent="0.3">
      <c r="A578" s="5" t="s">
        <v>1107</v>
      </c>
      <c r="B578" s="5" t="s">
        <v>1108</v>
      </c>
      <c r="C578" s="4" t="s">
        <v>1080</v>
      </c>
      <c r="D578" s="5" t="s">
        <v>871</v>
      </c>
      <c r="G578" s="5">
        <f t="shared" si="24"/>
        <v>0</v>
      </c>
    </row>
    <row r="579" spans="1:9" x14ac:dyDescent="0.3">
      <c r="A579" s="5" t="s">
        <v>1109</v>
      </c>
      <c r="B579" s="5" t="s">
        <v>1110</v>
      </c>
      <c r="C579" s="4" t="s">
        <v>1080</v>
      </c>
      <c r="D579" s="5" t="s">
        <v>169</v>
      </c>
      <c r="E579" s="5">
        <v>140</v>
      </c>
      <c r="G579" s="5">
        <f t="shared" si="24"/>
        <v>140</v>
      </c>
      <c r="I579" s="4">
        <v>140</v>
      </c>
    </row>
    <row r="580" spans="1:9" x14ac:dyDescent="0.3">
      <c r="A580" s="5" t="s">
        <v>1111</v>
      </c>
      <c r="B580" s="5" t="s">
        <v>1112</v>
      </c>
      <c r="C580" s="4" t="s">
        <v>1080</v>
      </c>
      <c r="D580" s="5" t="s">
        <v>131</v>
      </c>
      <c r="G580" s="5">
        <f t="shared" si="24"/>
        <v>0</v>
      </c>
    </row>
    <row r="581" spans="1:9" x14ac:dyDescent="0.3">
      <c r="A581" s="5" t="s">
        <v>1113</v>
      </c>
      <c r="B581" s="5" t="s">
        <v>1114</v>
      </c>
      <c r="C581" s="4" t="s">
        <v>1080</v>
      </c>
      <c r="D581" s="5" t="s">
        <v>131</v>
      </c>
      <c r="G581" s="5">
        <f t="shared" si="24"/>
        <v>0</v>
      </c>
    </row>
    <row r="582" spans="1:9" x14ac:dyDescent="0.3">
      <c r="A582" s="5" t="s">
        <v>1115</v>
      </c>
      <c r="B582" s="5" t="s">
        <v>1116</v>
      </c>
      <c r="C582" s="4" t="s">
        <v>1080</v>
      </c>
      <c r="D582" s="5" t="s">
        <v>131</v>
      </c>
      <c r="E582" s="5">
        <v>16</v>
      </c>
      <c r="G582" s="5">
        <f t="shared" si="24"/>
        <v>16</v>
      </c>
    </row>
    <row r="583" spans="1:9" x14ac:dyDescent="0.3">
      <c r="A583" s="5" t="s">
        <v>546</v>
      </c>
      <c r="B583" s="5" t="s">
        <v>547</v>
      </c>
      <c r="C583" s="4" t="s">
        <v>1080</v>
      </c>
      <c r="D583" s="5" t="s">
        <v>131</v>
      </c>
      <c r="E583" s="6">
        <v>3780</v>
      </c>
      <c r="F583" s="4">
        <v>200</v>
      </c>
      <c r="G583" s="5">
        <f t="shared" ref="G583:G595" si="25">E583-F583</f>
        <v>3580</v>
      </c>
      <c r="I583" s="4">
        <v>3580</v>
      </c>
    </row>
    <row r="584" spans="1:9" x14ac:dyDescent="0.3">
      <c r="A584" s="5" t="s">
        <v>1142</v>
      </c>
      <c r="B584" s="5" t="s">
        <v>1143</v>
      </c>
      <c r="C584" s="4" t="s">
        <v>1080</v>
      </c>
      <c r="D584" s="5" t="s">
        <v>1144</v>
      </c>
      <c r="E584" s="5">
        <v>8700</v>
      </c>
      <c r="G584" s="5">
        <f t="shared" si="25"/>
        <v>8700</v>
      </c>
    </row>
    <row r="585" spans="1:9" x14ac:dyDescent="0.3">
      <c r="A585" s="5" t="s">
        <v>1145</v>
      </c>
      <c r="B585" s="5" t="s">
        <v>1146</v>
      </c>
      <c r="C585" s="4" t="s">
        <v>1080</v>
      </c>
      <c r="D585" s="5" t="s">
        <v>47</v>
      </c>
      <c r="E585" s="5">
        <v>20500</v>
      </c>
      <c r="G585" s="5">
        <f t="shared" si="25"/>
        <v>20500</v>
      </c>
    </row>
    <row r="586" spans="1:9" x14ac:dyDescent="0.3">
      <c r="A586" s="5" t="s">
        <v>2096</v>
      </c>
      <c r="B586" s="5" t="s">
        <v>2097</v>
      </c>
      <c r="C586" s="4" t="s">
        <v>1080</v>
      </c>
      <c r="D586" s="5" t="s">
        <v>131</v>
      </c>
      <c r="E586" s="5">
        <v>51</v>
      </c>
      <c r="G586" s="5">
        <f t="shared" si="25"/>
        <v>51</v>
      </c>
    </row>
    <row r="587" spans="1:9" x14ac:dyDescent="0.3">
      <c r="A587" s="5" t="s">
        <v>1147</v>
      </c>
      <c r="B587" s="5" t="s">
        <v>1148</v>
      </c>
      <c r="C587" s="4" t="s">
        <v>1080</v>
      </c>
      <c r="D587" s="5" t="s">
        <v>131</v>
      </c>
      <c r="E587" s="5">
        <v>6000</v>
      </c>
      <c r="F587" s="4">
        <v>2900</v>
      </c>
      <c r="G587" s="5">
        <f t="shared" si="25"/>
        <v>3100</v>
      </c>
    </row>
    <row r="588" spans="1:9" x14ac:dyDescent="0.3">
      <c r="A588" s="5" t="s">
        <v>1149</v>
      </c>
      <c r="C588" s="4" t="s">
        <v>1080</v>
      </c>
      <c r="D588" s="5" t="s">
        <v>131</v>
      </c>
      <c r="E588" s="5">
        <v>3576</v>
      </c>
      <c r="G588" s="5">
        <f t="shared" si="25"/>
        <v>3576</v>
      </c>
    </row>
    <row r="589" spans="1:9" x14ac:dyDescent="0.3">
      <c r="A589" s="5" t="s">
        <v>1150</v>
      </c>
      <c r="B589" s="5" t="s">
        <v>1151</v>
      </c>
      <c r="C589" s="4" t="s">
        <v>1080</v>
      </c>
      <c r="D589" s="5" t="s">
        <v>131</v>
      </c>
      <c r="E589" s="5">
        <v>1200</v>
      </c>
      <c r="G589" s="5">
        <f t="shared" si="25"/>
        <v>1200</v>
      </c>
    </row>
    <row r="590" spans="1:9" x14ac:dyDescent="0.3">
      <c r="A590" s="5" t="s">
        <v>2143</v>
      </c>
      <c r="C590" s="4" t="s">
        <v>1080</v>
      </c>
      <c r="D590" s="5" t="s">
        <v>542</v>
      </c>
      <c r="E590" s="5">
        <v>200</v>
      </c>
      <c r="G590" s="5">
        <f t="shared" si="25"/>
        <v>200</v>
      </c>
    </row>
    <row r="591" spans="1:9" x14ac:dyDescent="0.3">
      <c r="A591" s="5" t="s">
        <v>1152</v>
      </c>
      <c r="B591" s="5" t="s">
        <v>1153</v>
      </c>
      <c r="C591" s="4" t="s">
        <v>1080</v>
      </c>
      <c r="D591" s="5" t="s">
        <v>131</v>
      </c>
      <c r="E591" s="5">
        <v>200</v>
      </c>
      <c r="G591" s="5">
        <f t="shared" si="25"/>
        <v>200</v>
      </c>
    </row>
    <row r="592" spans="1:9" x14ac:dyDescent="0.3">
      <c r="A592" s="5" t="s">
        <v>1154</v>
      </c>
      <c r="B592" s="5" t="s">
        <v>1155</v>
      </c>
      <c r="C592" s="4" t="s">
        <v>1080</v>
      </c>
      <c r="D592" s="5" t="s">
        <v>131</v>
      </c>
      <c r="E592" s="5">
        <v>650</v>
      </c>
      <c r="G592" s="5">
        <f t="shared" si="25"/>
        <v>650</v>
      </c>
    </row>
    <row r="593" spans="1:9" x14ac:dyDescent="0.3">
      <c r="A593" s="5" t="s">
        <v>1150</v>
      </c>
      <c r="B593" s="5" t="s">
        <v>1151</v>
      </c>
      <c r="C593" s="4" t="s">
        <v>1080</v>
      </c>
      <c r="D593" s="5" t="s">
        <v>131</v>
      </c>
      <c r="E593" s="5">
        <v>1000</v>
      </c>
      <c r="G593" s="5">
        <f t="shared" si="25"/>
        <v>1000</v>
      </c>
    </row>
    <row r="594" spans="1:9" x14ac:dyDescent="0.3">
      <c r="A594" s="5" t="s">
        <v>1156</v>
      </c>
      <c r="B594" s="5" t="s">
        <v>1157</v>
      </c>
      <c r="C594" s="4" t="s">
        <v>1080</v>
      </c>
      <c r="D594" s="4" t="s">
        <v>131</v>
      </c>
      <c r="E594" s="6">
        <v>101</v>
      </c>
      <c r="G594" s="5">
        <f t="shared" si="25"/>
        <v>101</v>
      </c>
    </row>
    <row r="595" spans="1:9" x14ac:dyDescent="0.3">
      <c r="A595" s="5" t="s">
        <v>1158</v>
      </c>
      <c r="B595" s="5" t="s">
        <v>1159</v>
      </c>
      <c r="C595" s="4" t="s">
        <v>1080</v>
      </c>
      <c r="D595" s="4" t="s">
        <v>131</v>
      </c>
      <c r="E595" s="6">
        <v>328</v>
      </c>
      <c r="G595" s="5">
        <f t="shared" si="25"/>
        <v>328</v>
      </c>
    </row>
    <row r="596" spans="1:9" x14ac:dyDescent="0.3">
      <c r="A596" s="5" t="s">
        <v>1137</v>
      </c>
      <c r="B596" s="5" t="s">
        <v>1138</v>
      </c>
      <c r="C596" s="4" t="s">
        <v>1122</v>
      </c>
      <c r="D596" s="5" t="s">
        <v>542</v>
      </c>
      <c r="E596" s="5">
        <v>80</v>
      </c>
      <c r="G596" s="5">
        <f>E596-F596</f>
        <v>80</v>
      </c>
    </row>
    <row r="597" spans="1:9" x14ac:dyDescent="0.3">
      <c r="A597" s="5" t="s">
        <v>1132</v>
      </c>
      <c r="B597" s="5" t="s">
        <v>416</v>
      </c>
      <c r="C597" s="4" t="s">
        <v>1883</v>
      </c>
      <c r="D597" s="5" t="s">
        <v>1502</v>
      </c>
      <c r="E597" s="5">
        <v>180000</v>
      </c>
      <c r="F597" s="4">
        <v>59000</v>
      </c>
      <c r="G597" s="5">
        <v>121000</v>
      </c>
      <c r="H597" s="5" t="s">
        <v>1916</v>
      </c>
      <c r="I597" s="4">
        <v>1000</v>
      </c>
    </row>
    <row r="598" spans="1:9" x14ac:dyDescent="0.3">
      <c r="A598" s="5" t="s">
        <v>607</v>
      </c>
      <c r="B598" s="5" t="s">
        <v>608</v>
      </c>
      <c r="C598" s="4" t="s">
        <v>1926</v>
      </c>
      <c r="D598" s="5" t="s">
        <v>542</v>
      </c>
      <c r="G598" s="5">
        <f>E598-F598</f>
        <v>0</v>
      </c>
    </row>
    <row r="599" spans="1:9" ht="37.5" x14ac:dyDescent="0.3">
      <c r="B599" s="5" t="s">
        <v>2023</v>
      </c>
      <c r="C599" s="4" t="s">
        <v>1841</v>
      </c>
      <c r="D599" s="5" t="s">
        <v>301</v>
      </c>
      <c r="E599" s="5">
        <v>1625</v>
      </c>
      <c r="F599" s="4">
        <v>1625</v>
      </c>
      <c r="H599" s="5" t="s">
        <v>2024</v>
      </c>
    </row>
    <row r="600" spans="1:9" ht="37.5" x14ac:dyDescent="0.3">
      <c r="A600" s="5" t="s">
        <v>1117</v>
      </c>
      <c r="B600" s="5" t="s">
        <v>1118</v>
      </c>
      <c r="C600" s="4" t="s">
        <v>1841</v>
      </c>
      <c r="D600" s="5" t="s">
        <v>1081</v>
      </c>
      <c r="E600" s="5">
        <v>1450</v>
      </c>
      <c r="F600" s="4">
        <v>1450</v>
      </c>
      <c r="G600" s="5">
        <f t="shared" si="24"/>
        <v>0</v>
      </c>
      <c r="H600" s="5" t="s">
        <v>2024</v>
      </c>
    </row>
    <row r="601" spans="1:9" ht="37.5" x14ac:dyDescent="0.3">
      <c r="A601" s="5" t="s">
        <v>1748</v>
      </c>
      <c r="B601" s="5" t="s">
        <v>1468</v>
      </c>
      <c r="C601" s="4" t="s">
        <v>1841</v>
      </c>
      <c r="D601" s="5" t="s">
        <v>2072</v>
      </c>
      <c r="E601" s="5" t="s">
        <v>2073</v>
      </c>
      <c r="G601" s="5">
        <v>1620</v>
      </c>
    </row>
    <row r="602" spans="1:9" ht="37.5" x14ac:dyDescent="0.3">
      <c r="A602" s="5" t="s">
        <v>1793</v>
      </c>
      <c r="B602" s="5" t="s">
        <v>1136</v>
      </c>
      <c r="C602" s="4" t="s">
        <v>1841</v>
      </c>
      <c r="D602" s="5" t="s">
        <v>301</v>
      </c>
      <c r="E602" s="6">
        <v>750</v>
      </c>
      <c r="G602" s="5">
        <f t="shared" si="24"/>
        <v>750</v>
      </c>
    </row>
    <row r="603" spans="1:9" ht="37.5" x14ac:dyDescent="0.3">
      <c r="A603" s="5" t="s">
        <v>869</v>
      </c>
      <c r="B603" s="5" t="s">
        <v>870</v>
      </c>
      <c r="C603" s="4" t="s">
        <v>1841</v>
      </c>
      <c r="D603" s="5" t="s">
        <v>301</v>
      </c>
      <c r="E603" s="5">
        <v>740</v>
      </c>
      <c r="G603" s="69">
        <f t="shared" ref="G603:G613" si="26">E603-F603</f>
        <v>740</v>
      </c>
    </row>
    <row r="604" spans="1:9" ht="37.5" x14ac:dyDescent="0.3">
      <c r="A604" s="5" t="s">
        <v>872</v>
      </c>
      <c r="B604" s="5" t="s">
        <v>563</v>
      </c>
      <c r="C604" s="4" t="s">
        <v>1841</v>
      </c>
      <c r="D604" s="5" t="s">
        <v>301</v>
      </c>
      <c r="E604" s="5">
        <v>740</v>
      </c>
      <c r="G604" s="69">
        <f t="shared" si="26"/>
        <v>740</v>
      </c>
    </row>
    <row r="605" spans="1:9" ht="37.5" x14ac:dyDescent="0.3">
      <c r="A605" s="5" t="s">
        <v>873</v>
      </c>
      <c r="B605" s="5" t="s">
        <v>874</v>
      </c>
      <c r="C605" s="4" t="s">
        <v>1841</v>
      </c>
      <c r="D605" s="5" t="s">
        <v>301</v>
      </c>
      <c r="E605" s="5">
        <v>60</v>
      </c>
      <c r="G605" s="5">
        <f t="shared" si="26"/>
        <v>60</v>
      </c>
    </row>
    <row r="606" spans="1:9" ht="37.5" x14ac:dyDescent="0.3">
      <c r="A606" s="5" t="s">
        <v>1797</v>
      </c>
      <c r="B606" s="5" t="s">
        <v>1794</v>
      </c>
      <c r="C606" s="4" t="s">
        <v>1841</v>
      </c>
      <c r="D606" s="5" t="s">
        <v>301</v>
      </c>
      <c r="E606" s="5">
        <v>1150</v>
      </c>
      <c r="G606" s="5">
        <f t="shared" si="26"/>
        <v>1150</v>
      </c>
    </row>
    <row r="607" spans="1:9" ht="37.5" x14ac:dyDescent="0.3">
      <c r="A607" s="5" t="s">
        <v>1964</v>
      </c>
      <c r="B607" s="5" t="s">
        <v>1830</v>
      </c>
      <c r="C607" s="4" t="s">
        <v>1841</v>
      </c>
      <c r="D607" s="5" t="s">
        <v>871</v>
      </c>
      <c r="E607" s="5">
        <v>800</v>
      </c>
      <c r="G607" s="5">
        <f t="shared" si="26"/>
        <v>800</v>
      </c>
    </row>
    <row r="608" spans="1:9" ht="37.5" x14ac:dyDescent="0.3">
      <c r="A608" s="5" t="s">
        <v>1965</v>
      </c>
      <c r="B608" s="5" t="s">
        <v>1966</v>
      </c>
      <c r="C608" s="4" t="s">
        <v>1841</v>
      </c>
      <c r="D608" s="5" t="s">
        <v>301</v>
      </c>
      <c r="E608" s="5">
        <v>640</v>
      </c>
      <c r="F608" s="4">
        <v>640</v>
      </c>
      <c r="G608" s="5">
        <f t="shared" si="26"/>
        <v>0</v>
      </c>
    </row>
    <row r="609" spans="1:10" ht="37.5" x14ac:dyDescent="0.3">
      <c r="A609" s="5" t="s">
        <v>249</v>
      </c>
      <c r="B609" s="5" t="s">
        <v>250</v>
      </c>
      <c r="C609" s="4" t="s">
        <v>1841</v>
      </c>
      <c r="D609" s="5" t="s">
        <v>301</v>
      </c>
      <c r="E609" s="5">
        <v>4550</v>
      </c>
      <c r="G609" s="5">
        <f>E609-F609</f>
        <v>4550</v>
      </c>
    </row>
    <row r="610" spans="1:10" s="30" customFormat="1" ht="75" customHeight="1" x14ac:dyDescent="0.3">
      <c r="A610" s="28" t="s">
        <v>1120</v>
      </c>
      <c r="B610" s="28" t="s">
        <v>1121</v>
      </c>
      <c r="C610" s="29" t="s">
        <v>1122</v>
      </c>
      <c r="D610" s="28" t="s">
        <v>169</v>
      </c>
      <c r="E610" s="47"/>
      <c r="F610" s="48"/>
      <c r="G610" s="28">
        <f t="shared" si="26"/>
        <v>0</v>
      </c>
      <c r="H610" s="28"/>
      <c r="I610" s="29"/>
      <c r="J610" s="82" t="s">
        <v>1715</v>
      </c>
    </row>
    <row r="611" spans="1:10" s="30" customFormat="1" x14ac:dyDescent="0.3">
      <c r="A611" s="28" t="s">
        <v>1123</v>
      </c>
      <c r="B611" s="28" t="s">
        <v>1123</v>
      </c>
      <c r="C611" s="29" t="s">
        <v>1122</v>
      </c>
      <c r="D611" s="28" t="s">
        <v>169</v>
      </c>
      <c r="E611" s="47"/>
      <c r="F611" s="48"/>
      <c r="G611" s="28">
        <f t="shared" si="26"/>
        <v>0</v>
      </c>
      <c r="H611" s="28"/>
      <c r="I611" s="29"/>
      <c r="J611" s="82"/>
    </row>
    <row r="612" spans="1:10" s="30" customFormat="1" x14ac:dyDescent="0.3">
      <c r="A612" s="28" t="s">
        <v>1124</v>
      </c>
      <c r="B612" s="28" t="s">
        <v>1125</v>
      </c>
      <c r="C612" s="29" t="s">
        <v>1122</v>
      </c>
      <c r="D612" s="28" t="s">
        <v>169</v>
      </c>
      <c r="E612" s="28">
        <v>133</v>
      </c>
      <c r="F612" s="29"/>
      <c r="G612" s="28">
        <f t="shared" si="26"/>
        <v>133</v>
      </c>
      <c r="H612" s="28"/>
      <c r="I612" s="29"/>
      <c r="J612" s="82"/>
    </row>
    <row r="613" spans="1:10" ht="37.5" x14ac:dyDescent="0.3">
      <c r="A613" s="5" t="s">
        <v>1127</v>
      </c>
      <c r="B613" s="5" t="s">
        <v>1128</v>
      </c>
      <c r="C613" s="4" t="s">
        <v>1129</v>
      </c>
      <c r="E613" s="5">
        <v>209</v>
      </c>
      <c r="G613" s="5">
        <f t="shared" si="26"/>
        <v>209</v>
      </c>
    </row>
    <row r="614" spans="1:10" x14ac:dyDescent="0.3">
      <c r="A614" s="74" t="s">
        <v>713</v>
      </c>
      <c r="B614" s="74" t="s">
        <v>714</v>
      </c>
      <c r="C614" s="75" t="s">
        <v>1122</v>
      </c>
      <c r="D614" s="75" t="s">
        <v>76</v>
      </c>
      <c r="E614" s="74">
        <v>1000</v>
      </c>
      <c r="F614" s="75">
        <v>250</v>
      </c>
      <c r="G614" s="74">
        <f t="shared" ref="G614:G615" si="27">E614-F614</f>
        <v>750</v>
      </c>
      <c r="H614" s="5" t="s">
        <v>2107</v>
      </c>
    </row>
    <row r="615" spans="1:10" x14ac:dyDescent="0.3">
      <c r="A615" s="5" t="s">
        <v>1833</v>
      </c>
      <c r="B615" s="5" t="s">
        <v>1098</v>
      </c>
      <c r="C615" s="4" t="s">
        <v>1471</v>
      </c>
      <c r="D615" s="5" t="s">
        <v>131</v>
      </c>
      <c r="E615" s="5">
        <v>17</v>
      </c>
      <c r="G615" s="5">
        <f t="shared" si="27"/>
        <v>17</v>
      </c>
    </row>
    <row r="616" spans="1:10" x14ac:dyDescent="0.3">
      <c r="A616" s="5" t="s">
        <v>1976</v>
      </c>
      <c r="B616" s="5" t="s">
        <v>1973</v>
      </c>
      <c r="C616" s="4" t="s">
        <v>1134</v>
      </c>
      <c r="D616" s="4" t="s">
        <v>301</v>
      </c>
      <c r="E616" s="5">
        <v>860</v>
      </c>
    </row>
    <row r="617" spans="1:10" x14ac:dyDescent="0.3">
      <c r="A617" s="5" t="s">
        <v>1620</v>
      </c>
      <c r="B617" s="5" t="s">
        <v>1620</v>
      </c>
      <c r="C617" s="4" t="s">
        <v>1497</v>
      </c>
      <c r="D617" s="5" t="s">
        <v>301</v>
      </c>
      <c r="E617" s="4">
        <v>800</v>
      </c>
    </row>
    <row r="618" spans="1:10" x14ac:dyDescent="0.3">
      <c r="A618" s="5" t="s">
        <v>1701</v>
      </c>
      <c r="B618" s="5" t="s">
        <v>1701</v>
      </c>
      <c r="C618" s="4" t="s">
        <v>1497</v>
      </c>
      <c r="D618" s="5" t="s">
        <v>169</v>
      </c>
      <c r="E618" s="4">
        <v>500</v>
      </c>
    </row>
    <row r="619" spans="1:10" x14ac:dyDescent="0.3">
      <c r="A619" s="5" t="s">
        <v>1974</v>
      </c>
      <c r="B619" s="5" t="s">
        <v>1974</v>
      </c>
      <c r="C619" s="4" t="s">
        <v>1497</v>
      </c>
      <c r="D619" s="5" t="s">
        <v>301</v>
      </c>
      <c r="E619" s="4">
        <v>800</v>
      </c>
    </row>
    <row r="620" spans="1:10" x14ac:dyDescent="0.3">
      <c r="A620" s="5" t="s">
        <v>1975</v>
      </c>
      <c r="B620" s="5" t="s">
        <v>1975</v>
      </c>
      <c r="C620" s="4" t="s">
        <v>1497</v>
      </c>
      <c r="D620" s="5" t="s">
        <v>165</v>
      </c>
      <c r="E620" s="4">
        <v>1000</v>
      </c>
    </row>
  </sheetData>
  <autoFilter ref="A1:B620" xr:uid="{00000000-0001-0000-0000-000000000000}"/>
  <mergeCells count="1">
    <mergeCell ref="J610:J612"/>
  </mergeCells>
  <phoneticPr fontId="11" type="noConversion"/>
  <conditionalFormatting sqref="G26:G27 G92:G94 G101:G118 G120:G123 G125:G131 G134:G224 G226:G229 G231:G323 G325:G362 G364:G391 G393:G463 G465:G470 G472 G479 G562 G583:G595 G598">
    <cfRule type="cellIs" dxfId="2431" priority="2" operator="lessThan">
      <formula>60000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93"/>
  <sheetViews>
    <sheetView workbookViewId="0">
      <pane ySplit="1" topLeftCell="A2" activePane="bottomLeft" state="frozen"/>
      <selection pane="bottomLeft" activeCell="C100" sqref="C100"/>
    </sheetView>
  </sheetViews>
  <sheetFormatPr defaultRowHeight="18.75" x14ac:dyDescent="0.3"/>
  <cols>
    <col min="1" max="1" width="61.140625" style="35" customWidth="1"/>
    <col min="2" max="2" width="28.140625" style="35" bestFit="1" customWidth="1"/>
    <col min="3" max="3" width="15.28515625" style="35" customWidth="1"/>
    <col min="4" max="4" width="13.28515625" style="49" customWidth="1"/>
    <col min="5" max="5" width="13.85546875" style="49" customWidth="1"/>
    <col min="6" max="6" width="17.85546875" style="35" customWidth="1"/>
    <col min="7" max="7" width="23.28515625" style="35" customWidth="1"/>
    <col min="8" max="8" width="15.28515625" style="35" customWidth="1"/>
  </cols>
  <sheetData>
    <row r="1" spans="1:14" ht="56.25" x14ac:dyDescent="0.3">
      <c r="A1" s="14" t="s">
        <v>1160</v>
      </c>
      <c r="B1" s="51" t="s">
        <v>1</v>
      </c>
      <c r="C1" s="15" t="s">
        <v>2</v>
      </c>
      <c r="D1" s="63" t="s">
        <v>1454</v>
      </c>
      <c r="E1" s="64" t="s">
        <v>3</v>
      </c>
      <c r="F1" s="56" t="s">
        <v>1436</v>
      </c>
      <c r="G1" s="25" t="s">
        <v>4</v>
      </c>
      <c r="H1" s="25" t="s">
        <v>1456</v>
      </c>
    </row>
    <row r="2" spans="1:14" hidden="1" x14ac:dyDescent="0.3">
      <c r="A2" s="17" t="s">
        <v>1782</v>
      </c>
      <c r="B2" s="52" t="s">
        <v>1780</v>
      </c>
      <c r="C2" s="4" t="s">
        <v>1783</v>
      </c>
      <c r="D2" s="60" t="s">
        <v>131</v>
      </c>
      <c r="E2" s="59">
        <v>280</v>
      </c>
      <c r="F2" s="58">
        <v>250</v>
      </c>
      <c r="G2" s="16">
        <f>E2-F2</f>
        <v>30</v>
      </c>
      <c r="H2" s="16"/>
    </row>
    <row r="3" spans="1:14" hidden="1" x14ac:dyDescent="0.3">
      <c r="A3" s="17" t="s">
        <v>2080</v>
      </c>
      <c r="B3" s="52" t="s">
        <v>2001</v>
      </c>
      <c r="C3" s="4" t="s">
        <v>1783</v>
      </c>
      <c r="D3" s="60" t="s">
        <v>131</v>
      </c>
      <c r="E3" s="59">
        <v>150</v>
      </c>
      <c r="F3" s="58"/>
      <c r="G3" s="16">
        <f>E3-F3</f>
        <v>150</v>
      </c>
      <c r="H3" s="16"/>
    </row>
    <row r="4" spans="1:14" hidden="1" x14ac:dyDescent="0.3">
      <c r="A4" s="5" t="s">
        <v>1789</v>
      </c>
      <c r="B4" s="5" t="s">
        <v>1788</v>
      </c>
      <c r="C4" s="4" t="s">
        <v>1781</v>
      </c>
      <c r="D4" s="50" t="s">
        <v>533</v>
      </c>
      <c r="E4" s="61">
        <v>2100</v>
      </c>
      <c r="F4" s="59">
        <v>1505</v>
      </c>
      <c r="G4" s="62">
        <f>E4-F4</f>
        <v>595</v>
      </c>
      <c r="H4" s="5"/>
    </row>
    <row r="5" spans="1:14" hidden="1" x14ac:dyDescent="0.3">
      <c r="A5" s="17" t="s">
        <v>1789</v>
      </c>
      <c r="B5" s="52" t="s">
        <v>605</v>
      </c>
      <c r="C5" s="4" t="s">
        <v>1781</v>
      </c>
      <c r="D5" s="60" t="s">
        <v>1144</v>
      </c>
      <c r="E5" s="59">
        <v>1800</v>
      </c>
      <c r="F5" s="59">
        <v>1505</v>
      </c>
      <c r="G5" s="16">
        <f>E5-F5</f>
        <v>295</v>
      </c>
      <c r="H5" s="16"/>
    </row>
    <row r="6" spans="1:14" hidden="1" x14ac:dyDescent="0.3">
      <c r="A6" s="5" t="s">
        <v>604</v>
      </c>
      <c r="B6" s="5" t="s">
        <v>1430</v>
      </c>
      <c r="C6" s="4" t="s">
        <v>1781</v>
      </c>
      <c r="D6" s="59" t="s">
        <v>131</v>
      </c>
      <c r="E6" s="61">
        <v>250</v>
      </c>
      <c r="F6" s="4"/>
      <c r="G6" s="16">
        <f>E6-F6</f>
        <v>250</v>
      </c>
      <c r="H6" s="5"/>
    </row>
    <row r="7" spans="1:14" x14ac:dyDescent="0.3">
      <c r="A7" s="5" t="s">
        <v>1849</v>
      </c>
      <c r="B7" s="5"/>
      <c r="C7" s="4" t="s">
        <v>1826</v>
      </c>
      <c r="D7" s="59" t="s">
        <v>131</v>
      </c>
      <c r="E7" s="61">
        <v>150</v>
      </c>
      <c r="F7" s="4"/>
      <c r="G7" s="16">
        <v>150</v>
      </c>
      <c r="H7" s="5"/>
    </row>
    <row r="8" spans="1:14" hidden="1" x14ac:dyDescent="0.3">
      <c r="A8" s="5" t="s">
        <v>1462</v>
      </c>
      <c r="B8" s="5" t="s">
        <v>598</v>
      </c>
      <c r="C8" s="5" t="s">
        <v>1826</v>
      </c>
      <c r="D8" s="50" t="s">
        <v>131</v>
      </c>
      <c r="E8" s="61">
        <v>233</v>
      </c>
      <c r="F8" s="5"/>
      <c r="G8" s="16">
        <f t="shared" ref="G8:G39" si="0">E8-F8</f>
        <v>233</v>
      </c>
      <c r="H8" s="5"/>
    </row>
    <row r="9" spans="1:14" hidden="1" x14ac:dyDescent="0.3">
      <c r="A9" s="5" t="s">
        <v>597</v>
      </c>
      <c r="B9" s="5" t="s">
        <v>598</v>
      </c>
      <c r="C9" s="5" t="s">
        <v>1826</v>
      </c>
      <c r="D9" s="50" t="s">
        <v>542</v>
      </c>
      <c r="E9" s="61">
        <v>311</v>
      </c>
      <c r="F9" s="4"/>
      <c r="G9" s="16">
        <f t="shared" si="0"/>
        <v>311</v>
      </c>
      <c r="H9" s="5"/>
    </row>
    <row r="10" spans="1:14" hidden="1" x14ac:dyDescent="0.3">
      <c r="A10" s="5" t="s">
        <v>1917</v>
      </c>
      <c r="B10" s="5" t="s">
        <v>598</v>
      </c>
      <c r="C10" s="5" t="s">
        <v>1826</v>
      </c>
      <c r="D10" s="50" t="s">
        <v>533</v>
      </c>
      <c r="E10" s="61">
        <v>550</v>
      </c>
      <c r="F10" s="66">
        <v>150</v>
      </c>
      <c r="G10" s="16">
        <f t="shared" si="0"/>
        <v>400</v>
      </c>
      <c r="H10" s="5"/>
    </row>
    <row r="11" spans="1:14" x14ac:dyDescent="0.3">
      <c r="A11" s="5" t="s">
        <v>1747</v>
      </c>
      <c r="B11" s="5" t="s">
        <v>1468</v>
      </c>
      <c r="C11" s="5" t="s">
        <v>1826</v>
      </c>
      <c r="D11" s="50" t="s">
        <v>131</v>
      </c>
      <c r="E11" s="61">
        <v>329</v>
      </c>
      <c r="F11" s="5"/>
      <c r="G11" s="16">
        <f t="shared" si="0"/>
        <v>329</v>
      </c>
      <c r="H11" s="5"/>
      <c r="I11" s="27"/>
      <c r="J11" s="27"/>
      <c r="K11" s="27"/>
      <c r="L11" s="27"/>
      <c r="M11" s="27"/>
      <c r="N11" s="27"/>
    </row>
    <row r="12" spans="1:14" hidden="1" x14ac:dyDescent="0.3">
      <c r="A12" s="5" t="s">
        <v>1469</v>
      </c>
      <c r="B12" s="5" t="s">
        <v>591</v>
      </c>
      <c r="C12" s="5" t="s">
        <v>1826</v>
      </c>
      <c r="D12" s="50" t="s">
        <v>131</v>
      </c>
      <c r="E12" s="61">
        <v>370</v>
      </c>
      <c r="F12" s="5"/>
      <c r="G12" s="16">
        <f t="shared" si="0"/>
        <v>370</v>
      </c>
      <c r="H12" s="5"/>
      <c r="I12" s="27"/>
      <c r="J12" s="27"/>
      <c r="K12" s="27"/>
      <c r="L12" s="27"/>
      <c r="M12" s="27"/>
      <c r="N12" s="27"/>
    </row>
    <row r="13" spans="1:14" hidden="1" x14ac:dyDescent="0.3">
      <c r="A13" s="1" t="s">
        <v>1850</v>
      </c>
      <c r="B13" s="1" t="s">
        <v>615</v>
      </c>
      <c r="C13" s="5" t="s">
        <v>1179</v>
      </c>
      <c r="D13" s="54" t="s">
        <v>542</v>
      </c>
      <c r="E13" s="61">
        <v>300</v>
      </c>
      <c r="F13" s="66"/>
      <c r="G13" s="16">
        <f t="shared" si="0"/>
        <v>300</v>
      </c>
      <c r="H13" s="5"/>
    </row>
    <row r="14" spans="1:14" hidden="1" x14ac:dyDescent="0.3">
      <c r="A14" s="5" t="s">
        <v>1827</v>
      </c>
      <c r="B14" s="1" t="s">
        <v>347</v>
      </c>
      <c r="C14" s="5" t="s">
        <v>1179</v>
      </c>
      <c r="D14" s="54" t="s">
        <v>131</v>
      </c>
      <c r="E14" s="61">
        <v>50</v>
      </c>
      <c r="F14" s="66"/>
      <c r="G14" s="16">
        <f t="shared" si="0"/>
        <v>50</v>
      </c>
      <c r="H14" s="5"/>
    </row>
    <row r="15" spans="1:14" hidden="1" x14ac:dyDescent="0.3">
      <c r="A15" s="5" t="s">
        <v>1463</v>
      </c>
      <c r="B15" s="5" t="s">
        <v>1464</v>
      </c>
      <c r="C15" s="5" t="s">
        <v>1179</v>
      </c>
      <c r="D15" s="59" t="s">
        <v>131</v>
      </c>
      <c r="E15" s="61">
        <v>276</v>
      </c>
      <c r="F15" s="59">
        <v>24</v>
      </c>
      <c r="G15" s="16">
        <f t="shared" si="0"/>
        <v>252</v>
      </c>
      <c r="H15" s="5"/>
    </row>
    <row r="16" spans="1:14" hidden="1" x14ac:dyDescent="0.3">
      <c r="A16" s="4" t="s">
        <v>595</v>
      </c>
      <c r="B16" s="5" t="s">
        <v>596</v>
      </c>
      <c r="C16" s="4" t="s">
        <v>1184</v>
      </c>
      <c r="D16" s="59" t="s">
        <v>533</v>
      </c>
      <c r="E16" s="61">
        <v>500</v>
      </c>
      <c r="F16" s="4"/>
      <c r="G16" s="16">
        <f t="shared" si="0"/>
        <v>500</v>
      </c>
      <c r="H16" s="5"/>
    </row>
    <row r="17" spans="1:14" hidden="1" x14ac:dyDescent="0.3">
      <c r="A17" s="5" t="s">
        <v>599</v>
      </c>
      <c r="B17" s="5" t="s">
        <v>614</v>
      </c>
      <c r="C17" s="4" t="s">
        <v>1184</v>
      </c>
      <c r="D17" s="59" t="s">
        <v>131</v>
      </c>
      <c r="E17" s="61">
        <v>1200</v>
      </c>
      <c r="F17" s="4"/>
      <c r="G17" s="16">
        <f t="shared" si="0"/>
        <v>1200</v>
      </c>
      <c r="H17" s="5"/>
    </row>
    <row r="18" spans="1:14" hidden="1" x14ac:dyDescent="0.3">
      <c r="A18" s="5" t="s">
        <v>1693</v>
      </c>
      <c r="B18" s="5" t="s">
        <v>1687</v>
      </c>
      <c r="C18" s="5" t="s">
        <v>1185</v>
      </c>
      <c r="D18" s="59" t="s">
        <v>29</v>
      </c>
      <c r="E18" s="61">
        <v>5000</v>
      </c>
      <c r="F18" s="5"/>
      <c r="G18" s="16">
        <f t="shared" si="0"/>
        <v>5000</v>
      </c>
      <c r="H18" s="5"/>
      <c r="I18" s="27"/>
      <c r="J18" s="27"/>
      <c r="K18" s="27"/>
      <c r="L18" s="27"/>
      <c r="M18" s="27"/>
      <c r="N18" s="27"/>
    </row>
    <row r="19" spans="1:14" hidden="1" x14ac:dyDescent="0.3">
      <c r="A19" s="5" t="s">
        <v>1694</v>
      </c>
      <c r="B19" s="5" t="s">
        <v>1695</v>
      </c>
      <c r="C19" s="5" t="s">
        <v>1185</v>
      </c>
      <c r="D19" s="59" t="s">
        <v>29</v>
      </c>
      <c r="E19" s="61">
        <v>5400</v>
      </c>
      <c r="F19" s="5"/>
      <c r="G19" s="16">
        <f t="shared" si="0"/>
        <v>5400</v>
      </c>
      <c r="H19" s="5"/>
      <c r="I19" s="27"/>
      <c r="J19" s="27"/>
      <c r="K19" s="27"/>
      <c r="L19" s="27"/>
      <c r="M19" s="27"/>
      <c r="N19" s="27"/>
    </row>
    <row r="20" spans="1:14" hidden="1" x14ac:dyDescent="0.3">
      <c r="A20" s="17" t="s">
        <v>1193</v>
      </c>
      <c r="B20" s="52" t="s">
        <v>1194</v>
      </c>
      <c r="C20" s="17" t="s">
        <v>1192</v>
      </c>
      <c r="D20" s="54" t="s">
        <v>265</v>
      </c>
      <c r="E20" s="50"/>
      <c r="F20" s="57"/>
      <c r="G20" s="16">
        <f t="shared" si="0"/>
        <v>0</v>
      </c>
      <c r="H20" s="16"/>
    </row>
    <row r="21" spans="1:14" hidden="1" x14ac:dyDescent="0.3">
      <c r="A21" s="5" t="s">
        <v>1467</v>
      </c>
      <c r="B21" s="5" t="s">
        <v>1707</v>
      </c>
      <c r="C21" s="5" t="s">
        <v>1197</v>
      </c>
      <c r="D21" s="59" t="s">
        <v>131</v>
      </c>
      <c r="E21" s="61">
        <v>635</v>
      </c>
      <c r="F21" s="5"/>
      <c r="G21" s="16">
        <f t="shared" si="0"/>
        <v>635</v>
      </c>
      <c r="H21" s="5"/>
      <c r="I21" s="27"/>
      <c r="J21" s="27"/>
      <c r="K21" s="27"/>
      <c r="L21" s="27"/>
      <c r="M21" s="27"/>
      <c r="N21" s="27"/>
    </row>
    <row r="22" spans="1:14" hidden="1" x14ac:dyDescent="0.3">
      <c r="A22" s="5" t="s">
        <v>1169</v>
      </c>
      <c r="B22" s="1" t="s">
        <v>1170</v>
      </c>
      <c r="C22" s="5" t="s">
        <v>1237</v>
      </c>
      <c r="D22" s="54" t="s">
        <v>165</v>
      </c>
      <c r="E22" s="61"/>
      <c r="F22" s="79"/>
      <c r="G22" s="16">
        <f t="shared" si="0"/>
        <v>0</v>
      </c>
      <c r="H22" s="5"/>
      <c r="I22" s="27"/>
      <c r="J22" s="27"/>
      <c r="K22" s="27"/>
      <c r="L22" s="27"/>
      <c r="M22" s="27"/>
      <c r="N22" s="27"/>
    </row>
    <row r="23" spans="1:14" hidden="1" x14ac:dyDescent="0.3">
      <c r="A23" s="17" t="s">
        <v>1267</v>
      </c>
      <c r="B23" s="52" t="s">
        <v>1268</v>
      </c>
      <c r="C23" s="17" t="s">
        <v>1237</v>
      </c>
      <c r="D23" s="54" t="s">
        <v>165</v>
      </c>
      <c r="E23" s="50">
        <v>3000</v>
      </c>
      <c r="F23" s="57"/>
      <c r="G23" s="16">
        <f t="shared" si="0"/>
        <v>3000</v>
      </c>
      <c r="H23" s="16"/>
    </row>
    <row r="24" spans="1:14" hidden="1" x14ac:dyDescent="0.3">
      <c r="A24" s="17" t="s">
        <v>1270</v>
      </c>
      <c r="B24" s="52" t="s">
        <v>1271</v>
      </c>
      <c r="C24" s="17" t="s">
        <v>1237</v>
      </c>
      <c r="D24" s="54" t="s">
        <v>165</v>
      </c>
      <c r="E24" s="50">
        <v>570</v>
      </c>
      <c r="F24" s="57"/>
      <c r="G24" s="16">
        <f t="shared" si="0"/>
        <v>570</v>
      </c>
      <c r="H24" s="16"/>
    </row>
    <row r="25" spans="1:14" hidden="1" x14ac:dyDescent="0.3">
      <c r="A25" s="17" t="s">
        <v>1167</v>
      </c>
      <c r="B25" s="52" t="s">
        <v>1168</v>
      </c>
      <c r="C25" s="17" t="s">
        <v>1237</v>
      </c>
      <c r="D25" s="55" t="s">
        <v>169</v>
      </c>
      <c r="E25" s="50">
        <v>900</v>
      </c>
      <c r="F25" s="57"/>
      <c r="G25" s="16">
        <f t="shared" si="0"/>
        <v>900</v>
      </c>
      <c r="H25" s="16"/>
    </row>
    <row r="26" spans="1:14" hidden="1" x14ac:dyDescent="0.3">
      <c r="A26" s="17" t="s">
        <v>1165</v>
      </c>
      <c r="B26" s="52" t="s">
        <v>1166</v>
      </c>
      <c r="C26" s="17" t="s">
        <v>1237</v>
      </c>
      <c r="D26" s="55" t="s">
        <v>238</v>
      </c>
      <c r="E26" s="50">
        <v>12700</v>
      </c>
      <c r="F26" s="57">
        <v>4500</v>
      </c>
      <c r="G26" s="16">
        <f t="shared" si="0"/>
        <v>8200</v>
      </c>
      <c r="H26" s="16" t="s">
        <v>260</v>
      </c>
    </row>
    <row r="27" spans="1:14" hidden="1" x14ac:dyDescent="0.3">
      <c r="A27" s="17" t="s">
        <v>1177</v>
      </c>
      <c r="B27" s="52" t="s">
        <v>1178</v>
      </c>
      <c r="C27" s="17" t="s">
        <v>1237</v>
      </c>
      <c r="D27" s="54" t="s">
        <v>169</v>
      </c>
      <c r="E27" s="50">
        <v>4000</v>
      </c>
      <c r="F27" s="57">
        <v>1060</v>
      </c>
      <c r="G27" s="16">
        <f t="shared" si="0"/>
        <v>2940</v>
      </c>
      <c r="H27" s="16"/>
    </row>
    <row r="28" spans="1:14" hidden="1" x14ac:dyDescent="0.3">
      <c r="A28" s="17" t="s">
        <v>1180</v>
      </c>
      <c r="B28" s="52" t="s">
        <v>1181</v>
      </c>
      <c r="C28" s="17" t="s">
        <v>1237</v>
      </c>
      <c r="D28" s="54" t="s">
        <v>169</v>
      </c>
      <c r="E28" s="50">
        <v>700</v>
      </c>
      <c r="F28" s="57"/>
      <c r="G28" s="16">
        <f t="shared" si="0"/>
        <v>700</v>
      </c>
      <c r="H28" s="16"/>
    </row>
    <row r="29" spans="1:14" hidden="1" x14ac:dyDescent="0.3">
      <c r="A29" s="17" t="s">
        <v>1247</v>
      </c>
      <c r="B29" s="52" t="s">
        <v>1248</v>
      </c>
      <c r="C29" s="17" t="s">
        <v>1246</v>
      </c>
      <c r="D29" s="54" t="s">
        <v>265</v>
      </c>
      <c r="E29" s="50">
        <v>7000</v>
      </c>
      <c r="F29" s="57"/>
      <c r="G29" s="16">
        <f t="shared" si="0"/>
        <v>7000</v>
      </c>
      <c r="H29" s="16"/>
    </row>
    <row r="30" spans="1:14" hidden="1" x14ac:dyDescent="0.3">
      <c r="A30" s="17" t="s">
        <v>263</v>
      </c>
      <c r="B30" s="52" t="s">
        <v>264</v>
      </c>
      <c r="C30" s="17" t="s">
        <v>1246</v>
      </c>
      <c r="D30" s="55" t="s">
        <v>260</v>
      </c>
      <c r="E30" s="50">
        <v>2400</v>
      </c>
      <c r="F30" s="57"/>
      <c r="G30" s="16">
        <f t="shared" si="0"/>
        <v>2400</v>
      </c>
      <c r="H30" s="16"/>
    </row>
    <row r="31" spans="1:14" hidden="1" x14ac:dyDescent="0.3">
      <c r="A31" s="17" t="s">
        <v>369</v>
      </c>
      <c r="B31" s="52" t="s">
        <v>370</v>
      </c>
      <c r="C31" s="17" t="s">
        <v>1246</v>
      </c>
      <c r="D31" s="54" t="s">
        <v>169</v>
      </c>
      <c r="E31" s="50">
        <v>120</v>
      </c>
      <c r="F31" s="57"/>
      <c r="G31" s="16">
        <f t="shared" si="0"/>
        <v>120</v>
      </c>
      <c r="H31" s="16"/>
    </row>
    <row r="32" spans="1:14" hidden="1" x14ac:dyDescent="0.3">
      <c r="A32" s="17" t="s">
        <v>1163</v>
      </c>
      <c r="B32" s="52" t="s">
        <v>1164</v>
      </c>
      <c r="C32" s="17" t="s">
        <v>1246</v>
      </c>
      <c r="D32" s="55" t="s">
        <v>169</v>
      </c>
      <c r="E32" s="50">
        <v>200</v>
      </c>
      <c r="F32" s="57"/>
      <c r="G32" s="16">
        <f t="shared" si="0"/>
        <v>200</v>
      </c>
      <c r="H32" s="16"/>
    </row>
    <row r="33" spans="1:8" hidden="1" x14ac:dyDescent="0.3">
      <c r="A33" s="17" t="s">
        <v>1173</v>
      </c>
      <c r="B33" s="52" t="s">
        <v>1174</v>
      </c>
      <c r="C33" s="17" t="s">
        <v>1246</v>
      </c>
      <c r="D33" s="54" t="s">
        <v>169</v>
      </c>
      <c r="E33" s="50">
        <v>3200</v>
      </c>
      <c r="F33" s="57"/>
      <c r="G33" s="16">
        <f t="shared" si="0"/>
        <v>3200</v>
      </c>
      <c r="H33" s="16"/>
    </row>
    <row r="34" spans="1:8" hidden="1" x14ac:dyDescent="0.3">
      <c r="A34" s="17" t="s">
        <v>1220</v>
      </c>
      <c r="B34" s="52" t="s">
        <v>1221</v>
      </c>
      <c r="C34" s="17" t="s">
        <v>1246</v>
      </c>
      <c r="D34" s="54" t="s">
        <v>169</v>
      </c>
      <c r="E34" s="50">
        <v>100</v>
      </c>
      <c r="F34" s="57"/>
      <c r="G34" s="16">
        <f t="shared" si="0"/>
        <v>100</v>
      </c>
      <c r="H34" s="16"/>
    </row>
    <row r="35" spans="1:8" hidden="1" x14ac:dyDescent="0.3">
      <c r="A35" s="17" t="s">
        <v>1175</v>
      </c>
      <c r="B35" s="52" t="s">
        <v>1176</v>
      </c>
      <c r="C35" s="17" t="s">
        <v>1246</v>
      </c>
      <c r="D35" s="54" t="s">
        <v>169</v>
      </c>
      <c r="E35" s="50">
        <v>160</v>
      </c>
      <c r="F35" s="57"/>
      <c r="G35" s="16">
        <f t="shared" si="0"/>
        <v>160</v>
      </c>
      <c r="H35" s="16"/>
    </row>
    <row r="36" spans="1:8" hidden="1" x14ac:dyDescent="0.3">
      <c r="A36" s="17" t="s">
        <v>1171</v>
      </c>
      <c r="B36" s="52" t="s">
        <v>1172</v>
      </c>
      <c r="C36" s="17" t="s">
        <v>1246</v>
      </c>
      <c r="D36" s="54" t="s">
        <v>165</v>
      </c>
      <c r="E36" s="50">
        <v>1750</v>
      </c>
      <c r="F36" s="57"/>
      <c r="G36" s="16">
        <f t="shared" si="0"/>
        <v>1750</v>
      </c>
      <c r="H36" s="16"/>
    </row>
    <row r="37" spans="1:8" hidden="1" x14ac:dyDescent="0.3">
      <c r="A37" s="17" t="s">
        <v>1188</v>
      </c>
      <c r="B37" s="52" t="s">
        <v>1189</v>
      </c>
      <c r="C37" s="17" t="s">
        <v>1255</v>
      </c>
      <c r="D37" s="54" t="s">
        <v>169</v>
      </c>
      <c r="E37" s="50">
        <v>3500</v>
      </c>
      <c r="F37" s="57">
        <v>1000</v>
      </c>
      <c r="G37" s="16">
        <f t="shared" si="0"/>
        <v>2500</v>
      </c>
      <c r="H37" s="16"/>
    </row>
    <row r="38" spans="1:8" hidden="1" x14ac:dyDescent="0.3">
      <c r="A38" s="17" t="s">
        <v>281</v>
      </c>
      <c r="B38" s="52" t="s">
        <v>278</v>
      </c>
      <c r="C38" s="17" t="s">
        <v>1264</v>
      </c>
      <c r="D38" s="54" t="s">
        <v>165</v>
      </c>
      <c r="E38" s="50">
        <v>2000</v>
      </c>
      <c r="F38" s="57"/>
      <c r="G38" s="16">
        <f t="shared" si="0"/>
        <v>2000</v>
      </c>
      <c r="H38" s="16"/>
    </row>
    <row r="39" spans="1:8" hidden="1" x14ac:dyDescent="0.3">
      <c r="A39" s="17" t="s">
        <v>1244</v>
      </c>
      <c r="B39" s="52" t="s">
        <v>1245</v>
      </c>
      <c r="C39" s="17" t="s">
        <v>1264</v>
      </c>
      <c r="D39" s="54" t="s">
        <v>169</v>
      </c>
      <c r="E39" s="50">
        <v>70</v>
      </c>
      <c r="F39" s="57"/>
      <c r="G39" s="16">
        <f t="shared" si="0"/>
        <v>70</v>
      </c>
      <c r="H39" s="16"/>
    </row>
    <row r="40" spans="1:8" hidden="1" x14ac:dyDescent="0.3">
      <c r="A40" s="35" t="s">
        <v>1744</v>
      </c>
      <c r="B40" s="35" t="s">
        <v>1743</v>
      </c>
      <c r="C40" s="53" t="s">
        <v>1264</v>
      </c>
      <c r="D40" s="49" t="s">
        <v>169</v>
      </c>
      <c r="E40" s="65">
        <v>23</v>
      </c>
      <c r="G40" s="16">
        <f t="shared" ref="G40:G66" si="1">E40-F40</f>
        <v>23</v>
      </c>
    </row>
    <row r="41" spans="1:8" hidden="1" x14ac:dyDescent="0.3">
      <c r="A41" s="17" t="s">
        <v>1249</v>
      </c>
      <c r="B41" s="52" t="s">
        <v>1250</v>
      </c>
      <c r="C41" s="17" t="s">
        <v>1264</v>
      </c>
      <c r="D41" s="54" t="s">
        <v>169</v>
      </c>
      <c r="E41" s="50">
        <v>360</v>
      </c>
      <c r="F41" s="57"/>
      <c r="G41" s="16">
        <f t="shared" si="1"/>
        <v>360</v>
      </c>
      <c r="H41" s="16"/>
    </row>
    <row r="42" spans="1:8" hidden="1" x14ac:dyDescent="0.3">
      <c r="A42" s="17" t="s">
        <v>1262</v>
      </c>
      <c r="B42" s="52" t="s">
        <v>1263</v>
      </c>
      <c r="C42" s="17" t="s">
        <v>1264</v>
      </c>
      <c r="D42" s="54" t="s">
        <v>169</v>
      </c>
      <c r="E42" s="50">
        <v>30</v>
      </c>
      <c r="F42" s="57"/>
      <c r="G42" s="16">
        <f t="shared" si="1"/>
        <v>30</v>
      </c>
      <c r="H42" s="16"/>
    </row>
    <row r="43" spans="1:8" hidden="1" x14ac:dyDescent="0.3">
      <c r="A43" s="17" t="s">
        <v>1240</v>
      </c>
      <c r="B43" s="52" t="s">
        <v>420</v>
      </c>
      <c r="C43" s="17" t="s">
        <v>1264</v>
      </c>
      <c r="D43" s="54" t="s">
        <v>169</v>
      </c>
      <c r="E43" s="50">
        <v>160</v>
      </c>
      <c r="F43" s="57"/>
      <c r="G43" s="16">
        <f t="shared" si="1"/>
        <v>160</v>
      </c>
      <c r="H43" s="16"/>
    </row>
    <row r="44" spans="1:8" hidden="1" x14ac:dyDescent="0.3">
      <c r="A44" s="17" t="s">
        <v>1238</v>
      </c>
      <c r="B44" s="52" t="s">
        <v>1239</v>
      </c>
      <c r="C44" s="17" t="s">
        <v>1264</v>
      </c>
      <c r="D44" s="54" t="s">
        <v>260</v>
      </c>
      <c r="E44" s="50">
        <v>42000</v>
      </c>
      <c r="F44" s="57"/>
      <c r="G44" s="16">
        <f t="shared" si="1"/>
        <v>42000</v>
      </c>
      <c r="H44" s="16"/>
    </row>
    <row r="45" spans="1:8" hidden="1" x14ac:dyDescent="0.3">
      <c r="A45" s="17" t="s">
        <v>1182</v>
      </c>
      <c r="B45" s="52" t="s">
        <v>1183</v>
      </c>
      <c r="C45" s="17" t="s">
        <v>1269</v>
      </c>
      <c r="D45" s="54" t="s">
        <v>169</v>
      </c>
      <c r="E45" s="50">
        <v>788</v>
      </c>
      <c r="F45" s="57"/>
      <c r="G45" s="16">
        <f t="shared" si="1"/>
        <v>788</v>
      </c>
      <c r="H45" s="16"/>
    </row>
    <row r="46" spans="1:8" hidden="1" x14ac:dyDescent="0.3">
      <c r="A46" s="17" t="s">
        <v>374</v>
      </c>
      <c r="B46" s="52" t="s">
        <v>375</v>
      </c>
      <c r="C46" s="17" t="s">
        <v>1269</v>
      </c>
      <c r="D46" s="54" t="s">
        <v>169</v>
      </c>
      <c r="E46" s="50">
        <v>50</v>
      </c>
      <c r="F46" s="57"/>
      <c r="G46" s="16">
        <f t="shared" si="1"/>
        <v>50</v>
      </c>
      <c r="H46" s="16"/>
    </row>
    <row r="47" spans="1:8" hidden="1" x14ac:dyDescent="0.3">
      <c r="A47" s="17" t="s">
        <v>1186</v>
      </c>
      <c r="B47" s="52" t="s">
        <v>1187</v>
      </c>
      <c r="C47" s="17" t="s">
        <v>1269</v>
      </c>
      <c r="D47" s="54" t="s">
        <v>169</v>
      </c>
      <c r="E47" s="50">
        <v>1260</v>
      </c>
      <c r="F47" s="57"/>
      <c r="G47" s="16">
        <f t="shared" si="1"/>
        <v>1260</v>
      </c>
      <c r="H47" s="16"/>
    </row>
    <row r="48" spans="1:8" hidden="1" x14ac:dyDescent="0.3">
      <c r="A48" s="17" t="s">
        <v>1265</v>
      </c>
      <c r="B48" s="52" t="s">
        <v>1266</v>
      </c>
      <c r="C48" s="17" t="s">
        <v>1276</v>
      </c>
      <c r="D48" s="54" t="s">
        <v>260</v>
      </c>
      <c r="E48" s="50">
        <v>1200</v>
      </c>
      <c r="F48" s="57"/>
      <c r="G48" s="16">
        <f>E48-F48</f>
        <v>1200</v>
      </c>
      <c r="H48" s="16"/>
    </row>
    <row r="49" spans="1:8" hidden="1" x14ac:dyDescent="0.3">
      <c r="A49" s="17" t="s">
        <v>1277</v>
      </c>
      <c r="B49" s="52" t="s">
        <v>1278</v>
      </c>
      <c r="C49" s="17" t="s">
        <v>1276</v>
      </c>
      <c r="D49" s="54" t="s">
        <v>165</v>
      </c>
      <c r="E49" s="50">
        <v>7600</v>
      </c>
      <c r="F49" s="57"/>
      <c r="G49" s="16">
        <f t="shared" si="1"/>
        <v>7600</v>
      </c>
      <c r="H49" s="16"/>
    </row>
    <row r="50" spans="1:8" hidden="1" x14ac:dyDescent="0.3">
      <c r="A50" s="17" t="s">
        <v>1274</v>
      </c>
      <c r="B50" s="52" t="s">
        <v>1275</v>
      </c>
      <c r="C50" s="17" t="s">
        <v>1276</v>
      </c>
      <c r="D50" s="54" t="s">
        <v>260</v>
      </c>
      <c r="E50" s="50">
        <v>2200</v>
      </c>
      <c r="F50" s="57"/>
      <c r="G50" s="16">
        <f t="shared" si="1"/>
        <v>2200</v>
      </c>
      <c r="H50" s="16"/>
    </row>
    <row r="51" spans="1:8" hidden="1" x14ac:dyDescent="0.3">
      <c r="A51" s="17" t="s">
        <v>1279</v>
      </c>
      <c r="B51" s="52" t="s">
        <v>1280</v>
      </c>
      <c r="C51" s="17" t="s">
        <v>1276</v>
      </c>
      <c r="D51" s="54" t="s">
        <v>1225</v>
      </c>
      <c r="E51" s="50">
        <v>4150</v>
      </c>
      <c r="F51" s="57"/>
      <c r="G51" s="16">
        <f t="shared" si="1"/>
        <v>4150</v>
      </c>
      <c r="H51" s="17">
        <v>335</v>
      </c>
    </row>
    <row r="52" spans="1:8" hidden="1" x14ac:dyDescent="0.3">
      <c r="A52" s="35" t="s">
        <v>1517</v>
      </c>
      <c r="B52" s="35" t="s">
        <v>1518</v>
      </c>
      <c r="C52" s="53" t="s">
        <v>1283</v>
      </c>
      <c r="D52" s="49" t="s">
        <v>169</v>
      </c>
      <c r="E52" s="65">
        <v>60</v>
      </c>
      <c r="G52" s="16">
        <f t="shared" si="1"/>
        <v>60</v>
      </c>
    </row>
    <row r="53" spans="1:8" hidden="1" x14ac:dyDescent="0.3">
      <c r="A53" s="17" t="s">
        <v>1292</v>
      </c>
      <c r="B53" s="52" t="s">
        <v>1293</v>
      </c>
      <c r="C53" s="17" t="s">
        <v>1283</v>
      </c>
      <c r="D53" s="54" t="s">
        <v>169</v>
      </c>
      <c r="E53" s="50">
        <v>250</v>
      </c>
      <c r="F53" s="57"/>
      <c r="G53" s="16">
        <f t="shared" si="1"/>
        <v>250</v>
      </c>
      <c r="H53" s="17"/>
    </row>
    <row r="54" spans="1:8" hidden="1" x14ac:dyDescent="0.3">
      <c r="A54" s="17" t="s">
        <v>1290</v>
      </c>
      <c r="B54" s="52" t="s">
        <v>1291</v>
      </c>
      <c r="C54" s="17" t="s">
        <v>1283</v>
      </c>
      <c r="D54" s="54" t="s">
        <v>169</v>
      </c>
      <c r="E54" s="50">
        <v>30</v>
      </c>
      <c r="F54" s="57"/>
      <c r="G54" s="16">
        <f t="shared" si="1"/>
        <v>30</v>
      </c>
      <c r="H54" s="17"/>
    </row>
    <row r="55" spans="1:8" hidden="1" x14ac:dyDescent="0.3">
      <c r="A55" s="17" t="s">
        <v>1284</v>
      </c>
      <c r="B55" s="52" t="s">
        <v>1285</v>
      </c>
      <c r="C55" s="17" t="s">
        <v>1283</v>
      </c>
      <c r="D55" s="54" t="s">
        <v>169</v>
      </c>
      <c r="E55" s="50">
        <v>300</v>
      </c>
      <c r="F55" s="57"/>
      <c r="G55" s="16">
        <f t="shared" si="1"/>
        <v>300</v>
      </c>
      <c r="H55" s="17"/>
    </row>
    <row r="56" spans="1:8" hidden="1" x14ac:dyDescent="0.3">
      <c r="A56" s="17" t="s">
        <v>686</v>
      </c>
      <c r="B56" s="52" t="s">
        <v>687</v>
      </c>
      <c r="C56" s="17" t="s">
        <v>1283</v>
      </c>
      <c r="D56" s="54" t="s">
        <v>165</v>
      </c>
      <c r="E56" s="50">
        <v>10900</v>
      </c>
      <c r="F56" s="57"/>
      <c r="G56" s="16">
        <f t="shared" si="1"/>
        <v>10900</v>
      </c>
      <c r="H56" s="17"/>
    </row>
    <row r="57" spans="1:8" hidden="1" x14ac:dyDescent="0.3">
      <c r="A57" s="17" t="s">
        <v>1281</v>
      </c>
      <c r="B57" s="52" t="s">
        <v>1282</v>
      </c>
      <c r="C57" s="17" t="s">
        <v>1283</v>
      </c>
      <c r="D57" s="54" t="s">
        <v>165</v>
      </c>
      <c r="E57" s="50">
        <v>3650</v>
      </c>
      <c r="F57" s="57"/>
      <c r="G57" s="16">
        <f t="shared" si="1"/>
        <v>3650</v>
      </c>
      <c r="H57" s="17"/>
    </row>
    <row r="58" spans="1:8" hidden="1" x14ac:dyDescent="0.3">
      <c r="A58" s="17" t="s">
        <v>1455</v>
      </c>
      <c r="B58" s="52" t="s">
        <v>1161</v>
      </c>
      <c r="C58" s="17" t="s">
        <v>1283</v>
      </c>
      <c r="D58" s="54" t="s">
        <v>135</v>
      </c>
      <c r="E58" s="50">
        <v>4050</v>
      </c>
      <c r="F58" s="57"/>
      <c r="G58" s="16">
        <f t="shared" si="1"/>
        <v>4050</v>
      </c>
      <c r="H58" s="50">
        <v>675</v>
      </c>
    </row>
    <row r="59" spans="1:8" hidden="1" x14ac:dyDescent="0.3">
      <c r="A59" s="17" t="s">
        <v>274</v>
      </c>
      <c r="B59" s="52" t="s">
        <v>275</v>
      </c>
      <c r="C59" s="17" t="s">
        <v>1286</v>
      </c>
      <c r="D59" s="54" t="s">
        <v>1519</v>
      </c>
      <c r="E59" s="50">
        <v>30751</v>
      </c>
      <c r="F59" s="57"/>
      <c r="G59" s="16">
        <f t="shared" si="1"/>
        <v>30751</v>
      </c>
      <c r="H59" s="17">
        <v>1337</v>
      </c>
    </row>
    <row r="60" spans="1:8" hidden="1" x14ac:dyDescent="0.3">
      <c r="A60" s="17" t="s">
        <v>1294</v>
      </c>
      <c r="B60" s="52" t="s">
        <v>1295</v>
      </c>
      <c r="C60" s="17" t="s">
        <v>1287</v>
      </c>
      <c r="D60" s="54" t="s">
        <v>169</v>
      </c>
      <c r="E60" s="50">
        <v>294</v>
      </c>
      <c r="F60" s="57"/>
      <c r="G60" s="16">
        <f t="shared" si="1"/>
        <v>294</v>
      </c>
      <c r="H60" s="17"/>
    </row>
    <row r="61" spans="1:8" hidden="1" x14ac:dyDescent="0.3">
      <c r="A61" s="17" t="s">
        <v>1288</v>
      </c>
      <c r="B61" s="52" t="s">
        <v>1289</v>
      </c>
      <c r="C61" s="17" t="s">
        <v>1287</v>
      </c>
      <c r="D61" s="54" t="s">
        <v>169</v>
      </c>
      <c r="E61" s="50">
        <v>500</v>
      </c>
      <c r="F61" s="57"/>
      <c r="G61" s="16">
        <f t="shared" si="1"/>
        <v>500</v>
      </c>
      <c r="H61" s="17"/>
    </row>
    <row r="62" spans="1:8" hidden="1" x14ac:dyDescent="0.3">
      <c r="A62" s="17" t="s">
        <v>377</v>
      </c>
      <c r="B62" s="52" t="s">
        <v>378</v>
      </c>
      <c r="C62" s="17" t="s">
        <v>1287</v>
      </c>
      <c r="D62" s="54" t="s">
        <v>1516</v>
      </c>
      <c r="E62" s="50">
        <v>5700</v>
      </c>
      <c r="F62" s="57"/>
      <c r="G62" s="16">
        <f t="shared" si="1"/>
        <v>5700</v>
      </c>
      <c r="H62" s="16"/>
    </row>
    <row r="63" spans="1:8" hidden="1" x14ac:dyDescent="0.3">
      <c r="A63" s="17" t="s">
        <v>1745</v>
      </c>
      <c r="B63" s="52" t="s">
        <v>273</v>
      </c>
      <c r="C63" s="17" t="s">
        <v>1287</v>
      </c>
      <c r="D63" s="54" t="s">
        <v>169</v>
      </c>
      <c r="E63" s="50">
        <v>3200</v>
      </c>
      <c r="F63" s="57"/>
      <c r="G63" s="16">
        <f t="shared" si="1"/>
        <v>3200</v>
      </c>
      <c r="H63" s="16"/>
    </row>
    <row r="64" spans="1:8" hidden="1" x14ac:dyDescent="0.3">
      <c r="A64" s="17" t="s">
        <v>315</v>
      </c>
      <c r="B64" s="52" t="s">
        <v>316</v>
      </c>
      <c r="C64" s="17" t="s">
        <v>1287</v>
      </c>
      <c r="D64" s="54" t="s">
        <v>169</v>
      </c>
      <c r="E64" s="50">
        <v>650</v>
      </c>
      <c r="F64" s="57"/>
      <c r="G64" s="16">
        <f t="shared" si="1"/>
        <v>650</v>
      </c>
      <c r="H64" s="17"/>
    </row>
    <row r="65" spans="1:8" hidden="1" x14ac:dyDescent="0.3">
      <c r="A65" s="67" t="s">
        <v>1832</v>
      </c>
      <c r="B65" s="67" t="s">
        <v>1098</v>
      </c>
      <c r="C65" s="67"/>
      <c r="D65" s="54" t="s">
        <v>1099</v>
      </c>
      <c r="E65" s="54">
        <v>167</v>
      </c>
      <c r="F65" s="67"/>
      <c r="G65" s="68">
        <f t="shared" si="1"/>
        <v>167</v>
      </c>
      <c r="H65" s="67"/>
    </row>
    <row r="66" spans="1:8" hidden="1" x14ac:dyDescent="0.3">
      <c r="A66" s="67" t="s">
        <v>1831</v>
      </c>
      <c r="B66" s="67" t="s">
        <v>1830</v>
      </c>
      <c r="C66" s="67"/>
      <c r="D66" s="54" t="s">
        <v>131</v>
      </c>
      <c r="E66" s="54">
        <v>25</v>
      </c>
      <c r="F66" s="67"/>
      <c r="G66" s="68">
        <f t="shared" si="1"/>
        <v>25</v>
      </c>
      <c r="H66" s="67"/>
    </row>
    <row r="67" spans="1:8" hidden="1" x14ac:dyDescent="0.3">
      <c r="A67" s="83" t="s">
        <v>1696</v>
      </c>
      <c r="B67" s="83"/>
      <c r="C67" s="83"/>
      <c r="D67" s="83"/>
      <c r="E67" s="83"/>
      <c r="F67" s="83"/>
      <c r="G67" s="83"/>
      <c r="H67" s="83"/>
    </row>
    <row r="68" spans="1:8" hidden="1" x14ac:dyDescent="0.3">
      <c r="A68" s="17" t="s">
        <v>1190</v>
      </c>
      <c r="B68" s="52" t="s">
        <v>1191</v>
      </c>
      <c r="C68" s="17" t="s">
        <v>1192</v>
      </c>
      <c r="D68" s="54" t="s">
        <v>238</v>
      </c>
      <c r="E68" s="50"/>
      <c r="F68" s="57"/>
      <c r="G68" s="16">
        <f>E68-F68</f>
        <v>0</v>
      </c>
      <c r="H68" s="16"/>
    </row>
    <row r="69" spans="1:8" hidden="1" x14ac:dyDescent="0.3">
      <c r="A69" s="17" t="s">
        <v>1200</v>
      </c>
      <c r="B69" s="52" t="s">
        <v>1201</v>
      </c>
      <c r="C69" s="17" t="s">
        <v>1202</v>
      </c>
      <c r="D69" s="54" t="s">
        <v>238</v>
      </c>
      <c r="E69" s="50">
        <v>2650</v>
      </c>
      <c r="F69" s="57"/>
      <c r="G69" s="16">
        <f>E69-F69</f>
        <v>2650</v>
      </c>
      <c r="H69" s="16"/>
    </row>
    <row r="70" spans="1:8" hidden="1" x14ac:dyDescent="0.3">
      <c r="A70" s="17" t="s">
        <v>1203</v>
      </c>
      <c r="B70" s="52" t="s">
        <v>1204</v>
      </c>
      <c r="C70" s="17" t="s">
        <v>1202</v>
      </c>
      <c r="D70" s="54" t="s">
        <v>260</v>
      </c>
      <c r="E70" s="50">
        <v>2800</v>
      </c>
      <c r="F70" s="57">
        <v>2600</v>
      </c>
      <c r="G70" s="16" t="s">
        <v>265</v>
      </c>
      <c r="H70" s="16"/>
    </row>
    <row r="71" spans="1:8" hidden="1" x14ac:dyDescent="0.3">
      <c r="A71" s="17" t="s">
        <v>1205</v>
      </c>
      <c r="B71" s="52" t="s">
        <v>1206</v>
      </c>
      <c r="C71" s="17" t="s">
        <v>1207</v>
      </c>
      <c r="D71" s="54" t="s">
        <v>169</v>
      </c>
      <c r="E71" s="50"/>
      <c r="F71" s="57"/>
      <c r="G71" s="16">
        <f t="shared" ref="G71:G83" si="2">E71-F71</f>
        <v>0</v>
      </c>
      <c r="H71" s="16"/>
    </row>
    <row r="72" spans="1:8" hidden="1" x14ac:dyDescent="0.3">
      <c r="A72" s="17" t="s">
        <v>1208</v>
      </c>
      <c r="B72" s="52" t="s">
        <v>1209</v>
      </c>
      <c r="C72" s="17" t="s">
        <v>1207</v>
      </c>
      <c r="D72" s="54" t="s">
        <v>265</v>
      </c>
      <c r="E72" s="50"/>
      <c r="F72" s="57"/>
      <c r="G72" s="16">
        <f t="shared" si="2"/>
        <v>0</v>
      </c>
      <c r="H72" s="16"/>
    </row>
    <row r="73" spans="1:8" hidden="1" x14ac:dyDescent="0.3">
      <c r="A73" s="17" t="s">
        <v>1210</v>
      </c>
      <c r="B73" s="52" t="s">
        <v>1211</v>
      </c>
      <c r="C73" s="17" t="s">
        <v>1207</v>
      </c>
      <c r="D73" s="54" t="s">
        <v>169</v>
      </c>
      <c r="E73" s="50"/>
      <c r="F73" s="57"/>
      <c r="G73" s="16">
        <f t="shared" si="2"/>
        <v>0</v>
      </c>
      <c r="H73" s="16"/>
    </row>
    <row r="74" spans="1:8" hidden="1" x14ac:dyDescent="0.3">
      <c r="A74" s="17" t="s">
        <v>305</v>
      </c>
      <c r="B74" s="52" t="s">
        <v>306</v>
      </c>
      <c r="C74" s="17" t="s">
        <v>1207</v>
      </c>
      <c r="D74" s="54" t="s">
        <v>169</v>
      </c>
      <c r="E74" s="50"/>
      <c r="F74" s="57"/>
      <c r="G74" s="16">
        <f t="shared" si="2"/>
        <v>0</v>
      </c>
      <c r="H74" s="16"/>
    </row>
    <row r="75" spans="1:8" hidden="1" x14ac:dyDescent="0.3">
      <c r="A75" s="17" t="s">
        <v>1212</v>
      </c>
      <c r="B75" s="52" t="s">
        <v>270</v>
      </c>
      <c r="C75" s="17" t="s">
        <v>1213</v>
      </c>
      <c r="D75" s="54" t="s">
        <v>165</v>
      </c>
      <c r="E75" s="50"/>
      <c r="F75" s="57"/>
      <c r="G75" s="16">
        <f t="shared" si="2"/>
        <v>0</v>
      </c>
      <c r="H75" s="16"/>
    </row>
    <row r="76" spans="1:8" hidden="1" x14ac:dyDescent="0.3">
      <c r="A76" s="17" t="s">
        <v>1214</v>
      </c>
      <c r="B76" s="52" t="s">
        <v>1215</v>
      </c>
      <c r="C76" s="17" t="s">
        <v>1213</v>
      </c>
      <c r="D76" s="54" t="s">
        <v>265</v>
      </c>
      <c r="E76" s="50"/>
      <c r="F76" s="57"/>
      <c r="G76" s="16">
        <f t="shared" si="2"/>
        <v>0</v>
      </c>
      <c r="H76" s="16"/>
    </row>
    <row r="77" spans="1:8" hidden="1" x14ac:dyDescent="0.3">
      <c r="A77" s="17" t="s">
        <v>1216</v>
      </c>
      <c r="B77" s="52" t="s">
        <v>1217</v>
      </c>
      <c r="C77" s="17" t="s">
        <v>1213</v>
      </c>
      <c r="D77" s="54" t="s">
        <v>165</v>
      </c>
      <c r="E77" s="50">
        <v>2000</v>
      </c>
      <c r="F77" s="57"/>
      <c r="G77" s="16">
        <f t="shared" si="2"/>
        <v>2000</v>
      </c>
      <c r="H77" s="16"/>
    </row>
    <row r="78" spans="1:8" hidden="1" x14ac:dyDescent="0.3">
      <c r="A78" s="17" t="s">
        <v>1222</v>
      </c>
      <c r="B78" s="52" t="s">
        <v>1223</v>
      </c>
      <c r="C78" s="17" t="s">
        <v>1224</v>
      </c>
      <c r="D78" s="54" t="s">
        <v>1225</v>
      </c>
      <c r="E78" s="50"/>
      <c r="F78" s="57">
        <v>330</v>
      </c>
      <c r="G78" s="16">
        <f t="shared" si="2"/>
        <v>-330</v>
      </c>
      <c r="H78" s="16"/>
    </row>
    <row r="79" spans="1:8" hidden="1" x14ac:dyDescent="0.3">
      <c r="A79" s="17" t="s">
        <v>1226</v>
      </c>
      <c r="B79" s="52" t="s">
        <v>1227</v>
      </c>
      <c r="C79" s="17" t="s">
        <v>1224</v>
      </c>
      <c r="D79" s="54" t="s">
        <v>169</v>
      </c>
      <c r="E79" s="50"/>
      <c r="F79" s="57"/>
      <c r="G79" s="16">
        <f t="shared" si="2"/>
        <v>0</v>
      </c>
      <c r="H79" s="16"/>
    </row>
    <row r="80" spans="1:8" hidden="1" x14ac:dyDescent="0.3">
      <c r="A80" s="17" t="s">
        <v>1228</v>
      </c>
      <c r="B80" s="52" t="s">
        <v>1229</v>
      </c>
      <c r="C80" s="17" t="s">
        <v>1224</v>
      </c>
      <c r="D80" s="54" t="s">
        <v>169</v>
      </c>
      <c r="E80" s="50"/>
      <c r="F80" s="57"/>
      <c r="G80" s="16">
        <f t="shared" si="2"/>
        <v>0</v>
      </c>
      <c r="H80" s="16"/>
    </row>
    <row r="81" spans="1:8" hidden="1" x14ac:dyDescent="0.3">
      <c r="A81" s="17" t="s">
        <v>1230</v>
      </c>
      <c r="B81" s="52" t="s">
        <v>1231</v>
      </c>
      <c r="C81" s="17" t="s">
        <v>1232</v>
      </c>
      <c r="D81" s="54" t="s">
        <v>265</v>
      </c>
      <c r="E81" s="50">
        <v>1084</v>
      </c>
      <c r="F81" s="57"/>
      <c r="G81" s="16">
        <f t="shared" si="2"/>
        <v>1084</v>
      </c>
      <c r="H81" s="16"/>
    </row>
    <row r="82" spans="1:8" hidden="1" x14ac:dyDescent="0.3">
      <c r="A82" s="17" t="s">
        <v>1233</v>
      </c>
      <c r="B82" s="52" t="s">
        <v>1234</v>
      </c>
      <c r="C82" s="17" t="s">
        <v>1232</v>
      </c>
      <c r="D82" s="54" t="s">
        <v>169</v>
      </c>
      <c r="E82" s="50"/>
      <c r="F82" s="57"/>
      <c r="G82" s="16">
        <f t="shared" si="2"/>
        <v>0</v>
      </c>
      <c r="H82" s="16"/>
    </row>
    <row r="83" spans="1:8" hidden="1" x14ac:dyDescent="0.3">
      <c r="A83" s="17" t="s">
        <v>1235</v>
      </c>
      <c r="B83" s="52" t="s">
        <v>1236</v>
      </c>
      <c r="C83" s="17" t="s">
        <v>1232</v>
      </c>
      <c r="D83" s="54" t="s">
        <v>265</v>
      </c>
      <c r="E83" s="50"/>
      <c r="F83" s="57"/>
      <c r="G83" s="16">
        <f t="shared" si="2"/>
        <v>0</v>
      </c>
      <c r="H83" s="16"/>
    </row>
    <row r="84" spans="1:8" hidden="1" x14ac:dyDescent="0.3"/>
    <row r="85" spans="1:8" hidden="1" x14ac:dyDescent="0.3">
      <c r="A85" s="17" t="s">
        <v>1242</v>
      </c>
      <c r="B85" s="52" t="s">
        <v>1243</v>
      </c>
      <c r="C85" s="17" t="s">
        <v>1241</v>
      </c>
      <c r="D85" s="54" t="s">
        <v>260</v>
      </c>
      <c r="E85" s="50"/>
      <c r="F85" s="57"/>
      <c r="G85" s="16">
        <f t="shared" ref="G85:G92" si="3">E85-F85</f>
        <v>0</v>
      </c>
      <c r="H85" s="16"/>
    </row>
    <row r="86" spans="1:8" hidden="1" x14ac:dyDescent="0.3">
      <c r="A86" s="17" t="s">
        <v>1251</v>
      </c>
      <c r="B86" s="52" t="s">
        <v>1252</v>
      </c>
      <c r="C86" s="17" t="s">
        <v>1246</v>
      </c>
      <c r="D86" s="54" t="s">
        <v>169</v>
      </c>
      <c r="E86" s="50"/>
      <c r="F86" s="57"/>
      <c r="G86" s="16">
        <f t="shared" si="3"/>
        <v>0</v>
      </c>
      <c r="H86" s="16"/>
    </row>
    <row r="87" spans="1:8" hidden="1" x14ac:dyDescent="0.3">
      <c r="A87" s="17" t="s">
        <v>1253</v>
      </c>
      <c r="B87" s="52" t="s">
        <v>1254</v>
      </c>
      <c r="C87" s="17" t="s">
        <v>1255</v>
      </c>
      <c r="D87" s="54" t="s">
        <v>169</v>
      </c>
      <c r="E87" s="50"/>
      <c r="F87" s="57"/>
      <c r="G87" s="16">
        <f t="shared" si="3"/>
        <v>0</v>
      </c>
      <c r="H87" s="16"/>
    </row>
    <row r="88" spans="1:8" hidden="1" x14ac:dyDescent="0.3">
      <c r="A88" s="17" t="s">
        <v>1256</v>
      </c>
      <c r="B88" s="52" t="s">
        <v>1257</v>
      </c>
      <c r="C88" s="17" t="s">
        <v>1255</v>
      </c>
      <c r="D88" s="54" t="s">
        <v>169</v>
      </c>
      <c r="E88" s="50"/>
      <c r="F88" s="57"/>
      <c r="G88" s="16">
        <f t="shared" si="3"/>
        <v>0</v>
      </c>
      <c r="H88" s="16"/>
    </row>
    <row r="89" spans="1:8" hidden="1" x14ac:dyDescent="0.3">
      <c r="A89" s="17" t="s">
        <v>1258</v>
      </c>
      <c r="B89" s="52" t="s">
        <v>1259</v>
      </c>
      <c r="C89" s="17" t="s">
        <v>1255</v>
      </c>
      <c r="D89" s="54" t="s">
        <v>169</v>
      </c>
      <c r="E89" s="50"/>
      <c r="F89" s="57"/>
      <c r="G89" s="16">
        <f t="shared" si="3"/>
        <v>0</v>
      </c>
      <c r="H89" s="16"/>
    </row>
    <row r="90" spans="1:8" hidden="1" x14ac:dyDescent="0.3">
      <c r="A90" s="17" t="s">
        <v>1260</v>
      </c>
      <c r="B90" s="52" t="s">
        <v>1261</v>
      </c>
      <c r="C90" s="17" t="s">
        <v>1255</v>
      </c>
      <c r="D90" s="54" t="s">
        <v>265</v>
      </c>
      <c r="E90" s="50"/>
      <c r="F90" s="57"/>
      <c r="G90" s="16">
        <f t="shared" si="3"/>
        <v>0</v>
      </c>
      <c r="H90" s="16"/>
    </row>
    <row r="91" spans="1:8" hidden="1" x14ac:dyDescent="0.3">
      <c r="A91" s="17" t="s">
        <v>1272</v>
      </c>
      <c r="B91" s="52" t="s">
        <v>1273</v>
      </c>
      <c r="C91" s="17" t="s">
        <v>1269</v>
      </c>
      <c r="D91" s="54" t="s">
        <v>169</v>
      </c>
      <c r="E91" s="50"/>
      <c r="F91" s="57"/>
      <c r="G91" s="16">
        <f t="shared" si="3"/>
        <v>0</v>
      </c>
      <c r="H91" s="16"/>
    </row>
    <row r="92" spans="1:8" hidden="1" x14ac:dyDescent="0.3">
      <c r="A92" s="17" t="s">
        <v>1296</v>
      </c>
      <c r="B92" s="52" t="s">
        <v>1297</v>
      </c>
      <c r="C92" s="17" t="s">
        <v>1287</v>
      </c>
      <c r="D92" s="54" t="s">
        <v>169</v>
      </c>
      <c r="E92" s="50"/>
      <c r="F92" s="57"/>
      <c r="G92" s="16">
        <f t="shared" si="3"/>
        <v>0</v>
      </c>
      <c r="H92" s="17"/>
    </row>
    <row r="93" spans="1:8" x14ac:dyDescent="0.3">
      <c r="C93" s="53"/>
      <c r="E93" s="65"/>
    </row>
  </sheetData>
  <autoFilter ref="A1:H92" xr:uid="{00000000-0001-0000-0100-000000000000}">
    <filterColumn colId="0">
      <filters>
        <filter val="T3361 MONTAJ TASI"/>
        <filter val="T3361-M16 EMNİYET SACI"/>
      </filters>
    </filterColumn>
  </autoFilter>
  <mergeCells count="1">
    <mergeCell ref="A67:H67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8"/>
  <sheetViews>
    <sheetView topLeftCell="A79" workbookViewId="0">
      <selection activeCell="A5" sqref="A5"/>
    </sheetView>
  </sheetViews>
  <sheetFormatPr defaultRowHeight="15" x14ac:dyDescent="0.25"/>
  <cols>
    <col min="1" max="1" width="59" bestFit="1" customWidth="1"/>
    <col min="2" max="2" width="44.85546875" customWidth="1"/>
    <col min="3" max="3" width="25.42578125" customWidth="1"/>
    <col min="4" max="4" width="25" customWidth="1"/>
    <col min="5" max="5" width="61.85546875" customWidth="1"/>
  </cols>
  <sheetData>
    <row r="1" spans="1:5" ht="18.75" x14ac:dyDescent="0.3">
      <c r="A1" s="5" t="s">
        <v>509</v>
      </c>
      <c r="B1" s="5" t="s">
        <v>1301</v>
      </c>
      <c r="C1" s="5" t="s">
        <v>976</v>
      </c>
      <c r="D1" s="4" t="s">
        <v>1302</v>
      </c>
      <c r="E1" s="6">
        <v>440</v>
      </c>
    </row>
    <row r="2" spans="1:5" ht="18.75" x14ac:dyDescent="0.3">
      <c r="A2" s="4" t="s">
        <v>1303</v>
      </c>
      <c r="B2" s="5" t="s">
        <v>1304</v>
      </c>
      <c r="C2" s="5" t="s">
        <v>190</v>
      </c>
      <c r="D2" s="5" t="s">
        <v>169</v>
      </c>
      <c r="E2" s="6">
        <v>5000</v>
      </c>
    </row>
    <row r="3" spans="1:5" ht="18.75" x14ac:dyDescent="0.3">
      <c r="A3" s="5" t="s">
        <v>1305</v>
      </c>
      <c r="B3" s="5" t="s">
        <v>453</v>
      </c>
      <c r="C3" s="5" t="s">
        <v>271</v>
      </c>
      <c r="D3" s="6">
        <v>300</v>
      </c>
      <c r="E3" s="5"/>
    </row>
    <row r="4" spans="1:5" ht="37.5" x14ac:dyDescent="0.3">
      <c r="A4" s="5" t="s">
        <v>1306</v>
      </c>
      <c r="B4" s="5" t="s">
        <v>1307</v>
      </c>
      <c r="C4" s="4" t="s">
        <v>1308</v>
      </c>
      <c r="D4" s="6">
        <v>1500</v>
      </c>
    </row>
    <row r="5" spans="1:5" ht="18.75" x14ac:dyDescent="0.3">
      <c r="A5" s="5" t="s">
        <v>1309</v>
      </c>
      <c r="B5" s="5" t="s">
        <v>1310</v>
      </c>
      <c r="C5" s="5" t="s">
        <v>301</v>
      </c>
      <c r="D5" s="6">
        <v>2500</v>
      </c>
      <c r="E5" s="5" t="s">
        <v>1311</v>
      </c>
    </row>
    <row r="6" spans="1:5" ht="18.75" x14ac:dyDescent="0.3">
      <c r="A6" s="5" t="s">
        <v>1312</v>
      </c>
      <c r="B6" s="5" t="s">
        <v>1313</v>
      </c>
      <c r="C6" s="4" t="s">
        <v>169</v>
      </c>
      <c r="D6" s="6">
        <v>70</v>
      </c>
    </row>
    <row r="7" spans="1:5" ht="18.75" x14ac:dyDescent="0.3">
      <c r="A7" s="4" t="s">
        <v>1314</v>
      </c>
      <c r="B7" s="5" t="s">
        <v>1315</v>
      </c>
      <c r="C7" s="5" t="s">
        <v>19</v>
      </c>
      <c r="D7" s="6">
        <v>20108</v>
      </c>
      <c r="E7" s="5" t="s">
        <v>1316</v>
      </c>
    </row>
    <row r="8" spans="1:5" ht="18.75" x14ac:dyDescent="0.3">
      <c r="A8" s="5" t="s">
        <v>1317</v>
      </c>
      <c r="B8" s="5" t="s">
        <v>532</v>
      </c>
      <c r="C8" s="5" t="s">
        <v>301</v>
      </c>
      <c r="D8" s="5">
        <v>250</v>
      </c>
      <c r="E8" s="18" t="s">
        <v>1318</v>
      </c>
    </row>
    <row r="9" spans="1:5" ht="18.75" x14ac:dyDescent="0.3">
      <c r="A9" s="5" t="s">
        <v>1319</v>
      </c>
      <c r="B9" s="5" t="s">
        <v>1320</v>
      </c>
      <c r="C9" s="10"/>
      <c r="D9" s="5" t="s">
        <v>301</v>
      </c>
      <c r="E9" s="5"/>
    </row>
    <row r="10" spans="1:5" ht="18.75" x14ac:dyDescent="0.3">
      <c r="A10" s="5" t="s">
        <v>1321</v>
      </c>
      <c r="B10" s="5" t="s">
        <v>922</v>
      </c>
      <c r="C10" s="5" t="s">
        <v>38</v>
      </c>
      <c r="D10" s="5">
        <v>6000</v>
      </c>
    </row>
    <row r="11" spans="1:5" ht="18.75" x14ac:dyDescent="0.3">
      <c r="A11" s="5" t="s">
        <v>1322</v>
      </c>
      <c r="B11" s="5" t="s">
        <v>1323</v>
      </c>
      <c r="C11" s="5" t="s">
        <v>260</v>
      </c>
      <c r="D11" s="6">
        <v>2000</v>
      </c>
      <c r="E11" s="18" t="s">
        <v>1324</v>
      </c>
    </row>
    <row r="12" spans="1:5" ht="18.75" x14ac:dyDescent="0.3">
      <c r="A12" s="1" t="s">
        <v>1325</v>
      </c>
      <c r="B12" s="2" t="s">
        <v>1326</v>
      </c>
      <c r="C12" s="2" t="s">
        <v>1327</v>
      </c>
      <c r="D12" s="3">
        <v>34900</v>
      </c>
      <c r="E12" s="5" t="s">
        <v>1328</v>
      </c>
    </row>
    <row r="13" spans="1:5" ht="18.75" x14ac:dyDescent="0.3">
      <c r="A13" s="5" t="s">
        <v>1329</v>
      </c>
      <c r="B13" s="5" t="s">
        <v>1330</v>
      </c>
      <c r="C13" s="5" t="s">
        <v>46</v>
      </c>
      <c r="D13" s="6">
        <v>36555</v>
      </c>
      <c r="E13" s="5" t="s">
        <v>1331</v>
      </c>
    </row>
    <row r="14" spans="1:5" ht="18.75" x14ac:dyDescent="0.3">
      <c r="A14" s="1" t="s">
        <v>1300</v>
      </c>
      <c r="B14" s="2" t="s">
        <v>376</v>
      </c>
      <c r="C14" s="2" t="s">
        <v>360</v>
      </c>
      <c r="D14" s="2">
        <v>5800</v>
      </c>
      <c r="E14" s="5" t="s">
        <v>1332</v>
      </c>
    </row>
    <row r="15" spans="1:5" ht="18.75" x14ac:dyDescent="0.3">
      <c r="A15" s="5" t="s">
        <v>1333</v>
      </c>
      <c r="B15" s="5" t="s">
        <v>211</v>
      </c>
      <c r="C15" s="5" t="s">
        <v>1334</v>
      </c>
      <c r="D15" s="6">
        <v>61800</v>
      </c>
      <c r="E15" s="4" t="s">
        <v>1335</v>
      </c>
    </row>
    <row r="16" spans="1:5" ht="18.75" x14ac:dyDescent="0.3">
      <c r="A16" s="5" t="s">
        <v>1336</v>
      </c>
      <c r="B16" s="5" t="s">
        <v>1337</v>
      </c>
      <c r="C16" s="5" t="s">
        <v>1334</v>
      </c>
      <c r="D16" s="6">
        <v>52500</v>
      </c>
      <c r="E16" s="5" t="s">
        <v>205</v>
      </c>
    </row>
    <row r="17" spans="1:5" ht="18.75" x14ac:dyDescent="0.3">
      <c r="A17" s="5" t="s">
        <v>1338</v>
      </c>
      <c r="B17" s="5" t="s">
        <v>1337</v>
      </c>
      <c r="C17" s="5" t="s">
        <v>1339</v>
      </c>
      <c r="D17" s="6">
        <v>59995</v>
      </c>
      <c r="E17" s="5" t="s">
        <v>1340</v>
      </c>
    </row>
    <row r="18" spans="1:5" ht="18.75" x14ac:dyDescent="0.3">
      <c r="A18" s="5" t="s">
        <v>1341</v>
      </c>
      <c r="B18" s="5" t="s">
        <v>505</v>
      </c>
      <c r="C18" s="5" t="s">
        <v>76</v>
      </c>
      <c r="D18" s="6">
        <v>1070</v>
      </c>
      <c r="E18" s="5" t="s">
        <v>1342</v>
      </c>
    </row>
    <row r="19" spans="1:5" ht="18.75" x14ac:dyDescent="0.3">
      <c r="A19" s="5" t="s">
        <v>1343</v>
      </c>
      <c r="B19" s="5" t="s">
        <v>1135</v>
      </c>
      <c r="C19" s="5" t="s">
        <v>871</v>
      </c>
      <c r="D19" s="5">
        <v>1750</v>
      </c>
      <c r="E19" s="5"/>
    </row>
    <row r="20" spans="1:5" ht="18.75" x14ac:dyDescent="0.3">
      <c r="A20" s="5" t="s">
        <v>1344</v>
      </c>
      <c r="B20" s="5" t="s">
        <v>1136</v>
      </c>
      <c r="C20" s="5" t="s">
        <v>871</v>
      </c>
      <c r="D20" s="5">
        <v>1750</v>
      </c>
      <c r="E20" s="5"/>
    </row>
    <row r="21" spans="1:5" ht="18.75" x14ac:dyDescent="0.3">
      <c r="A21" s="5" t="s">
        <v>1298</v>
      </c>
      <c r="B21" s="5" t="s">
        <v>1345</v>
      </c>
      <c r="C21" s="5" t="s">
        <v>472</v>
      </c>
      <c r="D21" s="5" t="s">
        <v>169</v>
      </c>
      <c r="E21" s="5" t="s">
        <v>1346</v>
      </c>
    </row>
    <row r="22" spans="1:5" ht="18.75" x14ac:dyDescent="0.3">
      <c r="A22" s="5" t="s">
        <v>1347</v>
      </c>
      <c r="B22" s="5" t="s">
        <v>1348</v>
      </c>
      <c r="C22" s="5" t="s">
        <v>1001</v>
      </c>
      <c r="D22" s="5" t="s">
        <v>29</v>
      </c>
      <c r="E22" s="5" t="s">
        <v>1349</v>
      </c>
    </row>
    <row r="23" spans="1:5" ht="18.75" x14ac:dyDescent="0.3">
      <c r="A23" s="5" t="s">
        <v>1299</v>
      </c>
      <c r="B23" s="5" t="s">
        <v>1350</v>
      </c>
      <c r="C23" s="5" t="s">
        <v>1001</v>
      </c>
      <c r="D23" s="5" t="s">
        <v>180</v>
      </c>
      <c r="E23" s="5" t="s">
        <v>1351</v>
      </c>
    </row>
    <row r="24" spans="1:5" ht="18.75" x14ac:dyDescent="0.3">
      <c r="A24" s="5" t="s">
        <v>1352</v>
      </c>
      <c r="B24" s="5" t="s">
        <v>975</v>
      </c>
      <c r="C24" s="5" t="s">
        <v>959</v>
      </c>
      <c r="D24" s="5" t="s">
        <v>529</v>
      </c>
      <c r="E24" s="6" t="s">
        <v>1353</v>
      </c>
    </row>
    <row r="25" spans="1:5" ht="18.75" x14ac:dyDescent="0.3">
      <c r="A25" s="5" t="s">
        <v>1354</v>
      </c>
      <c r="B25" s="5" t="s">
        <v>583</v>
      </c>
      <c r="C25" s="5" t="s">
        <v>1134</v>
      </c>
      <c r="D25" s="5" t="s">
        <v>25</v>
      </c>
      <c r="E25" s="6" t="s">
        <v>1355</v>
      </c>
    </row>
    <row r="26" spans="1:5" ht="18.75" x14ac:dyDescent="0.3">
      <c r="A26" s="5" t="s">
        <v>1356</v>
      </c>
      <c r="B26" s="5" t="s">
        <v>1357</v>
      </c>
      <c r="C26" s="5" t="s">
        <v>877</v>
      </c>
      <c r="D26" s="5" t="s">
        <v>529</v>
      </c>
      <c r="E26" s="5" t="s">
        <v>1358</v>
      </c>
    </row>
    <row r="27" spans="1:5" ht="18.75" x14ac:dyDescent="0.3">
      <c r="A27" s="5" t="s">
        <v>1359</v>
      </c>
      <c r="B27" s="5" t="s">
        <v>924</v>
      </c>
      <c r="C27" s="5" t="s">
        <v>923</v>
      </c>
      <c r="D27" s="4" t="s">
        <v>180</v>
      </c>
      <c r="E27" s="5" t="s">
        <v>1360</v>
      </c>
    </row>
    <row r="28" spans="1:5" ht="18.75" x14ac:dyDescent="0.3">
      <c r="A28" s="5" t="s">
        <v>1361</v>
      </c>
      <c r="B28" s="5" t="s">
        <v>1141</v>
      </c>
      <c r="C28" s="5" t="s">
        <v>1122</v>
      </c>
      <c r="D28" s="5" t="s">
        <v>131</v>
      </c>
      <c r="E28" s="5" t="s">
        <v>1362</v>
      </c>
    </row>
    <row r="29" spans="1:5" ht="18.75" x14ac:dyDescent="0.3">
      <c r="A29" s="5" t="s">
        <v>1363</v>
      </c>
      <c r="B29" s="5" t="s">
        <v>1140</v>
      </c>
      <c r="C29" s="5" t="s">
        <v>1122</v>
      </c>
      <c r="D29" s="5" t="s">
        <v>131</v>
      </c>
      <c r="E29" s="5" t="s">
        <v>1364</v>
      </c>
    </row>
    <row r="30" spans="1:5" ht="37.5" x14ac:dyDescent="0.3">
      <c r="A30" s="4" t="s">
        <v>1365</v>
      </c>
      <c r="B30" s="5" t="s">
        <v>1366</v>
      </c>
      <c r="C30" s="5" t="s">
        <v>180</v>
      </c>
      <c r="D30" s="5">
        <v>1000</v>
      </c>
      <c r="E30" t="s">
        <v>1371</v>
      </c>
    </row>
    <row r="31" spans="1:5" ht="18.75" x14ac:dyDescent="0.3">
      <c r="A31" s="5" t="s">
        <v>1367</v>
      </c>
      <c r="B31" s="5" t="s">
        <v>581</v>
      </c>
      <c r="C31" s="5" t="s">
        <v>165</v>
      </c>
      <c r="D31" s="6">
        <v>600</v>
      </c>
      <c r="E31" t="s">
        <v>1371</v>
      </c>
    </row>
    <row r="32" spans="1:5" ht="18.75" x14ac:dyDescent="0.3">
      <c r="A32" s="5" t="s">
        <v>736</v>
      </c>
      <c r="B32" s="5" t="s">
        <v>737</v>
      </c>
      <c r="C32" s="5" t="s">
        <v>25</v>
      </c>
      <c r="D32" s="6">
        <v>508</v>
      </c>
      <c r="E32" t="s">
        <v>1371</v>
      </c>
    </row>
    <row r="33" spans="1:5" ht="18.75" x14ac:dyDescent="0.3">
      <c r="A33" s="5" t="s">
        <v>766</v>
      </c>
      <c r="B33" s="5" t="s">
        <v>767</v>
      </c>
      <c r="C33" s="5" t="s">
        <v>29</v>
      </c>
      <c r="D33" s="6">
        <v>109</v>
      </c>
      <c r="E33" t="s">
        <v>1371</v>
      </c>
    </row>
    <row r="34" spans="1:5" ht="18.75" x14ac:dyDescent="0.3">
      <c r="A34" s="5" t="s">
        <v>1368</v>
      </c>
      <c r="B34" s="5" t="s">
        <v>1368</v>
      </c>
      <c r="C34" s="5" t="s">
        <v>29</v>
      </c>
      <c r="D34" s="6">
        <v>77</v>
      </c>
      <c r="E34" t="s">
        <v>1371</v>
      </c>
    </row>
    <row r="35" spans="1:5" ht="18.75" x14ac:dyDescent="0.3">
      <c r="A35" s="5" t="s">
        <v>1369</v>
      </c>
      <c r="B35" s="5" t="s">
        <v>1370</v>
      </c>
      <c r="C35" s="5" t="s">
        <v>29</v>
      </c>
      <c r="D35" s="6">
        <v>515</v>
      </c>
      <c r="E35" t="s">
        <v>1371</v>
      </c>
    </row>
    <row r="36" spans="1:5" ht="18.75" x14ac:dyDescent="0.3">
      <c r="A36" s="4" t="s">
        <v>192</v>
      </c>
      <c r="B36" s="5" t="s">
        <v>193</v>
      </c>
      <c r="C36" s="5" t="s">
        <v>165</v>
      </c>
      <c r="D36" s="6">
        <v>20500</v>
      </c>
      <c r="E36" s="24">
        <v>46051</v>
      </c>
    </row>
    <row r="37" spans="1:5" ht="18.75" x14ac:dyDescent="0.3">
      <c r="A37" s="5" t="s">
        <v>890</v>
      </c>
      <c r="B37" s="5" t="s">
        <v>891</v>
      </c>
      <c r="C37" s="5" t="s">
        <v>893</v>
      </c>
      <c r="D37" s="6">
        <v>2700</v>
      </c>
      <c r="E37" s="4" t="s">
        <v>894</v>
      </c>
    </row>
    <row r="38" spans="1:5" ht="18.75" x14ac:dyDescent="0.3">
      <c r="A38" s="5" t="s">
        <v>875</v>
      </c>
      <c r="B38" s="5" t="s">
        <v>876</v>
      </c>
      <c r="C38" s="4" t="s">
        <v>165</v>
      </c>
      <c r="D38" s="6">
        <v>13000</v>
      </c>
      <c r="E38" s="4"/>
    </row>
    <row r="39" spans="1:5" ht="18.75" x14ac:dyDescent="0.3">
      <c r="A39" s="4" t="s">
        <v>330</v>
      </c>
      <c r="B39" s="5" t="s">
        <v>331</v>
      </c>
      <c r="C39" s="5" t="s">
        <v>169</v>
      </c>
      <c r="D39" s="6">
        <v>300</v>
      </c>
      <c r="E39" s="21" t="s">
        <v>1371</v>
      </c>
    </row>
    <row r="40" spans="1:5" ht="18.75" x14ac:dyDescent="0.3">
      <c r="A40" s="5" t="s">
        <v>1139</v>
      </c>
      <c r="B40" s="5" t="s">
        <v>1140</v>
      </c>
      <c r="C40" s="5" t="s">
        <v>25</v>
      </c>
      <c r="D40" s="2"/>
    </row>
    <row r="41" spans="1:5" ht="18.75" x14ac:dyDescent="0.3">
      <c r="A41" s="5" t="s">
        <v>1139</v>
      </c>
      <c r="B41" s="5" t="s">
        <v>1141</v>
      </c>
      <c r="C41" s="5" t="s">
        <v>29</v>
      </c>
      <c r="D41" s="2"/>
    </row>
    <row r="42" spans="1:5" ht="18.75" x14ac:dyDescent="0.3">
      <c r="A42" s="5" t="s">
        <v>588</v>
      </c>
      <c r="B42" s="5" t="s">
        <v>589</v>
      </c>
      <c r="C42" s="4" t="s">
        <v>587</v>
      </c>
      <c r="D42" s="5" t="s">
        <v>180</v>
      </c>
      <c r="E42" s="5">
        <v>100</v>
      </c>
    </row>
    <row r="43" spans="1:5" ht="18.75" x14ac:dyDescent="0.3">
      <c r="A43" s="5" t="s">
        <v>217</v>
      </c>
      <c r="B43" s="5" t="s">
        <v>218</v>
      </c>
      <c r="C43" s="5" t="s">
        <v>169</v>
      </c>
      <c r="D43" s="6">
        <v>6000</v>
      </c>
      <c r="E43" s="21" t="s">
        <v>1489</v>
      </c>
    </row>
    <row r="44" spans="1:5" ht="18.75" x14ac:dyDescent="0.3">
      <c r="A44" s="5" t="s">
        <v>266</v>
      </c>
      <c r="B44" s="5" t="s">
        <v>267</v>
      </c>
      <c r="C44" s="5" t="s">
        <v>169</v>
      </c>
      <c r="D44" s="6">
        <v>30</v>
      </c>
      <c r="E44" s="21" t="s">
        <v>1489</v>
      </c>
    </row>
    <row r="45" spans="1:5" ht="18.75" x14ac:dyDescent="0.3">
      <c r="A45" s="5" t="s">
        <v>683</v>
      </c>
      <c r="B45" s="5" t="s">
        <v>684</v>
      </c>
      <c r="C45" s="5" t="s">
        <v>685</v>
      </c>
      <c r="D45" s="6">
        <v>300</v>
      </c>
      <c r="E45" s="21" t="s">
        <v>1493</v>
      </c>
    </row>
    <row r="46" spans="1:5" ht="18.75" x14ac:dyDescent="0.3">
      <c r="A46" s="5" t="s">
        <v>623</v>
      </c>
      <c r="B46" s="5" t="s">
        <v>624</v>
      </c>
      <c r="C46" s="5" t="s">
        <v>426</v>
      </c>
      <c r="D46" s="6">
        <v>7270</v>
      </c>
      <c r="E46" s="21" t="s">
        <v>1493</v>
      </c>
    </row>
    <row r="47" spans="1:5" ht="18.75" x14ac:dyDescent="0.3">
      <c r="A47" s="5" t="s">
        <v>659</v>
      </c>
      <c r="B47" s="5" t="s">
        <v>660</v>
      </c>
      <c r="C47" s="5" t="s">
        <v>25</v>
      </c>
      <c r="D47" s="6">
        <v>20478</v>
      </c>
      <c r="E47" s="21"/>
    </row>
    <row r="48" spans="1:5" ht="18.75" x14ac:dyDescent="0.3">
      <c r="A48" s="5" t="s">
        <v>1444</v>
      </c>
      <c r="B48" s="5" t="s">
        <v>1445</v>
      </c>
      <c r="C48" s="5" t="s">
        <v>180</v>
      </c>
      <c r="D48" s="5">
        <v>5350</v>
      </c>
      <c r="E48" s="4" t="s">
        <v>1742</v>
      </c>
    </row>
    <row r="49" spans="1:5" ht="18.75" x14ac:dyDescent="0.3">
      <c r="A49" s="4" t="s">
        <v>1498</v>
      </c>
      <c r="B49" s="5" t="s">
        <v>1140</v>
      </c>
      <c r="C49" s="5" t="s">
        <v>29</v>
      </c>
      <c r="D49" s="6">
        <v>39</v>
      </c>
      <c r="E49" s="4" t="s">
        <v>1741</v>
      </c>
    </row>
    <row r="50" spans="1:5" ht="18.75" x14ac:dyDescent="0.3">
      <c r="A50" s="4" t="s">
        <v>1498</v>
      </c>
      <c r="B50" s="5" t="s">
        <v>1494</v>
      </c>
      <c r="C50" s="5"/>
      <c r="D50" s="6">
        <v>40</v>
      </c>
      <c r="E50" s="4" t="s">
        <v>1741</v>
      </c>
    </row>
    <row r="51" spans="1:5" ht="18.75" x14ac:dyDescent="0.3">
      <c r="A51" s="4" t="s">
        <v>189</v>
      </c>
      <c r="B51" s="5" t="s">
        <v>1746</v>
      </c>
      <c r="C51" s="5" t="s">
        <v>169</v>
      </c>
      <c r="D51" s="6">
        <v>3000</v>
      </c>
      <c r="E51" s="4" t="s">
        <v>1741</v>
      </c>
    </row>
    <row r="52" spans="1:5" ht="18.75" x14ac:dyDescent="0.3">
      <c r="A52" s="5" t="s">
        <v>971</v>
      </c>
      <c r="B52" s="5" t="s">
        <v>972</v>
      </c>
      <c r="C52" s="4" t="s">
        <v>973</v>
      </c>
      <c r="D52" s="6">
        <v>550</v>
      </c>
      <c r="E52" s="4" t="s">
        <v>1751</v>
      </c>
    </row>
    <row r="53" spans="1:5" ht="18.75" x14ac:dyDescent="0.3">
      <c r="A53" s="5" t="s">
        <v>901</v>
      </c>
      <c r="B53" s="5" t="s">
        <v>902</v>
      </c>
      <c r="C53" s="5" t="s">
        <v>904</v>
      </c>
      <c r="D53" s="6">
        <v>300</v>
      </c>
      <c r="E53" s="4"/>
    </row>
    <row r="54" spans="1:5" ht="18.75" x14ac:dyDescent="0.3">
      <c r="A54" s="5" t="s">
        <v>539</v>
      </c>
      <c r="B54" s="5" t="s">
        <v>540</v>
      </c>
      <c r="C54" s="4" t="s">
        <v>88</v>
      </c>
      <c r="D54" s="6">
        <v>30372</v>
      </c>
      <c r="E54" s="4" t="s">
        <v>1751</v>
      </c>
    </row>
    <row r="55" spans="1:5" ht="18.75" x14ac:dyDescent="0.3">
      <c r="A55" s="5"/>
      <c r="B55" s="5" t="s">
        <v>1752</v>
      </c>
      <c r="C55" s="5"/>
      <c r="D55" s="5">
        <v>3730</v>
      </c>
      <c r="E55" s="4"/>
    </row>
    <row r="56" spans="1:5" ht="18.75" x14ac:dyDescent="0.3">
      <c r="A56" s="4" t="s">
        <v>191</v>
      </c>
      <c r="B56" s="5" t="s">
        <v>1503</v>
      </c>
      <c r="C56" s="4" t="s">
        <v>190</v>
      </c>
      <c r="D56" s="6">
        <v>2395</v>
      </c>
      <c r="E56" s="4"/>
    </row>
    <row r="57" spans="1:5" ht="18.75" x14ac:dyDescent="0.3">
      <c r="A57" s="5" t="s">
        <v>346</v>
      </c>
      <c r="B57" s="5" t="s">
        <v>347</v>
      </c>
      <c r="C57" s="5" t="s">
        <v>301</v>
      </c>
      <c r="D57" s="6">
        <v>850</v>
      </c>
      <c r="E57" s="4" t="s">
        <v>1784</v>
      </c>
    </row>
    <row r="58" spans="1:5" ht="18.75" x14ac:dyDescent="0.3">
      <c r="A58" s="5" t="s">
        <v>570</v>
      </c>
      <c r="B58" s="5" t="s">
        <v>571</v>
      </c>
      <c r="C58" s="5" t="s">
        <v>165</v>
      </c>
      <c r="D58" s="5">
        <v>320</v>
      </c>
      <c r="E58" s="4" t="s">
        <v>1784</v>
      </c>
    </row>
    <row r="59" spans="1:5" ht="18.75" x14ac:dyDescent="0.3">
      <c r="A59" s="5" t="s">
        <v>24</v>
      </c>
      <c r="B59" s="5" t="s">
        <v>1438</v>
      </c>
      <c r="C59" s="5" t="s">
        <v>25</v>
      </c>
      <c r="D59" s="6">
        <v>19820</v>
      </c>
      <c r="E59" s="4" t="s">
        <v>1792</v>
      </c>
    </row>
    <row r="60" spans="1:5" ht="18.75" x14ac:dyDescent="0.3">
      <c r="A60" s="5" t="s">
        <v>537</v>
      </c>
      <c r="B60" s="5" t="s">
        <v>538</v>
      </c>
      <c r="C60" s="5" t="s">
        <v>238</v>
      </c>
      <c r="D60" s="5">
        <v>10500</v>
      </c>
      <c r="E60" s="4"/>
    </row>
    <row r="61" spans="1:5" ht="18.75" x14ac:dyDescent="0.3">
      <c r="A61" s="5" t="s">
        <v>1299</v>
      </c>
      <c r="B61" s="5" t="s">
        <v>1350</v>
      </c>
      <c r="C61" s="5" t="s">
        <v>169</v>
      </c>
      <c r="D61" s="5">
        <v>1000</v>
      </c>
      <c r="E61" s="18" t="s">
        <v>1817</v>
      </c>
    </row>
    <row r="62" spans="1:5" ht="18.75" x14ac:dyDescent="0.3">
      <c r="A62" s="5" t="s">
        <v>943</v>
      </c>
      <c r="B62" s="5" t="s">
        <v>944</v>
      </c>
      <c r="C62" s="5" t="s">
        <v>945</v>
      </c>
      <c r="D62" s="6">
        <v>4500</v>
      </c>
      <c r="E62" s="18" t="s">
        <v>1817</v>
      </c>
    </row>
    <row r="63" spans="1:5" ht="18.75" x14ac:dyDescent="0.3">
      <c r="A63" s="5" t="s">
        <v>577</v>
      </c>
      <c r="B63" s="5" t="s">
        <v>578</v>
      </c>
      <c r="C63" s="5" t="s">
        <v>579</v>
      </c>
      <c r="D63" s="4">
        <v>4000</v>
      </c>
      <c r="E63" s="18" t="s">
        <v>1817</v>
      </c>
    </row>
    <row r="64" spans="1:5" ht="18.75" x14ac:dyDescent="0.3">
      <c r="A64" s="5" t="s">
        <v>878</v>
      </c>
      <c r="B64" s="5" t="s">
        <v>879</v>
      </c>
      <c r="C64" s="5" t="s">
        <v>169</v>
      </c>
      <c r="D64" s="5">
        <v>64</v>
      </c>
      <c r="E64" s="22" t="s">
        <v>1818</v>
      </c>
    </row>
    <row r="65" spans="1:9" ht="18.75" x14ac:dyDescent="0.3">
      <c r="A65" s="5" t="s">
        <v>983</v>
      </c>
      <c r="B65" s="5" t="s">
        <v>984</v>
      </c>
      <c r="C65" s="5" t="s">
        <v>165</v>
      </c>
      <c r="D65" s="5">
        <v>151</v>
      </c>
      <c r="E65" s="22" t="s">
        <v>1818</v>
      </c>
    </row>
    <row r="66" spans="1:9" ht="18.75" x14ac:dyDescent="0.3">
      <c r="A66" s="5" t="s">
        <v>1713</v>
      </c>
      <c r="B66" s="5" t="s">
        <v>1714</v>
      </c>
      <c r="C66" s="5" t="s">
        <v>38</v>
      </c>
      <c r="D66" s="6">
        <v>1100</v>
      </c>
      <c r="E66" s="22" t="s">
        <v>1818</v>
      </c>
    </row>
    <row r="67" spans="1:9" ht="18.75" x14ac:dyDescent="0.3">
      <c r="A67" s="5" t="s">
        <v>1800</v>
      </c>
      <c r="B67" s="5" t="s">
        <v>1801</v>
      </c>
      <c r="C67" s="5" t="s">
        <v>29</v>
      </c>
      <c r="D67" s="6">
        <v>200</v>
      </c>
      <c r="E67" s="4"/>
    </row>
    <row r="68" spans="1:9" ht="18.75" x14ac:dyDescent="0.3">
      <c r="A68" s="4" t="s">
        <v>1500</v>
      </c>
      <c r="B68" s="5" t="s">
        <v>1496</v>
      </c>
      <c r="C68" s="5" t="s">
        <v>301</v>
      </c>
      <c r="D68" s="6">
        <v>170</v>
      </c>
      <c r="E68" s="4">
        <v>151</v>
      </c>
    </row>
    <row r="69" spans="1:9" ht="18.75" x14ac:dyDescent="0.3">
      <c r="A69" s="5" t="s">
        <v>178</v>
      </c>
      <c r="B69" s="5" t="s">
        <v>179</v>
      </c>
      <c r="C69" s="5" t="s">
        <v>180</v>
      </c>
      <c r="D69" s="5">
        <v>6000</v>
      </c>
      <c r="E69" s="4"/>
    </row>
    <row r="70" spans="1:9" ht="18.75" x14ac:dyDescent="0.3">
      <c r="A70" s="5" t="s">
        <v>181</v>
      </c>
      <c r="B70" s="5" t="s">
        <v>182</v>
      </c>
      <c r="C70" s="5" t="s">
        <v>180</v>
      </c>
      <c r="D70" s="5">
        <v>6000</v>
      </c>
      <c r="E70" s="4"/>
    </row>
    <row r="71" spans="1:9" ht="18.75" x14ac:dyDescent="0.3">
      <c r="A71" s="5" t="s">
        <v>1501</v>
      </c>
      <c r="B71" s="5" t="s">
        <v>1326</v>
      </c>
      <c r="C71" s="5" t="s">
        <v>169</v>
      </c>
      <c r="D71" s="5">
        <v>3000</v>
      </c>
      <c r="E71" s="4"/>
    </row>
    <row r="72" spans="1:9" ht="18.75" x14ac:dyDescent="0.3">
      <c r="A72" s="5" t="s">
        <v>513</v>
      </c>
      <c r="B72" s="5" t="s">
        <v>514</v>
      </c>
      <c r="C72" s="5" t="s">
        <v>165</v>
      </c>
      <c r="D72" s="5">
        <v>452</v>
      </c>
      <c r="E72" s="4">
        <v>452</v>
      </c>
    </row>
    <row r="73" spans="1:9" ht="18.75" x14ac:dyDescent="0.3">
      <c r="A73" s="5" t="s">
        <v>854</v>
      </c>
      <c r="B73" s="5" t="s">
        <v>855</v>
      </c>
      <c r="C73" s="5" t="s">
        <v>29</v>
      </c>
      <c r="D73" s="5">
        <v>150</v>
      </c>
      <c r="E73" s="4"/>
    </row>
    <row r="74" spans="1:9" ht="18.75" x14ac:dyDescent="0.3">
      <c r="A74" s="5" t="s">
        <v>2061</v>
      </c>
      <c r="B74" s="77"/>
      <c r="C74" s="77"/>
      <c r="D74" s="77" t="s">
        <v>2062</v>
      </c>
      <c r="E74" s="77" t="s">
        <v>2065</v>
      </c>
    </row>
    <row r="75" spans="1:9" ht="18.75" x14ac:dyDescent="0.3">
      <c r="A75" s="5" t="s">
        <v>2063</v>
      </c>
      <c r="B75" s="77"/>
      <c r="C75" s="77"/>
      <c r="D75" s="77" t="s">
        <v>2064</v>
      </c>
      <c r="E75" s="77" t="s">
        <v>2066</v>
      </c>
    </row>
    <row r="76" spans="1:9" ht="18.75" x14ac:dyDescent="0.3">
      <c r="A76" s="5" t="s">
        <v>456</v>
      </c>
      <c r="B76" s="5" t="s">
        <v>457</v>
      </c>
      <c r="C76" s="4" t="s">
        <v>1870</v>
      </c>
      <c r="D76" s="4" t="s">
        <v>169</v>
      </c>
      <c r="E76" s="6" t="s">
        <v>2068</v>
      </c>
      <c r="F76" s="4">
        <v>5000</v>
      </c>
      <c r="G76" s="5" t="e">
        <f t="shared" ref="G76:G82" si="0">E76-F76</f>
        <v>#VALUE!</v>
      </c>
      <c r="H76" s="78">
        <v>46091</v>
      </c>
      <c r="I76" s="4">
        <v>5300</v>
      </c>
    </row>
    <row r="77" spans="1:9" ht="18.75" x14ac:dyDescent="0.3">
      <c r="A77" s="17" t="s">
        <v>1169</v>
      </c>
      <c r="B77" s="52" t="s">
        <v>1170</v>
      </c>
      <c r="C77" s="17" t="s">
        <v>1237</v>
      </c>
      <c r="D77" s="55" t="s">
        <v>169</v>
      </c>
      <c r="E77" s="50">
        <v>450</v>
      </c>
      <c r="F77" s="57">
        <v>450</v>
      </c>
      <c r="G77" s="16">
        <f t="shared" si="0"/>
        <v>0</v>
      </c>
      <c r="H77" s="16"/>
    </row>
    <row r="78" spans="1:9" ht="18.75" x14ac:dyDescent="0.3">
      <c r="A78" s="17" t="s">
        <v>232</v>
      </c>
      <c r="B78" s="52" t="s">
        <v>233</v>
      </c>
      <c r="C78" s="17" t="s">
        <v>1241</v>
      </c>
      <c r="D78" s="54" t="s">
        <v>265</v>
      </c>
      <c r="E78" s="50"/>
      <c r="F78" s="57"/>
      <c r="G78" s="16">
        <f t="shared" si="0"/>
        <v>0</v>
      </c>
      <c r="H78" s="16"/>
    </row>
    <row r="79" spans="1:9" ht="18.75" x14ac:dyDescent="0.3">
      <c r="A79" s="17" t="s">
        <v>371</v>
      </c>
      <c r="B79" s="52" t="s">
        <v>372</v>
      </c>
      <c r="C79" s="17" t="s">
        <v>1269</v>
      </c>
      <c r="D79" s="54" t="s">
        <v>265</v>
      </c>
      <c r="E79" s="50"/>
      <c r="F79" s="57"/>
      <c r="G79" s="16">
        <f t="shared" si="0"/>
        <v>0</v>
      </c>
      <c r="H79" s="16"/>
    </row>
    <row r="80" spans="1:9" ht="18.75" x14ac:dyDescent="0.3">
      <c r="A80" s="17" t="s">
        <v>1198</v>
      </c>
      <c r="B80" s="52" t="s">
        <v>1199</v>
      </c>
      <c r="C80" s="17" t="s">
        <v>1269</v>
      </c>
      <c r="D80" s="54" t="s">
        <v>169</v>
      </c>
      <c r="E80" s="50"/>
      <c r="F80" s="57"/>
      <c r="G80" s="16">
        <f t="shared" si="0"/>
        <v>0</v>
      </c>
      <c r="H80" s="16"/>
    </row>
    <row r="81" spans="1:9" ht="18.75" x14ac:dyDescent="0.3">
      <c r="A81" s="17" t="s">
        <v>1195</v>
      </c>
      <c r="B81" s="52" t="s">
        <v>1196</v>
      </c>
      <c r="C81" s="17" t="s">
        <v>1269</v>
      </c>
      <c r="D81" s="54" t="s">
        <v>169</v>
      </c>
      <c r="E81" s="50"/>
      <c r="F81" s="57"/>
      <c r="G81" s="16">
        <f t="shared" si="0"/>
        <v>0</v>
      </c>
      <c r="H81" s="16"/>
    </row>
    <row r="82" spans="1:9" ht="18.75" x14ac:dyDescent="0.3">
      <c r="A82" s="17" t="s">
        <v>686</v>
      </c>
      <c r="B82" s="52" t="s">
        <v>687</v>
      </c>
      <c r="C82" s="17" t="s">
        <v>1287</v>
      </c>
      <c r="D82" s="54" t="s">
        <v>169</v>
      </c>
      <c r="E82" s="50"/>
      <c r="F82" s="57"/>
      <c r="G82" s="16">
        <f t="shared" si="0"/>
        <v>0</v>
      </c>
      <c r="H82" s="16"/>
    </row>
    <row r="83" spans="1:9" ht="18.75" x14ac:dyDescent="0.3">
      <c r="A83" s="5" t="s">
        <v>1869</v>
      </c>
      <c r="B83" s="5" t="s">
        <v>1464</v>
      </c>
      <c r="C83" s="4" t="s">
        <v>472</v>
      </c>
      <c r="D83" s="4" t="s">
        <v>169</v>
      </c>
      <c r="E83" s="6">
        <v>136</v>
      </c>
      <c r="F83" s="4">
        <v>136</v>
      </c>
      <c r="G83" s="5">
        <f>E83-F83</f>
        <v>0</v>
      </c>
      <c r="H83" s="5"/>
      <c r="I83" s="4"/>
    </row>
    <row r="84" spans="1:9" ht="18.75" x14ac:dyDescent="0.3">
      <c r="A84" s="17" t="s">
        <v>330</v>
      </c>
      <c r="B84" s="52" t="s">
        <v>331</v>
      </c>
      <c r="C84" s="17" t="s">
        <v>1241</v>
      </c>
      <c r="D84" s="54" t="s">
        <v>169</v>
      </c>
      <c r="E84" s="50"/>
      <c r="F84" s="57"/>
      <c r="G84" s="16">
        <f>E84-F84</f>
        <v>0</v>
      </c>
      <c r="H84" s="16"/>
    </row>
    <row r="85" spans="1:9" ht="18.75" x14ac:dyDescent="0.3">
      <c r="A85" s="5" t="s">
        <v>2110</v>
      </c>
      <c r="B85" s="5" t="s">
        <v>1280</v>
      </c>
      <c r="C85" s="4" t="s">
        <v>1766</v>
      </c>
      <c r="D85" s="5" t="s">
        <v>169</v>
      </c>
      <c r="E85" s="5">
        <v>300</v>
      </c>
      <c r="F85" s="4">
        <v>300</v>
      </c>
      <c r="G85" s="5">
        <f>E85-F85</f>
        <v>0</v>
      </c>
      <c r="H85" s="5"/>
      <c r="I85" s="4"/>
    </row>
    <row r="86" spans="1:9" ht="18.75" x14ac:dyDescent="0.3">
      <c r="A86" s="5" t="s">
        <v>1822</v>
      </c>
      <c r="B86" s="5" t="s">
        <v>1820</v>
      </c>
      <c r="C86" s="4" t="s">
        <v>675</v>
      </c>
      <c r="D86" s="4" t="s">
        <v>169</v>
      </c>
      <c r="E86" s="5">
        <v>85</v>
      </c>
      <c r="F86" s="4">
        <v>60</v>
      </c>
      <c r="G86" s="5">
        <v>0</v>
      </c>
      <c r="H86" s="5"/>
      <c r="I86" s="4"/>
    </row>
    <row r="87" spans="1:9" ht="18.75" x14ac:dyDescent="0.3">
      <c r="A87" s="5" t="s">
        <v>1953</v>
      </c>
      <c r="B87" s="5" t="s">
        <v>1821</v>
      </c>
      <c r="C87" s="4" t="s">
        <v>675</v>
      </c>
      <c r="D87" s="4" t="s">
        <v>169</v>
      </c>
      <c r="E87" s="5">
        <v>70</v>
      </c>
      <c r="F87" s="4">
        <v>60</v>
      </c>
      <c r="G87" s="5">
        <v>0</v>
      </c>
      <c r="H87" s="5"/>
      <c r="I87" s="4"/>
    </row>
    <row r="88" spans="1:9" ht="18.75" x14ac:dyDescent="0.3">
      <c r="A88" s="5" t="s">
        <v>39</v>
      </c>
      <c r="B88" s="5" t="s">
        <v>40</v>
      </c>
      <c r="C88" s="4" t="s">
        <v>41</v>
      </c>
      <c r="D88" s="5" t="s">
        <v>20</v>
      </c>
      <c r="E88" s="6">
        <v>29408</v>
      </c>
      <c r="F88" s="4">
        <v>29408</v>
      </c>
      <c r="G88" s="6">
        <f>E88-F88</f>
        <v>0</v>
      </c>
      <c r="H88" s="6"/>
      <c r="I88" s="4">
        <v>5250</v>
      </c>
    </row>
    <row r="89" spans="1:9" ht="18.75" x14ac:dyDescent="0.3">
      <c r="A89" s="5" t="s">
        <v>2045</v>
      </c>
      <c r="B89" s="5" t="s">
        <v>2046</v>
      </c>
      <c r="C89" s="4" t="s">
        <v>738</v>
      </c>
      <c r="D89" s="5" t="s">
        <v>25</v>
      </c>
      <c r="E89" s="6" t="s">
        <v>2134</v>
      </c>
      <c r="F89" s="4">
        <v>1133</v>
      </c>
      <c r="G89" s="5">
        <v>0</v>
      </c>
      <c r="H89" s="5"/>
      <c r="I89" s="4"/>
    </row>
    <row r="90" spans="1:9" ht="18.75" x14ac:dyDescent="0.3">
      <c r="A90" s="5" t="s">
        <v>931</v>
      </c>
      <c r="B90" s="5" t="s">
        <v>932</v>
      </c>
      <c r="C90" s="4" t="s">
        <v>929</v>
      </c>
      <c r="D90" s="5" t="s">
        <v>685</v>
      </c>
      <c r="E90" s="6" t="s">
        <v>2136</v>
      </c>
      <c r="F90" s="4">
        <v>200</v>
      </c>
      <c r="G90" s="5" t="e">
        <f>E90-F90</f>
        <v>#VALUE!</v>
      </c>
      <c r="H90" s="5"/>
      <c r="I90" s="4">
        <v>100</v>
      </c>
    </row>
    <row r="91" spans="1:9" ht="18.75" x14ac:dyDescent="0.3">
      <c r="A91" s="4" t="s">
        <v>36</v>
      </c>
      <c r="B91" s="5" t="s">
        <v>37</v>
      </c>
      <c r="C91" s="4" t="s">
        <v>34</v>
      </c>
      <c r="D91" s="5" t="s">
        <v>38</v>
      </c>
      <c r="E91" s="6">
        <v>20000</v>
      </c>
      <c r="F91" s="4">
        <v>20000</v>
      </c>
      <c r="G91" s="6">
        <f>E91-F91</f>
        <v>0</v>
      </c>
      <c r="H91" s="6" t="s">
        <v>29</v>
      </c>
      <c r="I91" s="4">
        <v>10000</v>
      </c>
    </row>
    <row r="92" spans="1:9" ht="18.75" x14ac:dyDescent="0.3">
      <c r="A92" s="77"/>
      <c r="B92" s="77"/>
      <c r="C92" s="77"/>
      <c r="D92" s="77"/>
      <c r="E92" s="77"/>
    </row>
    <row r="93" spans="1:9" ht="18.75" x14ac:dyDescent="0.3">
      <c r="A93" s="77"/>
      <c r="B93" s="77"/>
      <c r="C93" s="77"/>
      <c r="D93" s="77"/>
      <c r="E93" s="77"/>
    </row>
    <row r="94" spans="1:9" ht="18.75" x14ac:dyDescent="0.3">
      <c r="A94" s="77"/>
      <c r="B94" s="77"/>
      <c r="C94" s="77"/>
      <c r="D94" s="77"/>
      <c r="E94" s="77"/>
    </row>
    <row r="95" spans="1:9" ht="18.75" x14ac:dyDescent="0.3">
      <c r="A95" s="77"/>
      <c r="B95" s="77"/>
      <c r="C95" s="77"/>
      <c r="D95" s="77"/>
      <c r="E95" s="77"/>
    </row>
    <row r="96" spans="1:9" ht="18.75" x14ac:dyDescent="0.3">
      <c r="A96" s="77"/>
      <c r="B96" s="77"/>
      <c r="C96" s="77"/>
      <c r="D96" s="77"/>
      <c r="E96" s="77"/>
    </row>
    <row r="97" spans="1:5" ht="18.75" x14ac:dyDescent="0.3">
      <c r="A97" s="77"/>
      <c r="B97" s="77"/>
      <c r="C97" s="77"/>
      <c r="D97" s="77"/>
      <c r="E97" s="77"/>
    </row>
    <row r="98" spans="1:5" ht="18.75" x14ac:dyDescent="0.3">
      <c r="A98" s="77"/>
      <c r="B98" s="77"/>
      <c r="C98" s="77"/>
      <c r="D98" s="77"/>
      <c r="E98" s="77"/>
    </row>
    <row r="99" spans="1:5" ht="18.75" x14ac:dyDescent="0.3">
      <c r="A99" s="77"/>
      <c r="B99" s="77"/>
      <c r="C99" s="77"/>
      <c r="D99" s="77"/>
      <c r="E99" s="77"/>
    </row>
    <row r="100" spans="1:5" ht="18.75" x14ac:dyDescent="0.3">
      <c r="A100" s="77"/>
      <c r="B100" s="77"/>
      <c r="C100" s="77"/>
      <c r="D100" s="77"/>
      <c r="E100" s="77"/>
    </row>
    <row r="101" spans="1:5" ht="18.75" x14ac:dyDescent="0.3">
      <c r="A101" s="77"/>
      <c r="B101" s="77"/>
      <c r="C101" s="77"/>
      <c r="D101" s="77"/>
      <c r="E101" s="77"/>
    </row>
    <row r="102" spans="1:5" ht="18.75" x14ac:dyDescent="0.3">
      <c r="A102" s="77"/>
      <c r="B102" s="77"/>
      <c r="C102" s="77"/>
      <c r="D102" s="77"/>
      <c r="E102" s="77"/>
    </row>
    <row r="103" spans="1:5" ht="18.75" x14ac:dyDescent="0.3">
      <c r="A103" s="77"/>
      <c r="B103" s="77"/>
      <c r="C103" s="77"/>
      <c r="D103" s="77"/>
      <c r="E103" s="77"/>
    </row>
    <row r="104" spans="1:5" ht="18.75" x14ac:dyDescent="0.3">
      <c r="A104" s="77"/>
      <c r="B104" s="77"/>
      <c r="C104" s="77"/>
      <c r="D104" s="77"/>
      <c r="E104" s="77"/>
    </row>
    <row r="105" spans="1:5" ht="18.75" x14ac:dyDescent="0.3">
      <c r="A105" s="77"/>
      <c r="B105" s="77"/>
      <c r="C105" s="77"/>
      <c r="D105" s="77"/>
      <c r="E105" s="77"/>
    </row>
    <row r="106" spans="1:5" ht="18.75" x14ac:dyDescent="0.3">
      <c r="A106" s="77"/>
      <c r="B106" s="77"/>
      <c r="C106" s="77"/>
      <c r="D106" s="77"/>
      <c r="E106" s="77"/>
    </row>
    <row r="107" spans="1:5" ht="18.75" x14ac:dyDescent="0.3">
      <c r="A107" s="77"/>
      <c r="B107" s="77"/>
      <c r="C107" s="77"/>
      <c r="D107" s="77"/>
      <c r="E107" s="77"/>
    </row>
    <row r="108" spans="1:5" ht="18.75" x14ac:dyDescent="0.3">
      <c r="A108" s="77"/>
      <c r="B108" s="77"/>
      <c r="C108" s="77"/>
      <c r="D108" s="77"/>
      <c r="E108" s="77"/>
    </row>
  </sheetData>
  <autoFilter ref="A1:I91" xr:uid="{00000000-0001-0000-0300-000000000000}"/>
  <phoneticPr fontId="11" type="noConversion"/>
  <conditionalFormatting sqref="A34">
    <cfRule type="duplicateValues" dxfId="2430" priority="24"/>
    <cfRule type="duplicateValues" dxfId="2429" priority="25"/>
    <cfRule type="duplicateValues" dxfId="2428" priority="26"/>
    <cfRule type="duplicateValues" dxfId="2427" priority="27"/>
  </conditionalFormatting>
  <conditionalFormatting sqref="B1">
    <cfRule type="duplicateValues" dxfId="2426" priority="73"/>
    <cfRule type="duplicateValues" dxfId="2425" priority="74"/>
    <cfRule type="duplicateValues" dxfId="2424" priority="75"/>
    <cfRule type="duplicateValues" dxfId="2423" priority="76"/>
  </conditionalFormatting>
  <conditionalFormatting sqref="B3">
    <cfRule type="duplicateValues" dxfId="2422" priority="65"/>
    <cfRule type="duplicateValues" dxfId="2421" priority="66"/>
    <cfRule type="duplicateValues" dxfId="2420" priority="67"/>
    <cfRule type="duplicateValues" dxfId="2419" priority="72"/>
  </conditionalFormatting>
  <conditionalFormatting sqref="B4">
    <cfRule type="duplicateValues" dxfId="2418" priority="61"/>
    <cfRule type="duplicateValues" dxfId="2417" priority="62"/>
    <cfRule type="duplicateValues" dxfId="2416" priority="63"/>
    <cfRule type="duplicateValues" dxfId="2415" priority="64"/>
  </conditionalFormatting>
  <conditionalFormatting sqref="B5">
    <cfRule type="duplicateValues" dxfId="2414" priority="57"/>
    <cfRule type="duplicateValues" dxfId="2413" priority="58"/>
    <cfRule type="duplicateValues" dxfId="2412" priority="59"/>
    <cfRule type="duplicateValues" dxfId="2411" priority="60"/>
  </conditionalFormatting>
  <conditionalFormatting sqref="B6">
    <cfRule type="duplicateValues" dxfId="2410" priority="53"/>
    <cfRule type="duplicateValues" dxfId="2409" priority="54"/>
    <cfRule type="duplicateValues" dxfId="2408" priority="55"/>
    <cfRule type="duplicateValues" dxfId="2407" priority="56"/>
  </conditionalFormatting>
  <conditionalFormatting sqref="B8">
    <cfRule type="duplicateValues" dxfId="2406" priority="49"/>
    <cfRule type="duplicateValues" dxfId="2405" priority="50"/>
    <cfRule type="duplicateValues" dxfId="2404" priority="51"/>
    <cfRule type="duplicateValues" dxfId="2403" priority="52"/>
  </conditionalFormatting>
  <conditionalFormatting sqref="B9">
    <cfRule type="duplicateValues" dxfId="2402" priority="45"/>
    <cfRule type="duplicateValues" dxfId="2401" priority="46"/>
    <cfRule type="duplicateValues" dxfId="2400" priority="47"/>
    <cfRule type="duplicateValues" dxfId="2399" priority="48"/>
  </conditionalFormatting>
  <conditionalFormatting sqref="B10">
    <cfRule type="duplicateValues" dxfId="2398" priority="41"/>
    <cfRule type="duplicateValues" dxfId="2397" priority="42"/>
    <cfRule type="duplicateValues" dxfId="2396" priority="43"/>
    <cfRule type="duplicateValues" dxfId="2395" priority="44"/>
  </conditionalFormatting>
  <conditionalFormatting sqref="B11">
    <cfRule type="duplicateValues" dxfId="2394" priority="37"/>
    <cfRule type="duplicateValues" dxfId="2393" priority="38"/>
    <cfRule type="duplicateValues" dxfId="2392" priority="39"/>
    <cfRule type="duplicateValues" dxfId="2391" priority="40"/>
  </conditionalFormatting>
  <conditionalFormatting sqref="B15">
    <cfRule type="duplicateValues" dxfId="2390" priority="33"/>
    <cfRule type="duplicateValues" dxfId="2389" priority="34"/>
    <cfRule type="duplicateValues" dxfId="2388" priority="35"/>
    <cfRule type="duplicateValues" dxfId="2387" priority="36"/>
  </conditionalFormatting>
  <conditionalFormatting sqref="B18">
    <cfRule type="duplicateValues" dxfId="2386" priority="29"/>
    <cfRule type="duplicateValues" dxfId="2385" priority="30"/>
    <cfRule type="duplicateValues" dxfId="2384" priority="31"/>
    <cfRule type="duplicateValues" dxfId="2383" priority="32"/>
  </conditionalFormatting>
  <conditionalFormatting sqref="B19:B20">
    <cfRule type="duplicateValues" dxfId="2382" priority="28"/>
  </conditionalFormatting>
  <conditionalFormatting sqref="G76">
    <cfRule type="cellIs" dxfId="2381" priority="6" operator="lessThan">
      <formula>60000</formula>
    </cfRule>
  </conditionalFormatting>
  <conditionalFormatting sqref="G83">
    <cfRule type="cellIs" dxfId="2380" priority="5" operator="lessThan">
      <formula>60000</formula>
    </cfRule>
  </conditionalFormatting>
  <conditionalFormatting sqref="G85:G87">
    <cfRule type="cellIs" dxfId="2379" priority="2" operator="lessThan">
      <formula>60000</formula>
    </cfRule>
  </conditionalFormatting>
  <conditionalFormatting sqref="G89">
    <cfRule type="cellIs" dxfId="2378" priority="1" operator="lessThan">
      <formula>60000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5"/>
  <sheetViews>
    <sheetView topLeftCell="A96" workbookViewId="0">
      <selection activeCell="F107" sqref="F107"/>
    </sheetView>
  </sheetViews>
  <sheetFormatPr defaultRowHeight="15" x14ac:dyDescent="0.25"/>
  <cols>
    <col min="1" max="1" width="23.28515625" style="36" customWidth="1"/>
    <col min="2" max="2" width="55.42578125" customWidth="1"/>
    <col min="5" max="5" width="17.7109375" customWidth="1"/>
    <col min="6" max="6" width="29.5703125" customWidth="1"/>
    <col min="7" max="7" width="11.85546875" customWidth="1"/>
    <col min="9" max="9" width="44.7109375" customWidth="1"/>
  </cols>
  <sheetData>
    <row r="1" spans="1:9" ht="45" x14ac:dyDescent="0.25">
      <c r="A1" s="41" t="s">
        <v>1376</v>
      </c>
      <c r="B1" s="19" t="s">
        <v>1377</v>
      </c>
      <c r="E1" s="19" t="s">
        <v>1372</v>
      </c>
      <c r="F1" s="19" t="s">
        <v>1373</v>
      </c>
      <c r="G1" s="19" t="s">
        <v>1374</v>
      </c>
      <c r="I1" s="20" t="s">
        <v>1375</v>
      </c>
    </row>
    <row r="2" spans="1:9" x14ac:dyDescent="0.25">
      <c r="A2" s="87" t="s">
        <v>1380</v>
      </c>
      <c r="B2" s="43" t="s">
        <v>1381</v>
      </c>
      <c r="E2" t="s">
        <v>1397</v>
      </c>
      <c r="F2" t="s">
        <v>1398</v>
      </c>
      <c r="G2" t="s">
        <v>454</v>
      </c>
    </row>
    <row r="3" spans="1:9" x14ac:dyDescent="0.25">
      <c r="A3" s="87"/>
      <c r="B3" s="44" t="s">
        <v>1384</v>
      </c>
      <c r="E3" t="s">
        <v>1378</v>
      </c>
      <c r="F3" t="s">
        <v>1379</v>
      </c>
      <c r="G3" t="s">
        <v>1756</v>
      </c>
    </row>
    <row r="4" spans="1:9" ht="30" x14ac:dyDescent="0.25">
      <c r="A4" s="87"/>
      <c r="B4" s="45" t="s">
        <v>1505</v>
      </c>
      <c r="E4" t="s">
        <v>1757</v>
      </c>
      <c r="F4" s="20" t="s">
        <v>1758</v>
      </c>
      <c r="G4" t="s">
        <v>1759</v>
      </c>
    </row>
    <row r="5" spans="1:9" x14ac:dyDescent="0.25">
      <c r="A5" s="87" t="s">
        <v>1386</v>
      </c>
      <c r="B5" s="43" t="s">
        <v>1387</v>
      </c>
      <c r="E5" t="s">
        <v>1382</v>
      </c>
      <c r="F5" t="s">
        <v>1383</v>
      </c>
      <c r="G5" t="s">
        <v>469</v>
      </c>
    </row>
    <row r="6" spans="1:9" x14ac:dyDescent="0.25">
      <c r="A6" s="87"/>
      <c r="B6" s="44" t="s">
        <v>1391</v>
      </c>
      <c r="E6" t="s">
        <v>1382</v>
      </c>
      <c r="F6" t="s">
        <v>1385</v>
      </c>
      <c r="G6" t="s">
        <v>469</v>
      </c>
    </row>
    <row r="7" spans="1:9" x14ac:dyDescent="0.25">
      <c r="A7" s="87"/>
      <c r="B7" s="44" t="s">
        <v>1394</v>
      </c>
      <c r="E7" t="s">
        <v>1388</v>
      </c>
      <c r="F7" t="s">
        <v>1389</v>
      </c>
      <c r="G7" t="s">
        <v>1390</v>
      </c>
    </row>
    <row r="8" spans="1:9" x14ac:dyDescent="0.25">
      <c r="A8" s="87"/>
      <c r="B8" s="45" t="s">
        <v>1396</v>
      </c>
      <c r="E8" t="s">
        <v>1392</v>
      </c>
      <c r="F8" t="s">
        <v>1393</v>
      </c>
      <c r="G8" t="s">
        <v>457</v>
      </c>
    </row>
    <row r="9" spans="1:9" x14ac:dyDescent="0.25">
      <c r="A9" s="87" t="s">
        <v>1399</v>
      </c>
      <c r="B9" s="43" t="s">
        <v>1400</v>
      </c>
      <c r="E9" t="s">
        <v>1395</v>
      </c>
      <c r="F9" t="s">
        <v>462</v>
      </c>
      <c r="G9" t="s">
        <v>455</v>
      </c>
    </row>
    <row r="10" spans="1:9" x14ac:dyDescent="0.25">
      <c r="A10" s="87"/>
      <c r="B10" s="44" t="s">
        <v>1401</v>
      </c>
    </row>
    <row r="11" spans="1:9" x14ac:dyDescent="0.25">
      <c r="A11" s="87"/>
      <c r="B11" s="44" t="s">
        <v>1403</v>
      </c>
      <c r="E11" t="s">
        <v>1402</v>
      </c>
      <c r="F11" t="s">
        <v>1389</v>
      </c>
      <c r="G11" t="s">
        <v>726</v>
      </c>
    </row>
    <row r="12" spans="1:9" x14ac:dyDescent="0.25">
      <c r="A12" s="87"/>
      <c r="B12" s="45" t="s">
        <v>1405</v>
      </c>
      <c r="E12" t="s">
        <v>1404</v>
      </c>
      <c r="F12" t="s">
        <v>1393</v>
      </c>
      <c r="G12" t="s">
        <v>465</v>
      </c>
    </row>
    <row r="13" spans="1:9" x14ac:dyDescent="0.25">
      <c r="A13" s="87" t="s">
        <v>1119</v>
      </c>
      <c r="B13" s="43" t="s">
        <v>1407</v>
      </c>
      <c r="E13" t="s">
        <v>1406</v>
      </c>
      <c r="F13" t="s">
        <v>462</v>
      </c>
      <c r="G13" t="s">
        <v>463</v>
      </c>
    </row>
    <row r="14" spans="1:9" x14ac:dyDescent="0.25">
      <c r="A14" s="87"/>
      <c r="B14" s="44" t="s">
        <v>1411</v>
      </c>
      <c r="E14" t="s">
        <v>1408</v>
      </c>
      <c r="F14" t="s">
        <v>1760</v>
      </c>
      <c r="G14" t="s">
        <v>1761</v>
      </c>
    </row>
    <row r="15" spans="1:9" x14ac:dyDescent="0.25">
      <c r="A15" s="87"/>
      <c r="B15" s="44" t="s">
        <v>1412</v>
      </c>
      <c r="E15" t="s">
        <v>1408</v>
      </c>
      <c r="F15" t="s">
        <v>1409</v>
      </c>
      <c r="G15" t="s">
        <v>1410</v>
      </c>
    </row>
    <row r="16" spans="1:9" x14ac:dyDescent="0.25">
      <c r="A16" s="87"/>
      <c r="B16" s="45" t="s">
        <v>1413</v>
      </c>
    </row>
    <row r="17" spans="1:2" x14ac:dyDescent="0.25">
      <c r="A17" s="87" t="s">
        <v>1508</v>
      </c>
      <c r="B17" s="43" t="s">
        <v>1509</v>
      </c>
    </row>
    <row r="18" spans="1:2" x14ac:dyDescent="0.25">
      <c r="A18" s="87"/>
      <c r="B18" s="44" t="s">
        <v>1510</v>
      </c>
    </row>
    <row r="19" spans="1:2" x14ac:dyDescent="0.25">
      <c r="A19" s="87"/>
      <c r="B19" s="44" t="s">
        <v>1511</v>
      </c>
    </row>
    <row r="20" spans="1:2" x14ac:dyDescent="0.25">
      <c r="A20" s="87"/>
      <c r="B20" s="45" t="s">
        <v>1512</v>
      </c>
    </row>
    <row r="21" spans="1:2" x14ac:dyDescent="0.25">
      <c r="A21" s="87" t="s">
        <v>1530</v>
      </c>
      <c r="B21" s="43" t="s">
        <v>1509</v>
      </c>
    </row>
    <row r="22" spans="1:2" x14ac:dyDescent="0.25">
      <c r="A22" s="87"/>
      <c r="B22" s="44" t="s">
        <v>1531</v>
      </c>
    </row>
    <row r="23" spans="1:2" x14ac:dyDescent="0.25">
      <c r="A23" s="87"/>
      <c r="B23" s="44" t="s">
        <v>1532</v>
      </c>
    </row>
    <row r="24" spans="1:2" x14ac:dyDescent="0.25">
      <c r="A24" s="87"/>
      <c r="B24" s="45" t="s">
        <v>1533</v>
      </c>
    </row>
    <row r="25" spans="1:2" x14ac:dyDescent="0.25">
      <c r="A25" s="87" t="s">
        <v>1414</v>
      </c>
      <c r="B25" s="43" t="s">
        <v>1506</v>
      </c>
    </row>
    <row r="26" spans="1:2" x14ac:dyDescent="0.25">
      <c r="A26" s="87"/>
      <c r="B26" s="44" t="s">
        <v>1415</v>
      </c>
    </row>
    <row r="27" spans="1:2" x14ac:dyDescent="0.25">
      <c r="A27" s="87"/>
      <c r="B27" s="44" t="s">
        <v>1416</v>
      </c>
    </row>
    <row r="28" spans="1:2" x14ac:dyDescent="0.25">
      <c r="A28" s="87"/>
      <c r="B28" s="45" t="s">
        <v>1507</v>
      </c>
    </row>
    <row r="29" spans="1:2" x14ac:dyDescent="0.25">
      <c r="A29" s="87" t="s">
        <v>1534</v>
      </c>
      <c r="B29" s="43" t="s">
        <v>1535</v>
      </c>
    </row>
    <row r="30" spans="1:2" x14ac:dyDescent="0.25">
      <c r="A30" s="87"/>
      <c r="B30" s="44" t="s">
        <v>1538</v>
      </c>
    </row>
    <row r="31" spans="1:2" x14ac:dyDescent="0.25">
      <c r="A31" s="87"/>
      <c r="B31" s="44" t="s">
        <v>1621</v>
      </c>
    </row>
    <row r="32" spans="1:2" x14ac:dyDescent="0.25">
      <c r="A32" s="87"/>
      <c r="B32" s="45" t="s">
        <v>1697</v>
      </c>
    </row>
    <row r="33" spans="1:2" x14ac:dyDescent="0.25">
      <c r="A33" s="87" t="s">
        <v>1536</v>
      </c>
      <c r="B33" s="43" t="s">
        <v>1537</v>
      </c>
    </row>
    <row r="34" spans="1:2" x14ac:dyDescent="0.25">
      <c r="A34" s="87"/>
      <c r="B34" s="44" t="s">
        <v>1538</v>
      </c>
    </row>
    <row r="35" spans="1:2" x14ac:dyDescent="0.25">
      <c r="A35" s="87"/>
      <c r="B35" s="44" t="s">
        <v>1621</v>
      </c>
    </row>
    <row r="36" spans="1:2" x14ac:dyDescent="0.25">
      <c r="A36" s="87"/>
      <c r="B36" s="45" t="s">
        <v>1697</v>
      </c>
    </row>
    <row r="37" spans="1:2" x14ac:dyDescent="0.25">
      <c r="A37" s="87" t="s">
        <v>1139</v>
      </c>
      <c r="B37" s="43" t="s">
        <v>1539</v>
      </c>
    </row>
    <row r="38" spans="1:2" x14ac:dyDescent="0.25">
      <c r="A38" s="87"/>
      <c r="B38" s="44" t="s">
        <v>1540</v>
      </c>
    </row>
    <row r="39" spans="1:2" x14ac:dyDescent="0.25">
      <c r="A39" s="87"/>
      <c r="B39" s="44" t="s">
        <v>1566</v>
      </c>
    </row>
    <row r="40" spans="1:2" x14ac:dyDescent="0.25">
      <c r="A40" s="87"/>
      <c r="B40" s="44" t="s">
        <v>1553</v>
      </c>
    </row>
    <row r="41" spans="1:2" x14ac:dyDescent="0.25">
      <c r="A41" s="87"/>
      <c r="B41" s="44" t="s">
        <v>1541</v>
      </c>
    </row>
    <row r="42" spans="1:2" x14ac:dyDescent="0.25">
      <c r="A42" s="87"/>
      <c r="B42" s="44" t="s">
        <v>1542</v>
      </c>
    </row>
    <row r="43" spans="1:2" x14ac:dyDescent="0.25">
      <c r="A43" s="87"/>
      <c r="B43" s="45" t="s">
        <v>1543</v>
      </c>
    </row>
    <row r="44" spans="1:2" x14ac:dyDescent="0.25">
      <c r="A44" s="87" t="s">
        <v>1544</v>
      </c>
      <c r="B44" s="43" t="s">
        <v>1545</v>
      </c>
    </row>
    <row r="45" spans="1:2" x14ac:dyDescent="0.25">
      <c r="A45" s="87"/>
      <c r="B45" s="44" t="s">
        <v>1546</v>
      </c>
    </row>
    <row r="46" spans="1:2" x14ac:dyDescent="0.25">
      <c r="A46" s="87"/>
      <c r="B46" s="45" t="s">
        <v>1547</v>
      </c>
    </row>
    <row r="47" spans="1:2" x14ac:dyDescent="0.25">
      <c r="A47" s="87" t="s">
        <v>1548</v>
      </c>
      <c r="B47" s="43" t="s">
        <v>1540</v>
      </c>
    </row>
    <row r="48" spans="1:2" x14ac:dyDescent="0.25">
      <c r="A48" s="87"/>
      <c r="B48" s="44" t="s">
        <v>1549</v>
      </c>
    </row>
    <row r="49" spans="1:2" x14ac:dyDescent="0.25">
      <c r="A49" s="87"/>
      <c r="B49" s="44" t="s">
        <v>1565</v>
      </c>
    </row>
    <row r="50" spans="1:2" x14ac:dyDescent="0.25">
      <c r="A50" s="87"/>
      <c r="B50" s="44" t="s">
        <v>1845</v>
      </c>
    </row>
    <row r="51" spans="1:2" x14ac:dyDescent="0.25">
      <c r="A51" s="87"/>
      <c r="B51" s="44" t="s">
        <v>1550</v>
      </c>
    </row>
    <row r="52" spans="1:2" x14ac:dyDescent="0.25">
      <c r="A52" s="87"/>
      <c r="B52" s="44" t="s">
        <v>1551</v>
      </c>
    </row>
    <row r="53" spans="1:2" x14ac:dyDescent="0.25">
      <c r="A53" s="87"/>
      <c r="B53" s="44" t="s">
        <v>1543</v>
      </c>
    </row>
    <row r="54" spans="1:2" x14ac:dyDescent="0.25">
      <c r="A54" s="87"/>
      <c r="B54" s="44" t="s">
        <v>1552</v>
      </c>
    </row>
    <row r="55" spans="1:2" x14ac:dyDescent="0.25">
      <c r="A55" s="87"/>
      <c r="B55" s="44" t="s">
        <v>1553</v>
      </c>
    </row>
    <row r="56" spans="1:2" x14ac:dyDescent="0.25">
      <c r="A56" s="87"/>
      <c r="B56" s="45" t="s">
        <v>1542</v>
      </c>
    </row>
    <row r="57" spans="1:2" x14ac:dyDescent="0.25">
      <c r="A57" s="87" t="s">
        <v>1554</v>
      </c>
      <c r="B57" s="43" t="s">
        <v>1555</v>
      </c>
    </row>
    <row r="58" spans="1:2" x14ac:dyDescent="0.25">
      <c r="A58" s="87"/>
      <c r="B58" s="44" t="s">
        <v>1556</v>
      </c>
    </row>
    <row r="59" spans="1:2" x14ac:dyDescent="0.25">
      <c r="A59" s="87"/>
      <c r="B59" s="44" t="s">
        <v>1557</v>
      </c>
    </row>
    <row r="60" spans="1:2" x14ac:dyDescent="0.25">
      <c r="A60" s="87"/>
      <c r="B60" s="45" t="s">
        <v>1558</v>
      </c>
    </row>
    <row r="61" spans="1:2" x14ac:dyDescent="0.25">
      <c r="A61" s="87" t="s">
        <v>1559</v>
      </c>
      <c r="B61" s="43" t="s">
        <v>1560</v>
      </c>
    </row>
    <row r="62" spans="1:2" x14ac:dyDescent="0.25">
      <c r="A62" s="87"/>
      <c r="B62" s="45" t="s">
        <v>1612</v>
      </c>
    </row>
    <row r="63" spans="1:2" x14ac:dyDescent="0.25">
      <c r="A63" s="87" t="s">
        <v>1561</v>
      </c>
      <c r="B63" s="43" t="s">
        <v>1562</v>
      </c>
    </row>
    <row r="64" spans="1:2" x14ac:dyDescent="0.25">
      <c r="A64" s="87"/>
      <c r="B64" s="44" t="s">
        <v>1563</v>
      </c>
    </row>
    <row r="65" spans="1:2" x14ac:dyDescent="0.25">
      <c r="A65" s="87"/>
      <c r="B65" s="44" t="s">
        <v>1564</v>
      </c>
    </row>
    <row r="66" spans="1:2" x14ac:dyDescent="0.25">
      <c r="A66" s="87"/>
      <c r="B66" s="44" t="s">
        <v>1567</v>
      </c>
    </row>
    <row r="67" spans="1:2" x14ac:dyDescent="0.25">
      <c r="A67" s="87"/>
      <c r="B67" s="44" t="s">
        <v>1551</v>
      </c>
    </row>
    <row r="68" spans="1:2" x14ac:dyDescent="0.25">
      <c r="A68" s="87"/>
      <c r="B68" s="44" t="s">
        <v>1568</v>
      </c>
    </row>
    <row r="69" spans="1:2" x14ac:dyDescent="0.25">
      <c r="A69" s="87"/>
      <c r="B69" s="44" t="s">
        <v>1569</v>
      </c>
    </row>
    <row r="70" spans="1:2" x14ac:dyDescent="0.25">
      <c r="A70" s="87"/>
      <c r="B70" s="44" t="s">
        <v>1572</v>
      </c>
    </row>
    <row r="71" spans="1:2" x14ac:dyDescent="0.25">
      <c r="A71" s="87"/>
      <c r="B71" s="45" t="s">
        <v>1573</v>
      </c>
    </row>
    <row r="72" spans="1:2" x14ac:dyDescent="0.25">
      <c r="A72" s="87" t="s">
        <v>1574</v>
      </c>
      <c r="B72" s="43" t="s">
        <v>1575</v>
      </c>
    </row>
    <row r="73" spans="1:2" x14ac:dyDescent="0.25">
      <c r="A73" s="87"/>
      <c r="B73" s="44" t="s">
        <v>1576</v>
      </c>
    </row>
    <row r="74" spans="1:2" x14ac:dyDescent="0.25">
      <c r="A74" s="87"/>
      <c r="B74" s="45" t="s">
        <v>1577</v>
      </c>
    </row>
    <row r="75" spans="1:2" x14ac:dyDescent="0.25">
      <c r="A75" s="84" t="s">
        <v>2086</v>
      </c>
      <c r="B75" s="44" t="s">
        <v>2087</v>
      </c>
    </row>
    <row r="76" spans="1:2" x14ac:dyDescent="0.25">
      <c r="A76" s="85"/>
      <c r="B76" s="44" t="s">
        <v>1576</v>
      </c>
    </row>
    <row r="77" spans="1:2" x14ac:dyDescent="0.25">
      <c r="A77" s="85"/>
      <c r="B77" s="44" t="s">
        <v>2088</v>
      </c>
    </row>
    <row r="78" spans="1:2" x14ac:dyDescent="0.25">
      <c r="A78" s="85"/>
      <c r="B78" s="44" t="s">
        <v>2089</v>
      </c>
    </row>
    <row r="79" spans="1:2" x14ac:dyDescent="0.25">
      <c r="A79" s="85"/>
      <c r="B79" s="44" t="s">
        <v>1542</v>
      </c>
    </row>
    <row r="80" spans="1:2" x14ac:dyDescent="0.25">
      <c r="A80" s="85"/>
      <c r="B80" s="44" t="s">
        <v>2090</v>
      </c>
    </row>
    <row r="81" spans="1:2" x14ac:dyDescent="0.25">
      <c r="A81" s="86"/>
      <c r="B81" s="44" t="s">
        <v>2091</v>
      </c>
    </row>
    <row r="82" spans="1:2" x14ac:dyDescent="0.25">
      <c r="A82" s="88" t="s">
        <v>1578</v>
      </c>
      <c r="B82" s="43" t="s">
        <v>1579</v>
      </c>
    </row>
    <row r="83" spans="1:2" x14ac:dyDescent="0.25">
      <c r="A83" s="88"/>
      <c r="B83" s="44" t="s">
        <v>1580</v>
      </c>
    </row>
    <row r="84" spans="1:2" x14ac:dyDescent="0.25">
      <c r="A84" s="88"/>
      <c r="B84" s="44" t="s">
        <v>1581</v>
      </c>
    </row>
    <row r="85" spans="1:2" x14ac:dyDescent="0.25">
      <c r="A85" s="88"/>
      <c r="B85" s="45" t="s">
        <v>1582</v>
      </c>
    </row>
    <row r="86" spans="1:2" x14ac:dyDescent="0.25">
      <c r="A86" s="87" t="s">
        <v>1583</v>
      </c>
      <c r="B86" s="43" t="s">
        <v>1584</v>
      </c>
    </row>
    <row r="87" spans="1:2" x14ac:dyDescent="0.25">
      <c r="A87" s="87"/>
      <c r="B87" s="44" t="s">
        <v>1580</v>
      </c>
    </row>
    <row r="88" spans="1:2" x14ac:dyDescent="0.25">
      <c r="A88" s="87"/>
      <c r="B88" s="45" t="s">
        <v>206</v>
      </c>
    </row>
    <row r="89" spans="1:2" x14ac:dyDescent="0.25">
      <c r="A89" s="88" t="s">
        <v>1585</v>
      </c>
      <c r="B89" s="43" t="s">
        <v>1586</v>
      </c>
    </row>
    <row r="90" spans="1:2" x14ac:dyDescent="0.25">
      <c r="A90" s="88"/>
      <c r="B90" s="44" t="s">
        <v>1587</v>
      </c>
    </row>
    <row r="91" spans="1:2" x14ac:dyDescent="0.25">
      <c r="A91" s="88"/>
      <c r="B91" s="45" t="s">
        <v>1588</v>
      </c>
    </row>
    <row r="92" spans="1:2" x14ac:dyDescent="0.25">
      <c r="A92" s="84" t="s">
        <v>1589</v>
      </c>
      <c r="B92" s="43" t="s">
        <v>1590</v>
      </c>
    </row>
    <row r="93" spans="1:2" x14ac:dyDescent="0.25">
      <c r="A93" s="85"/>
      <c r="B93" s="44" t="s">
        <v>1592</v>
      </c>
    </row>
    <row r="94" spans="1:2" x14ac:dyDescent="0.25">
      <c r="A94" s="86"/>
      <c r="B94" s="45" t="s">
        <v>1591</v>
      </c>
    </row>
    <row r="95" spans="1:2" x14ac:dyDescent="0.25">
      <c r="A95" s="84" t="s">
        <v>1593</v>
      </c>
      <c r="B95" s="43" t="s">
        <v>1594</v>
      </c>
    </row>
    <row r="96" spans="1:2" x14ac:dyDescent="0.25">
      <c r="A96" s="85"/>
      <c r="B96" s="44" t="s">
        <v>1698</v>
      </c>
    </row>
    <row r="97" spans="1:2" x14ac:dyDescent="0.25">
      <c r="A97" s="85"/>
      <c r="B97" s="44" t="s">
        <v>1699</v>
      </c>
    </row>
    <row r="98" spans="1:2" x14ac:dyDescent="0.25">
      <c r="A98" s="85"/>
      <c r="B98" s="44" t="s">
        <v>1542</v>
      </c>
    </row>
    <row r="99" spans="1:2" x14ac:dyDescent="0.25">
      <c r="A99" s="86"/>
      <c r="B99" s="45" t="s">
        <v>1700</v>
      </c>
    </row>
    <row r="100" spans="1:2" x14ac:dyDescent="0.25">
      <c r="A100" s="87" t="s">
        <v>1595</v>
      </c>
      <c r="B100" s="43" t="s">
        <v>1596</v>
      </c>
    </row>
    <row r="101" spans="1:2" x14ac:dyDescent="0.25">
      <c r="A101" s="87"/>
      <c r="B101" s="44" t="s">
        <v>1597</v>
      </c>
    </row>
    <row r="102" spans="1:2" x14ac:dyDescent="0.25">
      <c r="A102" s="87"/>
      <c r="B102" s="45" t="s">
        <v>1598</v>
      </c>
    </row>
    <row r="103" spans="1:2" x14ac:dyDescent="0.25">
      <c r="A103" s="87" t="s">
        <v>1599</v>
      </c>
      <c r="B103" s="43" t="s">
        <v>1596</v>
      </c>
    </row>
    <row r="104" spans="1:2" x14ac:dyDescent="0.25">
      <c r="A104" s="87"/>
      <c r="B104" s="44" t="s">
        <v>1597</v>
      </c>
    </row>
    <row r="105" spans="1:2" x14ac:dyDescent="0.25">
      <c r="A105" s="87"/>
      <c r="B105" s="45" t="s">
        <v>1600</v>
      </c>
    </row>
    <row r="106" spans="1:2" x14ac:dyDescent="0.25">
      <c r="A106" s="87" t="s">
        <v>1601</v>
      </c>
      <c r="B106" s="43" t="s">
        <v>1602</v>
      </c>
    </row>
    <row r="107" spans="1:2" x14ac:dyDescent="0.25">
      <c r="A107" s="87"/>
      <c r="B107" s="44" t="s">
        <v>1603</v>
      </c>
    </row>
    <row r="108" spans="1:2" x14ac:dyDescent="0.25">
      <c r="A108" s="87"/>
      <c r="B108" s="44" t="s">
        <v>1604</v>
      </c>
    </row>
    <row r="109" spans="1:2" x14ac:dyDescent="0.25">
      <c r="A109" s="87"/>
      <c r="B109" s="45" t="s">
        <v>1605</v>
      </c>
    </row>
    <row r="110" spans="1:2" x14ac:dyDescent="0.25">
      <c r="A110" s="87" t="s">
        <v>1386</v>
      </c>
      <c r="B110" s="43" t="s">
        <v>1602</v>
      </c>
    </row>
    <row r="111" spans="1:2" x14ac:dyDescent="0.25">
      <c r="A111" s="87"/>
      <c r="B111" s="44" t="s">
        <v>1603</v>
      </c>
    </row>
    <row r="112" spans="1:2" x14ac:dyDescent="0.25">
      <c r="A112" s="87"/>
      <c r="B112" s="44" t="s">
        <v>1396</v>
      </c>
    </row>
    <row r="113" spans="1:2" x14ac:dyDescent="0.25">
      <c r="A113" s="87"/>
      <c r="B113" s="45" t="s">
        <v>1606</v>
      </c>
    </row>
    <row r="114" spans="1:2" x14ac:dyDescent="0.25">
      <c r="A114" s="42" t="s">
        <v>1607</v>
      </c>
      <c r="B114" s="26" t="s">
        <v>1608</v>
      </c>
    </row>
    <row r="115" spans="1:2" x14ac:dyDescent="0.25">
      <c r="A115" s="87" t="s">
        <v>1609</v>
      </c>
      <c r="B115" s="43" t="s">
        <v>1610</v>
      </c>
    </row>
    <row r="116" spans="1:2" x14ac:dyDescent="0.25">
      <c r="A116" s="87"/>
      <c r="B116" s="44" t="s">
        <v>1611</v>
      </c>
    </row>
    <row r="117" spans="1:2" x14ac:dyDescent="0.25">
      <c r="A117" s="87"/>
      <c r="B117" s="44" t="s">
        <v>1613</v>
      </c>
    </row>
    <row r="118" spans="1:2" x14ac:dyDescent="0.25">
      <c r="A118" s="87"/>
      <c r="B118" s="45" t="s">
        <v>1614</v>
      </c>
    </row>
    <row r="119" spans="1:2" x14ac:dyDescent="0.25">
      <c r="A119" s="87" t="s">
        <v>1615</v>
      </c>
      <c r="B119" s="43" t="s">
        <v>1616</v>
      </c>
    </row>
    <row r="120" spans="1:2" x14ac:dyDescent="0.25">
      <c r="A120" s="87"/>
      <c r="B120" s="45" t="s">
        <v>1701</v>
      </c>
    </row>
    <row r="121" spans="1:2" x14ac:dyDescent="0.25">
      <c r="A121" s="87" t="s">
        <v>1617</v>
      </c>
      <c r="B121" s="43" t="s">
        <v>1616</v>
      </c>
    </row>
    <row r="122" spans="1:2" x14ac:dyDescent="0.25">
      <c r="A122" s="87"/>
      <c r="B122" s="44" t="s">
        <v>1701</v>
      </c>
    </row>
    <row r="123" spans="1:2" x14ac:dyDescent="0.25">
      <c r="A123" s="87"/>
      <c r="B123" s="45" t="s">
        <v>1622</v>
      </c>
    </row>
    <row r="124" spans="1:2" x14ac:dyDescent="0.25">
      <c r="A124" s="84" t="s">
        <v>1618</v>
      </c>
      <c r="B124" s="43" t="s">
        <v>1619</v>
      </c>
    </row>
    <row r="125" spans="1:2" x14ac:dyDescent="0.25">
      <c r="A125" s="85"/>
      <c r="B125" s="44" t="s">
        <v>1620</v>
      </c>
    </row>
    <row r="126" spans="1:2" x14ac:dyDescent="0.25">
      <c r="A126" s="86"/>
      <c r="B126" s="45" t="s">
        <v>1621</v>
      </c>
    </row>
    <row r="127" spans="1:2" x14ac:dyDescent="0.25">
      <c r="A127" s="84" t="s">
        <v>1623</v>
      </c>
      <c r="B127" s="43" t="s">
        <v>1624</v>
      </c>
    </row>
    <row r="128" spans="1:2" x14ac:dyDescent="0.25">
      <c r="A128" s="86"/>
      <c r="B128" s="45" t="s">
        <v>1620</v>
      </c>
    </row>
    <row r="129" spans="1:2" x14ac:dyDescent="0.25">
      <c r="A129" s="84" t="s">
        <v>1625</v>
      </c>
      <c r="B129" s="43" t="s">
        <v>1407</v>
      </c>
    </row>
    <row r="130" spans="1:2" x14ac:dyDescent="0.25">
      <c r="A130" s="85"/>
      <c r="B130" s="44" t="s">
        <v>1702</v>
      </c>
    </row>
    <row r="131" spans="1:2" x14ac:dyDescent="0.25">
      <c r="A131" s="85"/>
      <c r="B131" s="44" t="s">
        <v>1626</v>
      </c>
    </row>
    <row r="132" spans="1:2" x14ac:dyDescent="0.25">
      <c r="A132" s="86"/>
      <c r="B132" s="45" t="s">
        <v>1703</v>
      </c>
    </row>
    <row r="133" spans="1:2" x14ac:dyDescent="0.25">
      <c r="A133" s="42" t="s">
        <v>1627</v>
      </c>
      <c r="B133" s="26" t="s">
        <v>1628</v>
      </c>
    </row>
    <row r="134" spans="1:2" x14ac:dyDescent="0.25">
      <c r="A134" s="87" t="s">
        <v>1629</v>
      </c>
      <c r="B134" s="43" t="s">
        <v>1630</v>
      </c>
    </row>
    <row r="135" spans="1:2" x14ac:dyDescent="0.25">
      <c r="A135" s="87"/>
      <c r="B135" s="45" t="s">
        <v>1631</v>
      </c>
    </row>
    <row r="136" spans="1:2" x14ac:dyDescent="0.25">
      <c r="A136" s="87" t="s">
        <v>1986</v>
      </c>
      <c r="B136" s="43" t="s">
        <v>1632</v>
      </c>
    </row>
    <row r="137" spans="1:2" x14ac:dyDescent="0.25">
      <c r="A137" s="87"/>
      <c r="B137" s="44" t="s">
        <v>1633</v>
      </c>
    </row>
    <row r="138" spans="1:2" x14ac:dyDescent="0.25">
      <c r="A138" s="87"/>
      <c r="B138" s="44" t="s">
        <v>1634</v>
      </c>
    </row>
    <row r="139" spans="1:2" x14ac:dyDescent="0.25">
      <c r="A139" s="87"/>
      <c r="B139" s="45" t="s">
        <v>1635</v>
      </c>
    </row>
    <row r="140" spans="1:2" x14ac:dyDescent="0.25">
      <c r="A140" s="84" t="s">
        <v>1985</v>
      </c>
      <c r="B140" s="43" t="s">
        <v>1632</v>
      </c>
    </row>
    <row r="141" spans="1:2" x14ac:dyDescent="0.25">
      <c r="A141" s="85"/>
      <c r="B141" s="44" t="s">
        <v>1983</v>
      </c>
    </row>
    <row r="142" spans="1:2" x14ac:dyDescent="0.25">
      <c r="A142" s="85"/>
      <c r="B142" s="44" t="s">
        <v>1634</v>
      </c>
    </row>
    <row r="143" spans="1:2" x14ac:dyDescent="0.25">
      <c r="A143" s="89"/>
      <c r="B143" s="44" t="s">
        <v>1635</v>
      </c>
    </row>
    <row r="144" spans="1:2" x14ac:dyDescent="0.25">
      <c r="A144" s="90"/>
      <c r="B144" s="45" t="s">
        <v>1984</v>
      </c>
    </row>
    <row r="145" spans="1:2" x14ac:dyDescent="0.25">
      <c r="A145" s="42" t="s">
        <v>1636</v>
      </c>
      <c r="B145" s="45" t="s">
        <v>1637</v>
      </c>
    </row>
    <row r="146" spans="1:2" x14ac:dyDescent="0.25">
      <c r="A146" s="42" t="s">
        <v>1638</v>
      </c>
      <c r="B146" s="26" t="s">
        <v>1639</v>
      </c>
    </row>
    <row r="147" spans="1:2" x14ac:dyDescent="0.25">
      <c r="A147" s="42" t="s">
        <v>1664</v>
      </c>
      <c r="B147" s="26" t="s">
        <v>1665</v>
      </c>
    </row>
    <row r="148" spans="1:2" x14ac:dyDescent="0.25">
      <c r="A148" s="84" t="s">
        <v>2094</v>
      </c>
      <c r="B148" s="26" t="s">
        <v>2092</v>
      </c>
    </row>
    <row r="149" spans="1:2" x14ac:dyDescent="0.25">
      <c r="A149" s="86"/>
      <c r="B149" s="26" t="s">
        <v>2093</v>
      </c>
    </row>
    <row r="150" spans="1:2" x14ac:dyDescent="0.25">
      <c r="A150" s="42" t="s">
        <v>1640</v>
      </c>
      <c r="B150" s="26" t="s">
        <v>1641</v>
      </c>
    </row>
    <row r="151" spans="1:2" x14ac:dyDescent="0.25">
      <c r="A151" s="42" t="s">
        <v>1642</v>
      </c>
      <c r="B151" s="26" t="s">
        <v>1643</v>
      </c>
    </row>
    <row r="152" spans="1:2" x14ac:dyDescent="0.25">
      <c r="A152" s="42" t="s">
        <v>1644</v>
      </c>
      <c r="B152" s="26" t="s">
        <v>1645</v>
      </c>
    </row>
    <row r="153" spans="1:2" x14ac:dyDescent="0.25">
      <c r="A153" s="42" t="s">
        <v>1646</v>
      </c>
      <c r="B153" s="26" t="s">
        <v>1647</v>
      </c>
    </row>
    <row r="154" spans="1:2" x14ac:dyDescent="0.25">
      <c r="A154" s="87" t="s">
        <v>1650</v>
      </c>
      <c r="B154" s="43" t="s">
        <v>1651</v>
      </c>
    </row>
    <row r="155" spans="1:2" x14ac:dyDescent="0.25">
      <c r="A155" s="87"/>
      <c r="B155" s="44" t="s">
        <v>1648</v>
      </c>
    </row>
    <row r="156" spans="1:2" x14ac:dyDescent="0.25">
      <c r="A156" s="87"/>
      <c r="B156" s="45" t="s">
        <v>1649</v>
      </c>
    </row>
    <row r="157" spans="1:2" x14ac:dyDescent="0.25">
      <c r="A157" s="87" t="s">
        <v>1654</v>
      </c>
      <c r="B157" s="43" t="s">
        <v>1652</v>
      </c>
    </row>
    <row r="158" spans="1:2" x14ac:dyDescent="0.25">
      <c r="A158" s="87"/>
      <c r="B158" s="44" t="s">
        <v>1622</v>
      </c>
    </row>
    <row r="159" spans="1:2" x14ac:dyDescent="0.25">
      <c r="A159" s="87"/>
      <c r="B159" s="45" t="s">
        <v>1653</v>
      </c>
    </row>
    <row r="160" spans="1:2" x14ac:dyDescent="0.25">
      <c r="A160" s="87" t="s">
        <v>1655</v>
      </c>
      <c r="B160" s="43" t="s">
        <v>1656</v>
      </c>
    </row>
    <row r="161" spans="1:2" x14ac:dyDescent="0.25">
      <c r="A161" s="87"/>
      <c r="B161" s="44" t="s">
        <v>1622</v>
      </c>
    </row>
    <row r="162" spans="1:2" x14ac:dyDescent="0.25">
      <c r="A162" s="87"/>
      <c r="B162" s="45" t="s">
        <v>1653</v>
      </c>
    </row>
    <row r="163" spans="1:2" x14ac:dyDescent="0.25">
      <c r="A163" s="87" t="s">
        <v>1657</v>
      </c>
      <c r="B163" s="43" t="s">
        <v>1658</v>
      </c>
    </row>
    <row r="164" spans="1:2" x14ac:dyDescent="0.25">
      <c r="A164" s="87"/>
      <c r="B164" s="45" t="s">
        <v>1659</v>
      </c>
    </row>
    <row r="165" spans="1:2" x14ac:dyDescent="0.25">
      <c r="A165" s="42" t="s">
        <v>1660</v>
      </c>
      <c r="B165" s="26" t="s">
        <v>1661</v>
      </c>
    </row>
    <row r="166" spans="1:2" x14ac:dyDescent="0.25">
      <c r="A166" s="42" t="s">
        <v>1662</v>
      </c>
      <c r="B166" s="26" t="s">
        <v>1663</v>
      </c>
    </row>
    <row r="167" spans="1:2" x14ac:dyDescent="0.25">
      <c r="A167" s="42" t="s">
        <v>1116</v>
      </c>
      <c r="B167" s="46" t="s">
        <v>1666</v>
      </c>
    </row>
    <row r="168" spans="1:2" x14ac:dyDescent="0.25">
      <c r="A168" s="42" t="s">
        <v>1667</v>
      </c>
      <c r="B168" s="26" t="s">
        <v>1668</v>
      </c>
    </row>
    <row r="169" spans="1:2" x14ac:dyDescent="0.25">
      <c r="A169" s="42" t="s">
        <v>1669</v>
      </c>
      <c r="B169" s="26" t="s">
        <v>1670</v>
      </c>
    </row>
    <row r="170" spans="1:2" x14ac:dyDescent="0.25">
      <c r="A170" s="84" t="s">
        <v>1671</v>
      </c>
      <c r="B170" s="43" t="s">
        <v>1672</v>
      </c>
    </row>
    <row r="171" spans="1:2" x14ac:dyDescent="0.25">
      <c r="A171" s="86"/>
      <c r="B171" s="45" t="s">
        <v>1673</v>
      </c>
    </row>
    <row r="172" spans="1:2" x14ac:dyDescent="0.25">
      <c r="A172" s="42" t="s">
        <v>1675</v>
      </c>
      <c r="B172" s="26" t="s">
        <v>1676</v>
      </c>
    </row>
    <row r="173" spans="1:2" x14ac:dyDescent="0.25">
      <c r="A173" s="42" t="s">
        <v>1674</v>
      </c>
      <c r="B173" s="26" t="s">
        <v>1677</v>
      </c>
    </row>
    <row r="174" spans="1:2" x14ac:dyDescent="0.25">
      <c r="A174" s="84" t="s">
        <v>1678</v>
      </c>
      <c r="B174" s="43" t="s">
        <v>1679</v>
      </c>
    </row>
    <row r="175" spans="1:2" x14ac:dyDescent="0.25">
      <c r="A175" s="86"/>
      <c r="B175" s="45" t="s">
        <v>1680</v>
      </c>
    </row>
    <row r="176" spans="1:2" x14ac:dyDescent="0.25">
      <c r="A176" s="42" t="s">
        <v>1681</v>
      </c>
      <c r="B176" s="26" t="s">
        <v>505</v>
      </c>
    </row>
    <row r="177" spans="1:2" x14ac:dyDescent="0.25">
      <c r="A177" s="42" t="s">
        <v>1682</v>
      </c>
      <c r="B177" s="26" t="s">
        <v>1683</v>
      </c>
    </row>
    <row r="178" spans="1:2" x14ac:dyDescent="0.25">
      <c r="A178" s="87" t="s">
        <v>1684</v>
      </c>
      <c r="B178" s="43" t="s">
        <v>1685</v>
      </c>
    </row>
    <row r="179" spans="1:2" x14ac:dyDescent="0.25">
      <c r="A179" s="87"/>
      <c r="B179" s="44" t="s">
        <v>1686</v>
      </c>
    </row>
    <row r="180" spans="1:2" x14ac:dyDescent="0.25">
      <c r="A180" s="87"/>
      <c r="B180" s="44" t="s">
        <v>1688</v>
      </c>
    </row>
    <row r="181" spans="1:2" x14ac:dyDescent="0.25">
      <c r="A181" s="87"/>
      <c r="B181" s="45" t="s">
        <v>1689</v>
      </c>
    </row>
    <row r="182" spans="1:2" x14ac:dyDescent="0.25">
      <c r="A182" s="42" t="s">
        <v>1690</v>
      </c>
      <c r="B182" s="26" t="s">
        <v>1691</v>
      </c>
    </row>
    <row r="183" spans="1:2" x14ac:dyDescent="0.25">
      <c r="A183" s="84" t="s">
        <v>1692</v>
      </c>
      <c r="B183" s="43" t="s">
        <v>1704</v>
      </c>
    </row>
    <row r="184" spans="1:2" x14ac:dyDescent="0.25">
      <c r="A184" s="85"/>
      <c r="B184" s="44" t="s">
        <v>1705</v>
      </c>
    </row>
    <row r="185" spans="1:2" x14ac:dyDescent="0.25">
      <c r="A185" s="86"/>
      <c r="B185" s="45" t="s">
        <v>1706</v>
      </c>
    </row>
  </sheetData>
  <autoFilter ref="A1:B185" xr:uid="{00000000-0009-0000-0000-000004000000}"/>
  <mergeCells count="44">
    <mergeCell ref="A154:A156"/>
    <mergeCell ref="A136:A139"/>
    <mergeCell ref="A134:A135"/>
    <mergeCell ref="A86:A88"/>
    <mergeCell ref="A89:A91"/>
    <mergeCell ref="A100:A102"/>
    <mergeCell ref="A103:A105"/>
    <mergeCell ref="A106:A109"/>
    <mergeCell ref="A140:A144"/>
    <mergeCell ref="A148:A149"/>
    <mergeCell ref="A57:A60"/>
    <mergeCell ref="A61:A62"/>
    <mergeCell ref="A63:A71"/>
    <mergeCell ref="A72:A74"/>
    <mergeCell ref="A82:A85"/>
    <mergeCell ref="A75:A81"/>
    <mergeCell ref="A37:A43"/>
    <mergeCell ref="A44:A46"/>
    <mergeCell ref="A29:A32"/>
    <mergeCell ref="A33:A36"/>
    <mergeCell ref="A47:A56"/>
    <mergeCell ref="A5:A8"/>
    <mergeCell ref="A9:A12"/>
    <mergeCell ref="A13:A16"/>
    <mergeCell ref="A25:A28"/>
    <mergeCell ref="A2:A4"/>
    <mergeCell ref="A17:A20"/>
    <mergeCell ref="A21:A24"/>
    <mergeCell ref="A183:A185"/>
    <mergeCell ref="A178:A181"/>
    <mergeCell ref="A129:A132"/>
    <mergeCell ref="A92:A94"/>
    <mergeCell ref="A95:A99"/>
    <mergeCell ref="A124:A126"/>
    <mergeCell ref="A127:A128"/>
    <mergeCell ref="A170:A171"/>
    <mergeCell ref="A174:A175"/>
    <mergeCell ref="A110:A113"/>
    <mergeCell ref="A115:A118"/>
    <mergeCell ref="A121:A123"/>
    <mergeCell ref="A119:A120"/>
    <mergeCell ref="A163:A164"/>
    <mergeCell ref="A160:A162"/>
    <mergeCell ref="A157:A15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ÖZET</vt:lpstr>
      <vt:lpstr>DEPO</vt:lpstr>
      <vt:lpstr>METAL BÖLÜMÜ</vt:lpstr>
      <vt:lpstr>BİTENLER</vt:lpstr>
      <vt:lpstr>KODLAR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 sevincli</dc:creator>
  <cp:lastModifiedBy>DELL</cp:lastModifiedBy>
  <cp:lastPrinted>2026-02-02T06:18:31Z</cp:lastPrinted>
  <dcterms:created xsi:type="dcterms:W3CDTF">2015-06-05T18:17:20Z</dcterms:created>
  <dcterms:modified xsi:type="dcterms:W3CDTF">2026-03-17T10:35:26Z</dcterms:modified>
</cp:coreProperties>
</file>